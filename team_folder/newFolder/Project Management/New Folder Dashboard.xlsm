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groups\newFolder\Project Management\"/>
    </mc:Choice>
  </mc:AlternateContent>
  <bookViews>
    <workbookView xWindow="0" yWindow="0" windowWidth="16380" windowHeight="8196" tabRatio="500"/>
  </bookViews>
  <sheets>
    <sheet name="Overview" sheetId="10" r:id="rId1"/>
    <sheet name="CDR Project Planner" sheetId="1" state="hidden" r:id="rId2"/>
    <sheet name="Bach Planner" sheetId="3" state="hidden" r:id="rId3"/>
    <sheet name="Brandon Planner" sheetId="4" state="hidden" r:id="rId4"/>
    <sheet name="Cody Planner" sheetId="5" state="hidden" r:id="rId5"/>
    <sheet name="Peter Planner" sheetId="6" state="hidden" r:id="rId6"/>
    <sheet name="Zack Planner" sheetId="7" state="hidden" r:id="rId7"/>
    <sheet name="Burn Report" sheetId="11" state="hidden" r:id="rId8"/>
    <sheet name="PDR Project Planner" sheetId="19" state="hidden" r:id="rId9"/>
    <sheet name="Metrics" sheetId="20" state="hidden" r:id="rId10"/>
    <sheet name="Andrei Planner" sheetId="21" state="hidden" r:id="rId11"/>
    <sheet name="Sheet1" sheetId="9" state="hidden" r:id="rId12"/>
    <sheet name="Andrei Cost" sheetId="13" state="hidden" r:id="rId13"/>
    <sheet name="Bach Cost" sheetId="14" state="hidden" r:id="rId14"/>
    <sheet name="Brandon Cost" sheetId="15" state="hidden" r:id="rId15"/>
    <sheet name="Cody Cost" sheetId="16" state="hidden" r:id="rId16"/>
    <sheet name="Peter Cost" sheetId="17" state="hidden" r:id="rId17"/>
    <sheet name="Zack Cost" sheetId="18" state="hidden" r:id="rId18"/>
  </sheets>
  <externalReferences>
    <externalReference r:id="rId19"/>
    <externalReference r:id="rId20"/>
    <externalReference r:id="rId21"/>
    <externalReference r:id="rId22"/>
  </externalReferences>
  <definedNames>
    <definedName name="_xlnm._FilterDatabase" localSheetId="7" hidden="1">'[1]Burn Report'!$A$2:$H$2</definedName>
    <definedName name="_FilterDatabase_0" localSheetId="7">'[1]Burn Report'!$A$2:$H$25</definedName>
    <definedName name="Actual" localSheetId="10">([2]!PeriodInActual*('Andrei Planner'!$F1&gt;0))*[2]!PeriodInPlan</definedName>
    <definedName name="Actual" localSheetId="2">([3]!PeriodInActual*('Bach Planner'!$F1&gt;0))*[3]!PeriodInPlan</definedName>
    <definedName name="Actual" localSheetId="3">([3]!PeriodInActual*('Brandon Planner'!$F1&gt;0))*[3]!PeriodInPlan</definedName>
    <definedName name="Actual" localSheetId="7">('Burn Report'!PeriodInActual*(#REF!&gt;0))*'Burn Report'!PeriodInPlan</definedName>
    <definedName name="Actual" localSheetId="1">(PeriodInActual*('CDR Project Planner'!$F1&gt;0))*PeriodInPlan</definedName>
    <definedName name="Actual" localSheetId="4">([3]!PeriodInActual*('Cody Planner'!$F1&gt;0))*[3]!PeriodInPlan</definedName>
    <definedName name="Actual" localSheetId="9">(Metrics!PeriodInActual*(#REF!&gt;0))*Metrics!PeriodInPlan</definedName>
    <definedName name="Actual" localSheetId="0">(Overview!PeriodInActual*(#REF!&gt;0))*Overview!PeriodInPlan</definedName>
    <definedName name="Actual" localSheetId="8">('PDR Project Planner'!PeriodInActual*('PDR Project Planner'!$F1&gt;0))*'PDR Project Planner'!PeriodInPlan</definedName>
    <definedName name="Actual" localSheetId="5">([3]!PeriodInActual*('Peter Planner'!$F1&gt;0))*[3]!PeriodInPlan</definedName>
    <definedName name="Actual" localSheetId="6">([3]!PeriodInActual*('Zack Planner'!$F1&gt;0))*[3]!PeriodInPlan</definedName>
    <definedName name="Actual">(PeriodInActual*(#REF!&gt;0))*PeriodInPlan</definedName>
    <definedName name="ActualBeyond" localSheetId="10">'Andrei Planner'!PeriodInActual*('Andrei Planner'!$F1&gt;0)</definedName>
    <definedName name="ActualBeyond" localSheetId="2">'Bach Planner'!PeriodInActual*('Bach Planner'!$F1&gt;0)</definedName>
    <definedName name="ActualBeyond" localSheetId="3">'Brandon Planner'!PeriodInActual*('Brandon Planner'!$F1&gt;0)</definedName>
    <definedName name="ActualBeyond" localSheetId="7">'Burn Report'!PeriodInActual*(#REF!&gt;0)</definedName>
    <definedName name="ActualBeyond" localSheetId="1">PeriodInActual*('CDR Project Planner'!$F1&gt;0)</definedName>
    <definedName name="ActualBeyond" localSheetId="4">'Cody Planner'!PeriodInActual*('Cody Planner'!$F1&gt;0)</definedName>
    <definedName name="ActualBeyond" localSheetId="9">Metrics!PeriodInActual*(#REF!&gt;0)</definedName>
    <definedName name="ActualBeyond" localSheetId="0">Overview!PeriodInActual*(#REF!&gt;0)</definedName>
    <definedName name="ActualBeyond" localSheetId="8">'PDR Project Planner'!PeriodInActual*('PDR Project Planner'!$F1&gt;0)</definedName>
    <definedName name="ActualBeyond" localSheetId="5">'Peter Planner'!PeriodInActual*('Peter Planner'!$F1&gt;0)</definedName>
    <definedName name="ActualBeyond" localSheetId="6">'Zack Planner'!PeriodInActual*('Zack Planner'!$F1&gt;0)</definedName>
    <definedName name="ActualBeyond">PeriodInActual*(#REF!&gt;0)</definedName>
    <definedName name="Metrics">(#REF!=MEDIAN(#REF!,#REF!,#REF!+#REF!)*(#REF!&gt;0))*((#REF!&lt;(INT(#REF!+#REF!*#REF!)))+(#REF!=#REF!))*(#REF!&gt;0)</definedName>
    <definedName name="PercentComplete" localSheetId="10">[2]!PercentCompleteBeyond*'Andrei Planner'!PeriodInPlan</definedName>
    <definedName name="PercentComplete" localSheetId="2">[3]!PercentCompleteBeyond*'Bach Planner'!PeriodInPlan</definedName>
    <definedName name="PercentComplete" localSheetId="3">[3]!PercentCompleteBeyond*'Brandon Planner'!PeriodInPlan</definedName>
    <definedName name="PercentComplete" localSheetId="7">'Burn Report'!PercentCompleteBeyond*'Burn Report'!PeriodInPlan</definedName>
    <definedName name="PercentComplete" localSheetId="1">PercentCompleteBeyond*PeriodInPlan</definedName>
    <definedName name="PercentComplete" localSheetId="4">[3]!PercentCompleteBeyond*'Cody Planner'!PeriodInPlan</definedName>
    <definedName name="PercentComplete" localSheetId="9">Metrics!PercentCompleteBeyond*Metrics!PeriodInPlan</definedName>
    <definedName name="PercentComplete" localSheetId="0">Overview!PercentCompleteBeyond*Overview!PeriodInPlan</definedName>
    <definedName name="PercentComplete" localSheetId="8">'PDR Project Planner'!PercentCompleteBeyond*'PDR Project Planner'!PeriodInPlan</definedName>
    <definedName name="PercentComplete" localSheetId="5">[3]!PercentCompleteBeyond*'Peter Planner'!PeriodInPlan</definedName>
    <definedName name="PercentComplete" localSheetId="6">[3]!PercentCompleteBeyond*'Zack Planner'!PeriodInPlan</definedName>
    <definedName name="PercentComplete">PercentCompleteBeyond*PeriodInPlan</definedName>
    <definedName name="PercentCompleteBeyond" localSheetId="10">('Andrei Planner'!A$4=MEDIAN('Andrei Planner'!A$4,'Andrei Planner'!$F1,'Andrei Planner'!$F1+'Andrei Planner'!$G1)*('Andrei Planner'!$F1&gt;0))*(('Andrei Planner'!A$4&lt;(INT('Andrei Planner'!$F1+'Andrei Planner'!$G1*'Andrei Planner'!$H1)))+('Andrei Planner'!A$4='Andrei Planner'!$F1))*('Andrei Planner'!$H1&gt;0)</definedName>
    <definedName name="PercentCompleteBeyond" localSheetId="2">('Bach Planner'!A$4=MEDIAN('Bach Planner'!A$4,'Bach Planner'!$F1,'Bach Planner'!$F1+'Bach Planner'!$G1)*('Bach Planner'!$F1&gt;0))*(('Bach Planner'!A$4&lt;(INT('Bach Planner'!$F1+'Bach Planner'!$G1*'Bach Planner'!$H1)))+('Bach Planner'!A$4='Bach Planner'!$F1))*('Bach Planner'!$H1&gt;0)</definedName>
    <definedName name="PercentCompleteBeyond" localSheetId="3">('Brandon Planner'!A$4=MEDIAN('Brandon Planner'!A$4,'Brandon Planner'!$F1,'Brandon Planner'!$F1+'Brandon Planner'!$G1)*('Brandon Planner'!$F1&gt;0))*(('Brandon Planner'!A$4&lt;(INT('Brandon Planner'!$F1+'Brandon Planner'!$G1*'Brandon Planner'!$H1)))+('Brandon Planner'!A$4='Brandon Planner'!$F1))*('Brandon Planner'!$H1&gt;0)</definedName>
    <definedName name="PercentCompleteBeyond" localSheetId="7">(#REF!=MEDIAN(#REF!,#REF!,#REF!+#REF!)*(#REF!&gt;0))*((#REF!&lt;(INT(#REF!+#REF!*#REF!)))+(#REF!=#REF!))*(#REF!&gt;0)</definedName>
    <definedName name="PercentCompleteBeyond" localSheetId="1">('CDR Project Planner'!A$4=MEDIAN('CDR Project Planner'!A$4,'CDR Project Planner'!$F1,'CDR Project Planner'!$F1+'CDR Project Planner'!$G1)*('CDR Project Planner'!$F1&gt;0))*(('CDR Project Planner'!A$4&lt;(INT('CDR Project Planner'!$F1+'CDR Project Planner'!$G1*'CDR Project Planner'!$H1)))+('CDR Project Planner'!A$4='CDR Project Planner'!$F1))*('CDR Project Planner'!$H1&gt;0)</definedName>
    <definedName name="PercentCompleteBeyond" localSheetId="4">('Cody Planner'!A$4=MEDIAN('Cody Planner'!A$4,'Cody Planner'!$F1,'Cody Planner'!$F1+'Cody Planner'!$G1)*('Cody Planner'!$F1&gt;0))*(('Cody Planner'!A$4&lt;(INT('Cody Planner'!$F1+'Cody Planner'!$G1*'Cody Planner'!$H1)))+('Cody Planner'!A$4='Cody Planner'!$F1))*('Cody Planner'!$H1&gt;0)</definedName>
    <definedName name="PercentCompleteBeyond" localSheetId="9">(#REF!=MEDIAN(#REF!,#REF!,#REF!+#REF!)*(#REF!&gt;0))*((#REF!&lt;(INT(#REF!+#REF!*#REF!)))+(#REF!=#REF!))*(#REF!&gt;0)</definedName>
    <definedName name="PercentCompleteBeyond" localSheetId="0">(#REF!=MEDIAN(#REF!,#REF!,#REF!+#REF!)*(#REF!&gt;0))*((#REF!&lt;(INT(#REF!+#REF!*#REF!)))+(#REF!=#REF!))*(#REF!&gt;0)</definedName>
    <definedName name="PercentCompleteBeyond" localSheetId="8">('PDR Project Planner'!A$4=MEDIAN('PDR Project Planner'!A$4,'PDR Project Planner'!$F1,'PDR Project Planner'!$F1+'PDR Project Planner'!$G1)*('PDR Project Planner'!$F1&gt;0))*(('PDR Project Planner'!A$4&lt;(INT('PDR Project Planner'!$F1+'PDR Project Planner'!$G1*'PDR Project Planner'!$H1)))+('PDR Project Planner'!A$4='PDR Project Planner'!$F1))*('PDR Project Planner'!$H1&gt;0)</definedName>
    <definedName name="PercentCompleteBeyond" localSheetId="5">('Peter Planner'!A$4=MEDIAN('Peter Planner'!A$4,'Peter Planner'!$F1,'Peter Planner'!$F1+'Peter Planner'!$G1)*('Peter Planner'!$F1&gt;0))*(('Peter Planner'!A$4&lt;(INT('Peter Planner'!$F1+'Peter Planner'!$G1*'Peter Planner'!$H1)))+('Peter Planner'!A$4='Peter Planner'!$F1))*('Peter Planner'!$H1&gt;0)</definedName>
    <definedName name="PercentCompleteBeyond" localSheetId="6">('Zack Planner'!A$4=MEDIAN('Zack Planner'!A$4,'Zack Planner'!$F1,'Zack Planner'!$F1+'Zack Planner'!$G1)*('Zack Planner'!$F1&gt;0))*(('Zack Planner'!A$4&lt;(INT('Zack Planner'!$F1+'Zack Planner'!$G1*'Zack Planner'!$H1)))+('Zack Planner'!A$4='Zack Planner'!$F1))*('Zack Planner'!$H1&gt;0)</definedName>
    <definedName name="PercentCompleteBeyond">(#REF!=MEDIAN(#REF!,#REF!,#REF!+#REF!)*(#REF!&gt;0))*((#REF!&lt;(INT(#REF!+#REF!*#REF!)))+(#REF!=#REF!))*(#REF!&gt;0)</definedName>
    <definedName name="period_selected" localSheetId="10">'Andrei Planner'!$I$2</definedName>
    <definedName name="period_selected" localSheetId="2">'Bach Planner'!$I$2</definedName>
    <definedName name="period_selected" localSheetId="3">'Brandon Planner'!$I$2</definedName>
    <definedName name="period_selected" localSheetId="7">#REF!</definedName>
    <definedName name="period_selected" localSheetId="1">'CDR Project Planner'!$I$2</definedName>
    <definedName name="period_selected" localSheetId="4">'Cody Planner'!$I$2</definedName>
    <definedName name="period_selected" localSheetId="9">#REF!</definedName>
    <definedName name="period_selected" localSheetId="0">#REF!</definedName>
    <definedName name="period_selected" localSheetId="8">'PDR Project Planner'!$I$2</definedName>
    <definedName name="period_selected" localSheetId="5">'Peter Planner'!$I$2</definedName>
    <definedName name="period_selected" localSheetId="6">'Zack Planner'!$I$2</definedName>
    <definedName name="period_selected">#REF!</definedName>
    <definedName name="PeriodInActual" localSheetId="10">'Andrei Planner'!A$4=MEDIAN('Andrei Planner'!A$4,'Andrei Planner'!$F1,'Andrei Planner'!$F1+'Andrei Planner'!$G1-1)</definedName>
    <definedName name="PeriodInActual" localSheetId="2">'Bach Planner'!A$4=MEDIAN('Bach Planner'!A$4,'Bach Planner'!$F1,'Bach Planner'!$F1+'Bach Planner'!$G1-1)</definedName>
    <definedName name="PeriodInActual" localSheetId="3">'Brandon Planner'!A$4=MEDIAN('Brandon Planner'!A$4,'Brandon Planner'!$F1,'Brandon Planner'!$F1+'Brandon Planner'!$G1-1)</definedName>
    <definedName name="PeriodInActual" localSheetId="7">#REF!=MEDIAN(#REF!,#REF!,#REF!+#REF!-1)</definedName>
    <definedName name="PeriodInActual" localSheetId="1">'CDR Project Planner'!A$4=MEDIAN('CDR Project Planner'!A$4,'CDR Project Planner'!$F1,'CDR Project Planner'!$F1+'CDR Project Planner'!$G1-1)</definedName>
    <definedName name="PeriodInActual" localSheetId="4">'Cody Planner'!A$4=MEDIAN('Cody Planner'!A$4,'Cody Planner'!$F1,'Cody Planner'!$F1+'Cody Planner'!$G1-1)</definedName>
    <definedName name="PeriodInActual" localSheetId="9">#REF!=MEDIAN(#REF!,#REF!,#REF!+#REF!-1)</definedName>
    <definedName name="PeriodInActual" localSheetId="0">#REF!=MEDIAN(#REF!,#REF!,#REF!+#REF!-1)</definedName>
    <definedName name="PeriodInActual" localSheetId="8">'PDR Project Planner'!A$4=MEDIAN('PDR Project Planner'!A$4,'PDR Project Planner'!$F1,'PDR Project Planner'!$F1+'PDR Project Planner'!$G1-1)</definedName>
    <definedName name="PeriodInActual" localSheetId="5">'Peter Planner'!A$4=MEDIAN('Peter Planner'!A$4,'Peter Planner'!$F1,'Peter Planner'!$F1+'Peter Planner'!$G1-1)</definedName>
    <definedName name="PeriodInActual" localSheetId="6">'Zack Planner'!A$4=MEDIAN('Zack Planner'!A$4,'Zack Planner'!$F1,'Zack Planner'!$F1+'Zack Planner'!$G1-1)</definedName>
    <definedName name="PeriodInActual">#REF!=MEDIAN(#REF!,#REF!,#REF!+#REF!-1)</definedName>
    <definedName name="PeriodInPlan" localSheetId="10">'Andrei Planner'!A$4=MEDIAN('Andrei Planner'!A$4,'Andrei Planner'!$D1,'Andrei Planner'!$D1+'Andrei Planner'!$E1-1)</definedName>
    <definedName name="PeriodInPlan" localSheetId="2">'Bach Planner'!A$4=MEDIAN('Bach Planner'!A$4,'Bach Planner'!$D1,'Bach Planner'!$D1+'Bach Planner'!$E1-1)</definedName>
    <definedName name="PeriodInPlan" localSheetId="3">'Brandon Planner'!A$4=MEDIAN('Brandon Planner'!A$4,'Brandon Planner'!$D1,'Brandon Planner'!$D1+'Brandon Planner'!$E1-1)</definedName>
    <definedName name="PeriodInPlan" localSheetId="7">#REF!=MEDIAN(#REF!,#REF!,#REF!+#REF!-1)</definedName>
    <definedName name="PeriodInPlan" localSheetId="1">'CDR Project Planner'!A$4=MEDIAN('CDR Project Planner'!A$4,'CDR Project Planner'!$D1,'CDR Project Planner'!$D1+'CDR Project Planner'!$E1-1)</definedName>
    <definedName name="PeriodInPlan" localSheetId="4">'Cody Planner'!A$4=MEDIAN('Cody Planner'!A$4,'Cody Planner'!$D1,'Cody Planner'!$D1+'Cody Planner'!$E1-1)</definedName>
    <definedName name="PeriodInPlan" localSheetId="9">#REF!=MEDIAN(#REF!,#REF!,#REF!+#REF!-1)</definedName>
    <definedName name="PeriodInPlan" localSheetId="0">#REF!=MEDIAN(#REF!,#REF!,#REF!+#REF!-1)</definedName>
    <definedName name="PeriodInPlan" localSheetId="8">'PDR Project Planner'!A$4=MEDIAN('PDR Project Planner'!A$4,'PDR Project Planner'!$D1,'PDR Project Planner'!$D1+'PDR Project Planner'!$E1-1)</definedName>
    <definedName name="PeriodInPlan" localSheetId="5">'Peter Planner'!A$4=MEDIAN('Peter Planner'!A$4,'Peter Planner'!$D1,'Peter Planner'!$D1+'Peter Planner'!$E1-1)</definedName>
    <definedName name="PeriodInPlan" localSheetId="6">'Zack Planner'!A$4=MEDIAN('Zack Planner'!A$4,'Zack Planner'!$D1,'Zack Planner'!$D1+'Zack Planner'!$E1-1)</definedName>
    <definedName name="PeriodInPlan">#REF!=MEDIAN(#REF!,#REF!,#REF!+#REF!-1)</definedName>
    <definedName name="Plan" localSheetId="10">'Andrei Planner'!PeriodInPlan*('Andrei Planner'!$D1&gt;0)</definedName>
    <definedName name="Plan" localSheetId="2">'Bach Planner'!PeriodInPlan*('Bach Planner'!$D1&gt;0)</definedName>
    <definedName name="Plan" localSheetId="3">'Brandon Planner'!PeriodInPlan*('Brandon Planner'!$D1&gt;0)</definedName>
    <definedName name="Plan" localSheetId="7">'Burn Report'!PeriodInPlan*(#REF!&gt;0)</definedName>
    <definedName name="Plan" localSheetId="1">PeriodInPlan*('CDR Project Planner'!$D1&gt;0)</definedName>
    <definedName name="Plan" localSheetId="4">'Cody Planner'!PeriodInPlan*('Cody Planner'!$D1&gt;0)</definedName>
    <definedName name="Plan" localSheetId="9">Metrics!PeriodInPlan*(#REF!&gt;0)</definedName>
    <definedName name="Plan" localSheetId="0">Overview!PeriodInPlan*(#REF!&gt;0)</definedName>
    <definedName name="Plan" localSheetId="8">'PDR Project Planner'!PeriodInPlan*('PDR Project Planner'!$D1&gt;0)</definedName>
    <definedName name="Plan" localSheetId="5">'Peter Planner'!PeriodInPlan*('Peter Planner'!$D1&gt;0)</definedName>
    <definedName name="Plan" localSheetId="6">'Zack Planner'!PeriodInPlan*('Zack Planner'!$D1&gt;0)</definedName>
    <definedName name="Plan">PeriodInPlan*(#REF!&gt;0)</definedName>
    <definedName name="_xlnm.Print_Titles" localSheetId="10">'Andrei Planner'!$3:$4</definedName>
    <definedName name="_xlnm.Print_Titles" localSheetId="2">'Bach Planner'!$3:$4</definedName>
    <definedName name="_xlnm.Print_Titles" localSheetId="3">'Brandon Planner'!$3:$4</definedName>
    <definedName name="_xlnm.Print_Titles" localSheetId="1">'CDR Project Planner'!$3:$4</definedName>
    <definedName name="_xlnm.Print_Titles" localSheetId="4">'Cody Planner'!$3:$4</definedName>
    <definedName name="_xlnm.Print_Titles" localSheetId="8">'PDR Project Planner'!$3:$4</definedName>
    <definedName name="_xlnm.Print_Titles" localSheetId="5">'Peter Planner'!$3:$4</definedName>
    <definedName name="_xlnm.Print_Titles" localSheetId="6">'Zack Planner'!$3:$4</definedName>
    <definedName name="Test12" localSheetId="10">PeriodInActual*(#REF!&gt;0)</definedName>
    <definedName name="Test12" localSheetId="13">[3]!PeriodInActual*(#REF!&gt;0)</definedName>
    <definedName name="Test12" localSheetId="9">PeriodInActual*(#REF!&gt;0)</definedName>
    <definedName name="Test12">PeriodInActual*(#REF!&gt;0)</definedName>
    <definedName name="TitleRegion..BO60" localSheetId="10">'Andrei Planner'!$B$3:$B$4</definedName>
    <definedName name="TitleRegion..BO60" localSheetId="2">'Bach Planner'!$B$3:$B$4</definedName>
    <definedName name="TitleRegion..BO60" localSheetId="3">'Brandon Planner'!$B$3:$B$4</definedName>
    <definedName name="TitleRegion..BO60" localSheetId="1">'CDR Project Planner'!$B$3:$B$4</definedName>
    <definedName name="TitleRegion..BO60" localSheetId="4">'Cody Planner'!$B$3:$B$4</definedName>
    <definedName name="TitleRegion..BO60" localSheetId="9">#REF!</definedName>
    <definedName name="TitleRegion..BO60" localSheetId="8">'PDR Project Planner'!$B$3:$B$4</definedName>
    <definedName name="TitleRegion..BO60" localSheetId="5">'Peter Planner'!$B$3:$B$4</definedName>
    <definedName name="TitleRegion..BO60" localSheetId="6">'Zack Planner'!$B$3:$B$4</definedName>
    <definedName name="TitleRegion..BO60">#REF!</definedName>
    <definedName name="Um">PeriodInPlan*(#REF!&gt;0)</definedName>
  </definedNames>
  <calcPr calcId="152511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2" i="21" l="1"/>
  <c r="I2" i="21"/>
  <c r="B5" i="21"/>
  <c r="C5" i="21"/>
  <c r="D5" i="21"/>
  <c r="E5" i="21"/>
  <c r="F5" i="21"/>
  <c r="G5" i="21"/>
  <c r="H5" i="21"/>
  <c r="B6" i="21"/>
  <c r="C6" i="21"/>
  <c r="D6" i="21"/>
  <c r="E6" i="21"/>
  <c r="F6" i="21"/>
  <c r="G6" i="21"/>
  <c r="H6" i="21"/>
  <c r="B7" i="21"/>
  <c r="C7" i="21"/>
  <c r="D7" i="21"/>
  <c r="E7" i="21"/>
  <c r="F7" i="21"/>
  <c r="G7" i="21"/>
  <c r="H7" i="21"/>
  <c r="B8" i="21"/>
  <c r="C8" i="21"/>
  <c r="D8" i="21"/>
  <c r="E8" i="21"/>
  <c r="F8" i="21"/>
  <c r="G8" i="21"/>
  <c r="H8" i="21"/>
  <c r="B9" i="21"/>
  <c r="C9" i="21"/>
  <c r="D9" i="21"/>
  <c r="E9" i="21"/>
  <c r="F9" i="21"/>
  <c r="G9" i="21"/>
  <c r="H9" i="21"/>
  <c r="B10" i="21"/>
  <c r="C10" i="21"/>
  <c r="D10" i="21"/>
  <c r="E10" i="21"/>
  <c r="F10" i="21"/>
  <c r="G10" i="21"/>
  <c r="H10" i="21"/>
  <c r="B11" i="21"/>
  <c r="C11" i="21"/>
  <c r="D11" i="21"/>
  <c r="E11" i="21"/>
  <c r="F11" i="21"/>
  <c r="G11" i="21"/>
  <c r="H11" i="21"/>
  <c r="B12" i="21"/>
  <c r="C12" i="21"/>
  <c r="D12" i="21"/>
  <c r="E12" i="21"/>
  <c r="F12" i="21"/>
  <c r="G12" i="21"/>
  <c r="H12" i="21"/>
  <c r="B13" i="21"/>
  <c r="C13" i="21"/>
  <c r="D13" i="21"/>
  <c r="E13" i="21"/>
  <c r="F13" i="21"/>
  <c r="G13" i="21"/>
  <c r="H13" i="21"/>
  <c r="B14" i="21"/>
  <c r="C14" i="21"/>
  <c r="D14" i="21"/>
  <c r="E14" i="21"/>
  <c r="F14" i="21"/>
  <c r="G14" i="21"/>
  <c r="H14" i="21"/>
  <c r="B15" i="21"/>
  <c r="C15" i="21"/>
  <c r="D15" i="21"/>
  <c r="E15" i="21"/>
  <c r="F15" i="21"/>
  <c r="G15" i="21"/>
  <c r="H15" i="21"/>
  <c r="B16" i="21"/>
  <c r="C16" i="21"/>
  <c r="D16" i="21"/>
  <c r="E16" i="21"/>
  <c r="F16" i="21"/>
  <c r="G16" i="21"/>
  <c r="H16" i="21"/>
  <c r="B17" i="21"/>
  <c r="C17" i="21"/>
  <c r="D17" i="21"/>
  <c r="E17" i="21"/>
  <c r="F17" i="21"/>
  <c r="G17" i="21"/>
  <c r="H17" i="21"/>
  <c r="B18" i="21"/>
  <c r="C18" i="21"/>
  <c r="D18" i="21"/>
  <c r="E18" i="21"/>
  <c r="F18" i="21"/>
  <c r="G18" i="21"/>
  <c r="H18" i="21"/>
  <c r="B19" i="21"/>
  <c r="C19" i="21"/>
  <c r="D19" i="21"/>
  <c r="E19" i="21"/>
  <c r="F19" i="21"/>
  <c r="G19" i="21"/>
  <c r="H19" i="21"/>
  <c r="B20" i="21"/>
  <c r="C20" i="21"/>
  <c r="D20" i="21"/>
  <c r="E20" i="21"/>
  <c r="F20" i="21"/>
  <c r="G20" i="21"/>
  <c r="H20" i="21"/>
  <c r="B21" i="21"/>
  <c r="C21" i="21"/>
  <c r="D21" i="21"/>
  <c r="E21" i="21"/>
  <c r="F21" i="21"/>
  <c r="G21" i="21"/>
  <c r="H21" i="21"/>
  <c r="B22" i="21"/>
  <c r="C22" i="21"/>
  <c r="D22" i="21"/>
  <c r="E22" i="21"/>
  <c r="F22" i="21"/>
  <c r="G22" i="21"/>
  <c r="H22" i="21"/>
  <c r="B23" i="21"/>
  <c r="C23" i="21"/>
  <c r="D23" i="21"/>
  <c r="E23" i="21"/>
  <c r="F23" i="21"/>
  <c r="G23" i="21"/>
  <c r="H23" i="21"/>
  <c r="B24" i="21"/>
  <c r="C24" i="21"/>
  <c r="D24" i="21"/>
  <c r="E24" i="21"/>
  <c r="F24" i="21"/>
  <c r="G24" i="21"/>
  <c r="H24" i="21"/>
  <c r="B25" i="21"/>
  <c r="C25" i="21"/>
  <c r="D25" i="21"/>
  <c r="E25" i="21"/>
  <c r="F25" i="21"/>
  <c r="G25" i="21"/>
  <c r="H25" i="21"/>
  <c r="B26" i="21"/>
  <c r="C26" i="21"/>
  <c r="D26" i="21"/>
  <c r="E26" i="21"/>
  <c r="F26" i="21"/>
  <c r="G26" i="21"/>
  <c r="H26" i="21"/>
  <c r="B27" i="21"/>
  <c r="C27" i="21"/>
  <c r="D27" i="21"/>
  <c r="E27" i="21"/>
  <c r="F27" i="21"/>
  <c r="G27" i="21"/>
  <c r="H27" i="21"/>
  <c r="B28" i="21"/>
  <c r="C28" i="21"/>
  <c r="D28" i="21"/>
  <c r="E28" i="21"/>
  <c r="F28" i="21"/>
  <c r="G28" i="21"/>
  <c r="H28" i="21"/>
  <c r="B29" i="21"/>
  <c r="C29" i="21"/>
  <c r="D29" i="21"/>
  <c r="E29" i="21"/>
  <c r="F29" i="21"/>
  <c r="G29" i="21"/>
  <c r="H29" i="21"/>
  <c r="B30" i="21"/>
  <c r="C30" i="21"/>
  <c r="H30" i="21"/>
  <c r="B31" i="21"/>
  <c r="C31" i="21"/>
  <c r="D31" i="21"/>
  <c r="E31" i="21"/>
  <c r="F31" i="21"/>
  <c r="G31" i="21"/>
  <c r="H31" i="21"/>
  <c r="B32" i="21"/>
  <c r="C32" i="21"/>
  <c r="D32" i="21"/>
  <c r="E32" i="21"/>
  <c r="F32" i="21"/>
  <c r="G32" i="21"/>
  <c r="H32" i="21"/>
  <c r="B33" i="21"/>
  <c r="C33" i="21"/>
  <c r="D33" i="21"/>
  <c r="E33" i="21"/>
  <c r="F33" i="21"/>
  <c r="G33" i="21"/>
  <c r="H33" i="21"/>
  <c r="B34" i="21"/>
  <c r="C34" i="21"/>
  <c r="D34" i="21"/>
  <c r="E34" i="21"/>
  <c r="F34" i="21"/>
  <c r="G34" i="21"/>
  <c r="H34" i="21"/>
  <c r="B35" i="21"/>
  <c r="C35" i="21"/>
  <c r="D35" i="21"/>
  <c r="E35" i="21"/>
  <c r="F35" i="21"/>
  <c r="G35" i="21"/>
  <c r="H35" i="21"/>
  <c r="B36" i="21"/>
  <c r="C36" i="21"/>
  <c r="D36" i="21"/>
  <c r="E36" i="21"/>
  <c r="F36" i="21"/>
  <c r="G36" i="21"/>
  <c r="H36" i="21"/>
  <c r="B37" i="21"/>
  <c r="C37" i="21"/>
  <c r="H37" i="21"/>
  <c r="B38" i="21"/>
  <c r="C38" i="21"/>
  <c r="D38" i="21"/>
  <c r="E38" i="21"/>
  <c r="F38" i="21"/>
  <c r="G38" i="21"/>
  <c r="H38" i="21"/>
  <c r="B39" i="21"/>
  <c r="C39" i="21"/>
  <c r="D39" i="21"/>
  <c r="E39" i="21"/>
  <c r="F39" i="21"/>
  <c r="G39" i="21"/>
  <c r="H39" i="21"/>
  <c r="B40" i="21"/>
  <c r="C40" i="21"/>
  <c r="D40" i="21"/>
  <c r="E40" i="21"/>
  <c r="F40" i="21"/>
  <c r="G40" i="21"/>
  <c r="H40" i="21"/>
  <c r="B41" i="21"/>
  <c r="C41" i="21"/>
  <c r="D41" i="21"/>
  <c r="E41" i="21"/>
  <c r="F41" i="21"/>
  <c r="G41" i="21"/>
  <c r="H41" i="21"/>
  <c r="B42" i="21"/>
  <c r="C42" i="21"/>
  <c r="D42" i="21"/>
  <c r="E42" i="21"/>
  <c r="F42" i="21"/>
  <c r="G42" i="21"/>
  <c r="H42" i="21"/>
  <c r="B43" i="21"/>
  <c r="C43" i="21"/>
  <c r="D43" i="21"/>
  <c r="E43" i="21"/>
  <c r="F43" i="21"/>
  <c r="G43" i="21"/>
  <c r="H43" i="21"/>
  <c r="B44" i="21"/>
  <c r="C44" i="21"/>
  <c r="D44" i="21"/>
  <c r="E44" i="21"/>
  <c r="F44" i="21"/>
  <c r="G44" i="21"/>
  <c r="H44" i="21"/>
  <c r="B45" i="21"/>
  <c r="C45" i="21"/>
  <c r="D45" i="21"/>
  <c r="E45" i="21"/>
  <c r="F45" i="21"/>
  <c r="G45" i="21"/>
  <c r="H45" i="21"/>
  <c r="B46" i="21"/>
  <c r="C46" i="21"/>
  <c r="D46" i="21"/>
  <c r="E46" i="21"/>
  <c r="F46" i="21"/>
  <c r="G46" i="21"/>
  <c r="H46" i="21"/>
  <c r="B47" i="21"/>
  <c r="C47" i="21"/>
  <c r="D47" i="21"/>
  <c r="E47" i="21"/>
  <c r="F47" i="21"/>
  <c r="G47" i="21"/>
  <c r="H47" i="21"/>
  <c r="B48" i="21"/>
  <c r="C48" i="21"/>
  <c r="D48" i="21"/>
  <c r="E48" i="21"/>
  <c r="F48" i="21"/>
  <c r="G48" i="21"/>
  <c r="H48" i="21"/>
  <c r="B49" i="21"/>
  <c r="C49" i="21"/>
  <c r="D49" i="21"/>
  <c r="E49" i="21"/>
  <c r="F49" i="21"/>
  <c r="G49" i="21"/>
  <c r="H49" i="21"/>
  <c r="B50" i="21"/>
  <c r="C50" i="21"/>
  <c r="D50" i="21"/>
  <c r="E50" i="21"/>
  <c r="F50" i="21"/>
  <c r="G50" i="21"/>
  <c r="H50" i="21"/>
  <c r="B51" i="21"/>
  <c r="C51" i="21"/>
  <c r="D51" i="21"/>
  <c r="E51" i="21"/>
  <c r="F51" i="21"/>
  <c r="G51" i="21"/>
  <c r="H51" i="21"/>
  <c r="B52" i="21"/>
  <c r="C52" i="21"/>
  <c r="D52" i="21"/>
  <c r="E52" i="21"/>
  <c r="F52" i="21"/>
  <c r="G52" i="21"/>
  <c r="H52" i="21"/>
  <c r="C59" i="20" l="1"/>
  <c r="D59" i="20"/>
  <c r="E59" i="20"/>
  <c r="F59" i="20"/>
  <c r="G59" i="20"/>
  <c r="H59" i="20"/>
  <c r="C62" i="20"/>
  <c r="D62" i="20"/>
  <c r="E62" i="20"/>
  <c r="F62" i="20"/>
  <c r="G62" i="20"/>
  <c r="H62" i="20"/>
  <c r="C63" i="20"/>
  <c r="D63" i="20"/>
  <c r="E63" i="20"/>
  <c r="F63" i="20"/>
  <c r="G63" i="20"/>
  <c r="H63" i="20"/>
  <c r="C64" i="20"/>
  <c r="D64" i="20"/>
  <c r="E64" i="20"/>
  <c r="F64" i="20"/>
  <c r="G64" i="20"/>
  <c r="H64" i="20"/>
  <c r="C65" i="20"/>
  <c r="D65" i="20"/>
  <c r="E65" i="20"/>
  <c r="F65" i="20"/>
  <c r="G65" i="20"/>
  <c r="H65" i="20"/>
  <c r="D52" i="20"/>
  <c r="E52" i="20"/>
  <c r="F52" i="20"/>
  <c r="G52" i="20"/>
  <c r="H52" i="20"/>
  <c r="D51" i="20"/>
  <c r="E51" i="20"/>
  <c r="F51" i="20"/>
  <c r="G51" i="20"/>
  <c r="H51" i="20"/>
  <c r="H84" i="20"/>
  <c r="G84" i="20"/>
  <c r="F84" i="20"/>
  <c r="E84" i="20"/>
  <c r="D84" i="20"/>
  <c r="C84" i="20"/>
  <c r="H83" i="20"/>
  <c r="G83" i="20"/>
  <c r="F83" i="20"/>
  <c r="E83" i="20"/>
  <c r="D83" i="20"/>
  <c r="C83" i="20"/>
  <c r="H82" i="20"/>
  <c r="G82" i="20"/>
  <c r="F82" i="20"/>
  <c r="E82" i="20"/>
  <c r="D82" i="20"/>
  <c r="C82" i="20"/>
  <c r="H81" i="20"/>
  <c r="G81" i="20"/>
  <c r="F81" i="20"/>
  <c r="E81" i="20"/>
  <c r="D81" i="20"/>
  <c r="C81" i="20"/>
  <c r="H80" i="20"/>
  <c r="G80" i="20"/>
  <c r="F80" i="20"/>
  <c r="E80" i="20"/>
  <c r="D80" i="20"/>
  <c r="C80" i="20"/>
  <c r="H79" i="20"/>
  <c r="G79" i="20"/>
  <c r="F79" i="20"/>
  <c r="E79" i="20"/>
  <c r="D79" i="20"/>
  <c r="C79" i="20"/>
  <c r="H78" i="20"/>
  <c r="G78" i="20"/>
  <c r="F78" i="20"/>
  <c r="E78" i="20"/>
  <c r="D78" i="20"/>
  <c r="C78" i="20"/>
  <c r="H77" i="20"/>
  <c r="G77" i="20"/>
  <c r="F77" i="20"/>
  <c r="E77" i="20"/>
  <c r="D77" i="20"/>
  <c r="C77" i="20"/>
  <c r="H76" i="20"/>
  <c r="G76" i="20"/>
  <c r="F76" i="20"/>
  <c r="E76" i="20"/>
  <c r="D76" i="20"/>
  <c r="C76" i="20"/>
  <c r="H75" i="20"/>
  <c r="G75" i="20"/>
  <c r="F75" i="20"/>
  <c r="E75" i="20"/>
  <c r="D75" i="20"/>
  <c r="C75" i="20"/>
  <c r="H74" i="20"/>
  <c r="G74" i="20"/>
  <c r="F74" i="20"/>
  <c r="E74" i="20"/>
  <c r="D74" i="20"/>
  <c r="C74" i="20"/>
  <c r="H73" i="20"/>
  <c r="G73" i="20"/>
  <c r="F73" i="20"/>
  <c r="E73" i="20"/>
  <c r="D73" i="20"/>
  <c r="C73" i="20"/>
  <c r="H72" i="20"/>
  <c r="G72" i="20"/>
  <c r="F72" i="20"/>
  <c r="E72" i="20"/>
  <c r="D72" i="20"/>
  <c r="C72" i="20"/>
  <c r="H71" i="20"/>
  <c r="G71" i="20"/>
  <c r="F71" i="20"/>
  <c r="E71" i="20"/>
  <c r="D71" i="20"/>
  <c r="C71" i="20"/>
  <c r="H70" i="20"/>
  <c r="G70" i="20"/>
  <c r="F70" i="20"/>
  <c r="E70" i="20"/>
  <c r="D70" i="20"/>
  <c r="C70" i="20"/>
  <c r="C52" i="20"/>
  <c r="C51" i="20"/>
  <c r="H46" i="20"/>
  <c r="G46" i="20"/>
  <c r="F46" i="20"/>
  <c r="E46" i="20"/>
  <c r="D46" i="20"/>
  <c r="C46" i="20"/>
  <c r="H45" i="20"/>
  <c r="G45" i="20"/>
  <c r="F45" i="20"/>
  <c r="E45" i="20"/>
  <c r="D45" i="20"/>
  <c r="C45" i="20"/>
  <c r="H44" i="20"/>
  <c r="G44" i="20"/>
  <c r="F44" i="20"/>
  <c r="E44" i="20"/>
  <c r="D44" i="20"/>
  <c r="C44" i="20"/>
  <c r="H43" i="20"/>
  <c r="G43" i="20"/>
  <c r="F43" i="20"/>
  <c r="E43" i="20"/>
  <c r="D43" i="20"/>
  <c r="C43" i="20"/>
  <c r="H34" i="20"/>
  <c r="G34" i="20"/>
  <c r="F34" i="20"/>
  <c r="E34" i="20"/>
  <c r="D34" i="20"/>
  <c r="C34" i="20"/>
  <c r="H33" i="20"/>
  <c r="G33" i="20"/>
  <c r="F33" i="20"/>
  <c r="E33" i="20"/>
  <c r="D33" i="20"/>
  <c r="C33" i="20"/>
  <c r="H32" i="20"/>
  <c r="G32" i="20"/>
  <c r="F32" i="20"/>
  <c r="E32" i="20"/>
  <c r="D32" i="20"/>
  <c r="C32" i="20"/>
  <c r="H27" i="20"/>
  <c r="G27" i="20"/>
  <c r="F27" i="20"/>
  <c r="E27" i="20"/>
  <c r="D27" i="20"/>
  <c r="C27" i="20"/>
  <c r="H26" i="20"/>
  <c r="G26" i="20"/>
  <c r="F26" i="20"/>
  <c r="E26" i="20"/>
  <c r="D26" i="20"/>
  <c r="C26" i="20"/>
  <c r="H25" i="20"/>
  <c r="G25" i="20"/>
  <c r="F25" i="20"/>
  <c r="E25" i="20"/>
  <c r="D25" i="20"/>
  <c r="C25" i="20"/>
  <c r="H24" i="20"/>
  <c r="G24" i="20"/>
  <c r="F24" i="20"/>
  <c r="E24" i="20"/>
  <c r="D24" i="20"/>
  <c r="C24" i="20"/>
  <c r="C17" i="20"/>
  <c r="H15" i="20"/>
  <c r="G15" i="20"/>
  <c r="F15" i="20"/>
  <c r="E15" i="20"/>
  <c r="D15" i="20"/>
  <c r="C15" i="20"/>
  <c r="H14" i="20"/>
  <c r="G14" i="20"/>
  <c r="F14" i="20"/>
  <c r="E14" i="20"/>
  <c r="D14" i="20"/>
  <c r="C14" i="20"/>
  <c r="H13" i="20"/>
  <c r="G13" i="20"/>
  <c r="F13" i="20"/>
  <c r="E13" i="20"/>
  <c r="D13" i="20"/>
  <c r="C13" i="20"/>
  <c r="H4" i="20"/>
  <c r="G4" i="20"/>
  <c r="F4" i="20"/>
  <c r="E4" i="20"/>
  <c r="D4" i="20"/>
  <c r="C4" i="20"/>
  <c r="B4" i="20"/>
  <c r="J26" i="11"/>
  <c r="J41" i="11"/>
  <c r="J42" i="11"/>
  <c r="J43" i="11"/>
  <c r="J44" i="11"/>
  <c r="J45" i="11"/>
  <c r="J46" i="11"/>
  <c r="J47" i="11"/>
  <c r="J48" i="11"/>
  <c r="J49" i="11"/>
  <c r="J50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4" i="11"/>
  <c r="C16" i="20" s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C4" i="11"/>
  <c r="D16" i="20" s="1"/>
  <c r="C6" i="11"/>
  <c r="B46" i="11"/>
  <c r="J4" i="11"/>
  <c r="C35" i="20" s="1"/>
  <c r="I2" i="19"/>
  <c r="C21" i="20" l="1"/>
  <c r="C42" i="20"/>
  <c r="H85" i="20"/>
  <c r="D85" i="20"/>
  <c r="C85" i="20"/>
  <c r="E85" i="20"/>
  <c r="F85" i="20"/>
  <c r="G85" i="20"/>
  <c r="C18" i="20"/>
  <c r="C23" i="20"/>
  <c r="C20" i="20"/>
  <c r="C19" i="20"/>
  <c r="C22" i="20"/>
  <c r="I2" i="7"/>
  <c r="B47" i="7"/>
  <c r="I2" i="6"/>
  <c r="I2" i="5"/>
  <c r="I2" i="4"/>
  <c r="I2" i="3"/>
  <c r="I2" i="1"/>
  <c r="C28" i="20" l="1"/>
  <c r="B85" i="20"/>
  <c r="B2" i="19"/>
  <c r="C53" i="20" l="1"/>
  <c r="D53" i="20"/>
  <c r="E53" i="20"/>
  <c r="F53" i="20"/>
  <c r="G53" i="20"/>
  <c r="H53" i="20"/>
  <c r="D54" i="20"/>
  <c r="F54" i="20"/>
  <c r="H54" i="20"/>
  <c r="C55" i="20"/>
  <c r="D55" i="20"/>
  <c r="E55" i="20"/>
  <c r="F55" i="20"/>
  <c r="G55" i="20"/>
  <c r="H55" i="20"/>
  <c r="E56" i="20"/>
  <c r="F56" i="20"/>
  <c r="G56" i="20"/>
  <c r="C57" i="20"/>
  <c r="D57" i="20"/>
  <c r="E57" i="20"/>
  <c r="G57" i="20"/>
  <c r="C58" i="20"/>
  <c r="E58" i="20"/>
  <c r="C60" i="20"/>
  <c r="D60" i="20"/>
  <c r="E60" i="20"/>
  <c r="F60" i="20"/>
  <c r="G60" i="20"/>
  <c r="H60" i="20"/>
  <c r="C61" i="20"/>
  <c r="D61" i="20"/>
  <c r="E61" i="20"/>
  <c r="F61" i="20"/>
  <c r="G61" i="20"/>
  <c r="H61" i="20"/>
  <c r="D4" i="11"/>
  <c r="E16" i="20" s="1"/>
  <c r="E4" i="11"/>
  <c r="F16" i="20" s="1"/>
  <c r="F4" i="11"/>
  <c r="G16" i="20" s="1"/>
  <c r="G4" i="11"/>
  <c r="H16" i="20" s="1"/>
  <c r="K4" i="11"/>
  <c r="D35" i="20" s="1"/>
  <c r="L4" i="11"/>
  <c r="E35" i="20" s="1"/>
  <c r="M4" i="11"/>
  <c r="F35" i="20" s="1"/>
  <c r="N4" i="11"/>
  <c r="G35" i="20" s="1"/>
  <c r="O4" i="11"/>
  <c r="H35" i="20" s="1"/>
  <c r="C5" i="11"/>
  <c r="D17" i="20" s="1"/>
  <c r="D5" i="11"/>
  <c r="E17" i="20" s="1"/>
  <c r="E5" i="11"/>
  <c r="F17" i="20" s="1"/>
  <c r="F5" i="11"/>
  <c r="G17" i="20" s="1"/>
  <c r="G5" i="11"/>
  <c r="H17" i="20" s="1"/>
  <c r="J5" i="11"/>
  <c r="C36" i="20" s="1"/>
  <c r="K5" i="11"/>
  <c r="D36" i="20" s="1"/>
  <c r="L5" i="11"/>
  <c r="E36" i="20" s="1"/>
  <c r="M5" i="11"/>
  <c r="F36" i="20" s="1"/>
  <c r="N5" i="11"/>
  <c r="G36" i="20" s="1"/>
  <c r="O5" i="11"/>
  <c r="H36" i="20" s="1"/>
  <c r="D6" i="11"/>
  <c r="E6" i="11"/>
  <c r="F6" i="11"/>
  <c r="G6" i="11"/>
  <c r="J6" i="11"/>
  <c r="K6" i="11"/>
  <c r="L6" i="11"/>
  <c r="M6" i="11"/>
  <c r="N6" i="11"/>
  <c r="O6" i="11"/>
  <c r="C7" i="11"/>
  <c r="D7" i="11"/>
  <c r="E7" i="11"/>
  <c r="F7" i="11"/>
  <c r="G7" i="11"/>
  <c r="J7" i="11"/>
  <c r="K7" i="11"/>
  <c r="L7" i="11"/>
  <c r="M7" i="11"/>
  <c r="N7" i="11"/>
  <c r="O7" i="11"/>
  <c r="C8" i="11"/>
  <c r="D8" i="11"/>
  <c r="E8" i="11"/>
  <c r="F8" i="11"/>
  <c r="G8" i="11"/>
  <c r="J8" i="11"/>
  <c r="K8" i="11"/>
  <c r="L8" i="11"/>
  <c r="M8" i="11"/>
  <c r="N8" i="11"/>
  <c r="O8" i="11"/>
  <c r="C9" i="11"/>
  <c r="D9" i="11"/>
  <c r="E9" i="11"/>
  <c r="F9" i="11"/>
  <c r="G9" i="11"/>
  <c r="J9" i="11"/>
  <c r="K9" i="11"/>
  <c r="L9" i="11"/>
  <c r="N9" i="11"/>
  <c r="O9" i="11"/>
  <c r="C10" i="11"/>
  <c r="D10" i="11"/>
  <c r="E10" i="11"/>
  <c r="F10" i="11"/>
  <c r="G10" i="11"/>
  <c r="J10" i="11"/>
  <c r="K10" i="11"/>
  <c r="L10" i="11"/>
  <c r="M10" i="11"/>
  <c r="N10" i="11"/>
  <c r="O10" i="11"/>
  <c r="C11" i="11"/>
  <c r="D11" i="11"/>
  <c r="E11" i="11"/>
  <c r="F11" i="11"/>
  <c r="G11" i="11"/>
  <c r="J11" i="11"/>
  <c r="K11" i="11"/>
  <c r="L11" i="11"/>
  <c r="M11" i="11"/>
  <c r="N11" i="11"/>
  <c r="O11" i="11"/>
  <c r="C12" i="11"/>
  <c r="D12" i="11"/>
  <c r="E12" i="11"/>
  <c r="F12" i="11"/>
  <c r="G12" i="11"/>
  <c r="J12" i="11"/>
  <c r="K12" i="11"/>
  <c r="L12" i="11"/>
  <c r="N12" i="11"/>
  <c r="O12" i="11"/>
  <c r="C13" i="11"/>
  <c r="D13" i="11"/>
  <c r="E13" i="11"/>
  <c r="F13" i="11"/>
  <c r="G13" i="11"/>
  <c r="J13" i="11"/>
  <c r="K13" i="11"/>
  <c r="L13" i="11"/>
  <c r="M13" i="11"/>
  <c r="N13" i="11"/>
  <c r="O13" i="11"/>
  <c r="C14" i="11"/>
  <c r="D14" i="11"/>
  <c r="E14" i="11"/>
  <c r="F14" i="11"/>
  <c r="G14" i="11"/>
  <c r="J14" i="11"/>
  <c r="K14" i="11"/>
  <c r="L14" i="11"/>
  <c r="M14" i="11"/>
  <c r="N14" i="11"/>
  <c r="O14" i="11"/>
  <c r="C15" i="11"/>
  <c r="D15" i="11"/>
  <c r="E15" i="11"/>
  <c r="F15" i="11"/>
  <c r="G15" i="11"/>
  <c r="J15" i="11"/>
  <c r="K15" i="11"/>
  <c r="L15" i="11"/>
  <c r="M15" i="11"/>
  <c r="N15" i="11"/>
  <c r="O15" i="11"/>
  <c r="C16" i="11"/>
  <c r="D16" i="11"/>
  <c r="E16" i="11"/>
  <c r="F16" i="11"/>
  <c r="G16" i="11"/>
  <c r="J16" i="11"/>
  <c r="K16" i="11"/>
  <c r="L16" i="11"/>
  <c r="M16" i="11"/>
  <c r="N16" i="11"/>
  <c r="O16" i="11"/>
  <c r="C17" i="11"/>
  <c r="D17" i="11"/>
  <c r="E17" i="11"/>
  <c r="F17" i="11"/>
  <c r="G17" i="11"/>
  <c r="J17" i="11"/>
  <c r="K17" i="11"/>
  <c r="L17" i="11"/>
  <c r="M17" i="11"/>
  <c r="N17" i="11"/>
  <c r="O17" i="11"/>
  <c r="C18" i="11"/>
  <c r="D18" i="11"/>
  <c r="E18" i="11"/>
  <c r="F18" i="11"/>
  <c r="G18" i="11"/>
  <c r="J18" i="11"/>
  <c r="K18" i="11"/>
  <c r="L18" i="11"/>
  <c r="M18" i="11"/>
  <c r="N18" i="11"/>
  <c r="O18" i="11"/>
  <c r="C19" i="11"/>
  <c r="D19" i="11"/>
  <c r="E19" i="11"/>
  <c r="F19" i="11"/>
  <c r="G19" i="11"/>
  <c r="J19" i="11"/>
  <c r="K19" i="11"/>
  <c r="L19" i="11"/>
  <c r="M19" i="11"/>
  <c r="N19" i="11"/>
  <c r="O19" i="11"/>
  <c r="C20" i="11"/>
  <c r="D20" i="11"/>
  <c r="E20" i="11"/>
  <c r="F20" i="11"/>
  <c r="G20" i="11"/>
  <c r="J20" i="11"/>
  <c r="K20" i="11"/>
  <c r="L20" i="11"/>
  <c r="M20" i="11"/>
  <c r="N20" i="11"/>
  <c r="O20" i="11"/>
  <c r="C21" i="11"/>
  <c r="D21" i="11"/>
  <c r="E21" i="11"/>
  <c r="F21" i="11"/>
  <c r="G21" i="11"/>
  <c r="J21" i="11"/>
  <c r="K21" i="11"/>
  <c r="L21" i="11"/>
  <c r="M21" i="11"/>
  <c r="N21" i="11"/>
  <c r="O21" i="11"/>
  <c r="C22" i="11"/>
  <c r="D22" i="11"/>
  <c r="E22" i="11"/>
  <c r="F22" i="11"/>
  <c r="G22" i="11"/>
  <c r="J22" i="11"/>
  <c r="K22" i="11"/>
  <c r="L22" i="11"/>
  <c r="M22" i="11"/>
  <c r="N22" i="11"/>
  <c r="O22" i="11"/>
  <c r="C23" i="11"/>
  <c r="D23" i="11"/>
  <c r="E23" i="11"/>
  <c r="F23" i="11"/>
  <c r="G23" i="11"/>
  <c r="J23" i="11"/>
  <c r="K23" i="11"/>
  <c r="L23" i="11"/>
  <c r="M23" i="11"/>
  <c r="N23" i="11"/>
  <c r="O23" i="11"/>
  <c r="C24" i="11"/>
  <c r="D24" i="11"/>
  <c r="E24" i="11"/>
  <c r="F24" i="11"/>
  <c r="G24" i="11"/>
  <c r="J24" i="11"/>
  <c r="K24" i="11"/>
  <c r="L24" i="11"/>
  <c r="M24" i="11"/>
  <c r="N24" i="11"/>
  <c r="O24" i="11"/>
  <c r="C25" i="11"/>
  <c r="D25" i="11"/>
  <c r="E25" i="11"/>
  <c r="F25" i="11"/>
  <c r="G25" i="11"/>
  <c r="J25" i="11"/>
  <c r="K25" i="11"/>
  <c r="L25" i="11"/>
  <c r="M25" i="11"/>
  <c r="N25" i="11"/>
  <c r="O25" i="11"/>
  <c r="C26" i="11"/>
  <c r="D26" i="11"/>
  <c r="E26" i="11"/>
  <c r="F26" i="11"/>
  <c r="G26" i="11"/>
  <c r="K26" i="11"/>
  <c r="L26" i="11"/>
  <c r="M26" i="11"/>
  <c r="N26" i="11"/>
  <c r="O26" i="11"/>
  <c r="C27" i="11"/>
  <c r="D27" i="11"/>
  <c r="E27" i="11"/>
  <c r="F27" i="11"/>
  <c r="G27" i="11"/>
  <c r="J27" i="11"/>
  <c r="K27" i="11"/>
  <c r="L27" i="11"/>
  <c r="M27" i="11"/>
  <c r="N27" i="11"/>
  <c r="O27" i="11"/>
  <c r="C28" i="11"/>
  <c r="D28" i="11"/>
  <c r="E28" i="11"/>
  <c r="F28" i="11"/>
  <c r="G28" i="11"/>
  <c r="J28" i="11"/>
  <c r="K28" i="11"/>
  <c r="L28" i="11"/>
  <c r="M28" i="11"/>
  <c r="N28" i="11"/>
  <c r="O28" i="11"/>
  <c r="C29" i="11"/>
  <c r="D29" i="11"/>
  <c r="E29" i="11"/>
  <c r="F29" i="11"/>
  <c r="G29" i="11"/>
  <c r="J29" i="11"/>
  <c r="K29" i="11"/>
  <c r="L29" i="11"/>
  <c r="M29" i="11"/>
  <c r="N29" i="11"/>
  <c r="O29" i="11"/>
  <c r="C30" i="11"/>
  <c r="D30" i="11"/>
  <c r="E30" i="11"/>
  <c r="F30" i="11"/>
  <c r="G30" i="11"/>
  <c r="J30" i="11"/>
  <c r="K30" i="11"/>
  <c r="L30" i="11"/>
  <c r="M30" i="11"/>
  <c r="N30" i="11"/>
  <c r="O30" i="11"/>
  <c r="C31" i="11"/>
  <c r="D31" i="11"/>
  <c r="E31" i="11"/>
  <c r="F31" i="11"/>
  <c r="G31" i="11"/>
  <c r="J31" i="11"/>
  <c r="K31" i="11"/>
  <c r="L31" i="11"/>
  <c r="M31" i="11"/>
  <c r="N31" i="11"/>
  <c r="O31" i="11"/>
  <c r="C32" i="11"/>
  <c r="D32" i="11"/>
  <c r="E32" i="11"/>
  <c r="F32" i="11"/>
  <c r="G32" i="11"/>
  <c r="J32" i="11"/>
  <c r="K32" i="11"/>
  <c r="L32" i="11"/>
  <c r="M32" i="11"/>
  <c r="N32" i="11"/>
  <c r="O32" i="11"/>
  <c r="C33" i="11"/>
  <c r="D33" i="11"/>
  <c r="E33" i="11"/>
  <c r="F33" i="11"/>
  <c r="G33" i="11"/>
  <c r="J33" i="11"/>
  <c r="K33" i="11"/>
  <c r="L33" i="11"/>
  <c r="M33" i="11"/>
  <c r="N33" i="11"/>
  <c r="O33" i="11"/>
  <c r="C34" i="11"/>
  <c r="D34" i="11"/>
  <c r="E34" i="11"/>
  <c r="F34" i="11"/>
  <c r="G34" i="11"/>
  <c r="J34" i="11"/>
  <c r="K34" i="11"/>
  <c r="L34" i="11"/>
  <c r="M34" i="11"/>
  <c r="N34" i="11"/>
  <c r="O34" i="11"/>
  <c r="C35" i="11"/>
  <c r="D35" i="11"/>
  <c r="E35" i="11"/>
  <c r="F35" i="11"/>
  <c r="G35" i="11"/>
  <c r="J35" i="11"/>
  <c r="K35" i="11"/>
  <c r="L35" i="11"/>
  <c r="M35" i="11"/>
  <c r="N35" i="11"/>
  <c r="O35" i="11"/>
  <c r="C36" i="11"/>
  <c r="D36" i="11"/>
  <c r="E36" i="11"/>
  <c r="F36" i="11"/>
  <c r="G36" i="11"/>
  <c r="J36" i="11"/>
  <c r="K36" i="11"/>
  <c r="L36" i="11"/>
  <c r="M36" i="11"/>
  <c r="N36" i="11"/>
  <c r="O36" i="11"/>
  <c r="C37" i="11"/>
  <c r="D37" i="11"/>
  <c r="E37" i="11"/>
  <c r="F37" i="11"/>
  <c r="G37" i="11"/>
  <c r="J37" i="11"/>
  <c r="K37" i="11"/>
  <c r="L37" i="11"/>
  <c r="M37" i="11"/>
  <c r="N37" i="11"/>
  <c r="O37" i="11"/>
  <c r="C38" i="11"/>
  <c r="D38" i="11"/>
  <c r="E38" i="11"/>
  <c r="F38" i="11"/>
  <c r="G38" i="11"/>
  <c r="J38" i="11"/>
  <c r="K38" i="11"/>
  <c r="L38" i="11"/>
  <c r="M38" i="11"/>
  <c r="N38" i="11"/>
  <c r="O38" i="11"/>
  <c r="C39" i="11"/>
  <c r="D39" i="11"/>
  <c r="E39" i="11"/>
  <c r="F39" i="11"/>
  <c r="G39" i="11"/>
  <c r="J39" i="11"/>
  <c r="K39" i="11"/>
  <c r="L39" i="11"/>
  <c r="M39" i="11"/>
  <c r="N39" i="11"/>
  <c r="O39" i="11"/>
  <c r="C40" i="11"/>
  <c r="D40" i="11"/>
  <c r="E40" i="11"/>
  <c r="F40" i="11"/>
  <c r="G40" i="11"/>
  <c r="J40" i="11"/>
  <c r="K40" i="11"/>
  <c r="L40" i="11"/>
  <c r="M40" i="11"/>
  <c r="N40" i="11"/>
  <c r="O40" i="11"/>
  <c r="C41" i="11"/>
  <c r="D41" i="11"/>
  <c r="E41" i="11"/>
  <c r="F41" i="11"/>
  <c r="G41" i="11"/>
  <c r="K41" i="11"/>
  <c r="L41" i="11"/>
  <c r="M41" i="11"/>
  <c r="N41" i="11"/>
  <c r="O41" i="11"/>
  <c r="C42" i="11"/>
  <c r="D42" i="11"/>
  <c r="E42" i="11"/>
  <c r="F42" i="11"/>
  <c r="G42" i="11"/>
  <c r="K42" i="11"/>
  <c r="L42" i="11"/>
  <c r="M42" i="11"/>
  <c r="N42" i="11"/>
  <c r="O42" i="11"/>
  <c r="C43" i="11"/>
  <c r="D43" i="11"/>
  <c r="E43" i="11"/>
  <c r="F43" i="11"/>
  <c r="G43" i="11"/>
  <c r="K43" i="11"/>
  <c r="L43" i="11"/>
  <c r="M43" i="11"/>
  <c r="N43" i="11"/>
  <c r="O43" i="11"/>
  <c r="C44" i="11"/>
  <c r="D44" i="11"/>
  <c r="E44" i="11"/>
  <c r="F44" i="11"/>
  <c r="G44" i="11"/>
  <c r="H23" i="20" s="1"/>
  <c r="K44" i="11"/>
  <c r="L44" i="11"/>
  <c r="M44" i="11"/>
  <c r="N44" i="11"/>
  <c r="O44" i="11"/>
  <c r="C45" i="11"/>
  <c r="D45" i="11"/>
  <c r="E45" i="11"/>
  <c r="F45" i="11"/>
  <c r="G45" i="11"/>
  <c r="K45" i="11"/>
  <c r="L45" i="11"/>
  <c r="M45" i="11"/>
  <c r="N45" i="11"/>
  <c r="O45" i="11"/>
  <c r="C46" i="11"/>
  <c r="D46" i="11"/>
  <c r="E46" i="11"/>
  <c r="F46" i="11"/>
  <c r="G46" i="11"/>
  <c r="K46" i="11"/>
  <c r="L46" i="11"/>
  <c r="M46" i="11"/>
  <c r="N46" i="11"/>
  <c r="O46" i="11"/>
  <c r="C47" i="11"/>
  <c r="D47" i="11"/>
  <c r="E47" i="11"/>
  <c r="F47" i="11"/>
  <c r="G47" i="11"/>
  <c r="K47" i="11"/>
  <c r="L47" i="11"/>
  <c r="M47" i="11"/>
  <c r="N47" i="11"/>
  <c r="O47" i="11"/>
  <c r="C48" i="11"/>
  <c r="D48" i="11"/>
  <c r="E48" i="11"/>
  <c r="F48" i="11"/>
  <c r="G48" i="11"/>
  <c r="K48" i="11"/>
  <c r="L48" i="11"/>
  <c r="M48" i="11"/>
  <c r="N48" i="11"/>
  <c r="O48" i="11"/>
  <c r="C49" i="11"/>
  <c r="D49" i="11"/>
  <c r="E49" i="11"/>
  <c r="F49" i="11"/>
  <c r="G49" i="11"/>
  <c r="K49" i="11"/>
  <c r="L49" i="11"/>
  <c r="M49" i="11"/>
  <c r="N49" i="11"/>
  <c r="O49" i="11"/>
  <c r="C50" i="11"/>
  <c r="D50" i="11"/>
  <c r="E50" i="11"/>
  <c r="F50" i="11"/>
  <c r="G50" i="11"/>
  <c r="K50" i="11"/>
  <c r="L50" i="11"/>
  <c r="M50" i="11"/>
  <c r="N50" i="11"/>
  <c r="O50" i="11"/>
  <c r="C51" i="11"/>
  <c r="D51" i="11"/>
  <c r="E51" i="11"/>
  <c r="F51" i="11"/>
  <c r="G51" i="11"/>
  <c r="J51" i="11"/>
  <c r="K51" i="11"/>
  <c r="L51" i="11"/>
  <c r="M51" i="11"/>
  <c r="N51" i="11"/>
  <c r="O51" i="11"/>
  <c r="C52" i="11"/>
  <c r="D52" i="11"/>
  <c r="E52" i="11"/>
  <c r="F52" i="11"/>
  <c r="G52" i="11"/>
  <c r="J52" i="11"/>
  <c r="K52" i="11"/>
  <c r="L52" i="11"/>
  <c r="M52" i="11"/>
  <c r="N52" i="11"/>
  <c r="O52" i="11"/>
  <c r="C53" i="11"/>
  <c r="D53" i="11"/>
  <c r="E53" i="11"/>
  <c r="F53" i="11"/>
  <c r="G53" i="11"/>
  <c r="J53" i="11"/>
  <c r="K53" i="11"/>
  <c r="L53" i="11"/>
  <c r="M53" i="11"/>
  <c r="N53" i="11"/>
  <c r="O53" i="11"/>
  <c r="C54" i="11"/>
  <c r="D54" i="11"/>
  <c r="E54" i="11"/>
  <c r="F54" i="11"/>
  <c r="G54" i="11"/>
  <c r="J54" i="11"/>
  <c r="K54" i="11"/>
  <c r="L54" i="11"/>
  <c r="M54" i="11"/>
  <c r="N54" i="11"/>
  <c r="O54" i="11"/>
  <c r="C55" i="11"/>
  <c r="D55" i="11"/>
  <c r="E55" i="11"/>
  <c r="F55" i="11"/>
  <c r="G55" i="11"/>
  <c r="J55" i="11"/>
  <c r="K55" i="11"/>
  <c r="L55" i="11"/>
  <c r="M55" i="11"/>
  <c r="N55" i="11"/>
  <c r="O55" i="11"/>
  <c r="C56" i="11"/>
  <c r="D56" i="11"/>
  <c r="E56" i="11"/>
  <c r="F56" i="11"/>
  <c r="G56" i="11"/>
  <c r="J56" i="11"/>
  <c r="K56" i="11"/>
  <c r="L56" i="11"/>
  <c r="M56" i="11"/>
  <c r="N56" i="11"/>
  <c r="O56" i="11"/>
  <c r="C57" i="11"/>
  <c r="D57" i="11"/>
  <c r="E57" i="11"/>
  <c r="F57" i="11"/>
  <c r="G57" i="11"/>
  <c r="J57" i="11"/>
  <c r="K57" i="11"/>
  <c r="L57" i="11"/>
  <c r="M57" i="11"/>
  <c r="N57" i="11"/>
  <c r="O57" i="11"/>
  <c r="C58" i="11"/>
  <c r="D58" i="11"/>
  <c r="E58" i="11"/>
  <c r="F58" i="11"/>
  <c r="G58" i="11"/>
  <c r="J58" i="11"/>
  <c r="K58" i="11"/>
  <c r="L58" i="11"/>
  <c r="M58" i="11"/>
  <c r="N58" i="11"/>
  <c r="O58" i="11"/>
  <c r="C59" i="11"/>
  <c r="D59" i="11"/>
  <c r="E59" i="11"/>
  <c r="F59" i="11"/>
  <c r="G59" i="11"/>
  <c r="J59" i="11"/>
  <c r="K59" i="11"/>
  <c r="L59" i="11"/>
  <c r="M59" i="11"/>
  <c r="N59" i="11"/>
  <c r="O59" i="11"/>
  <c r="C60" i="11"/>
  <c r="D60" i="11"/>
  <c r="E60" i="11"/>
  <c r="F60" i="11"/>
  <c r="G60" i="11"/>
  <c r="J60" i="11"/>
  <c r="K60" i="11"/>
  <c r="L60" i="11"/>
  <c r="M60" i="11"/>
  <c r="N60" i="11"/>
  <c r="O60" i="11"/>
  <c r="C61" i="11"/>
  <c r="D61" i="11"/>
  <c r="E61" i="11"/>
  <c r="F61" i="11"/>
  <c r="G61" i="11"/>
  <c r="J61" i="11"/>
  <c r="K61" i="11"/>
  <c r="L61" i="11"/>
  <c r="M61" i="11"/>
  <c r="N61" i="11"/>
  <c r="O61" i="11"/>
  <c r="D39" i="20" l="1"/>
  <c r="F38" i="20"/>
  <c r="D37" i="20"/>
  <c r="C41" i="20"/>
  <c r="H42" i="20"/>
  <c r="H40" i="20"/>
  <c r="F23" i="20"/>
  <c r="D41" i="20"/>
  <c r="G21" i="20"/>
  <c r="E39" i="20"/>
  <c r="G38" i="20"/>
  <c r="E19" i="20"/>
  <c r="E37" i="20"/>
  <c r="G40" i="20"/>
  <c r="E21" i="20"/>
  <c r="C39" i="20"/>
  <c r="E38" i="20"/>
  <c r="C37" i="20"/>
  <c r="C47" i="20" s="1"/>
  <c r="G42" i="20"/>
  <c r="D23" i="20"/>
  <c r="F40" i="20"/>
  <c r="H20" i="20"/>
  <c r="D38" i="20"/>
  <c r="F42" i="20"/>
  <c r="H41" i="20"/>
  <c r="E40" i="20"/>
  <c r="C38" i="20"/>
  <c r="E42" i="20"/>
  <c r="G41" i="20"/>
  <c r="D40" i="20"/>
  <c r="H39" i="20"/>
  <c r="H37" i="20"/>
  <c r="F18" i="20"/>
  <c r="D42" i="20"/>
  <c r="F41" i="20"/>
  <c r="C40" i="20"/>
  <c r="G39" i="20"/>
  <c r="G37" i="20"/>
  <c r="G47" i="20" s="1"/>
  <c r="E41" i="20"/>
  <c r="E47" i="20" s="1"/>
  <c r="F39" i="20"/>
  <c r="H38" i="20"/>
  <c r="F37" i="20"/>
  <c r="H22" i="20"/>
  <c r="D21" i="20"/>
  <c r="G20" i="20"/>
  <c r="E18" i="20"/>
  <c r="E28" i="20" s="1"/>
  <c r="H58" i="20"/>
  <c r="D56" i="20"/>
  <c r="C54" i="20"/>
  <c r="G22" i="20"/>
  <c r="F20" i="20"/>
  <c r="G58" i="20"/>
  <c r="C56" i="20"/>
  <c r="C66" i="20" s="1"/>
  <c r="F22" i="20"/>
  <c r="E20" i="20"/>
  <c r="H19" i="20"/>
  <c r="F58" i="20"/>
  <c r="H57" i="20"/>
  <c r="E22" i="20"/>
  <c r="D20" i="20"/>
  <c r="G19" i="20"/>
  <c r="G23" i="20"/>
  <c r="D22" i="20"/>
  <c r="H21" i="20"/>
  <c r="F19" i="20"/>
  <c r="D58" i="20"/>
  <c r="F57" i="20"/>
  <c r="H56" i="20"/>
  <c r="H66" i="20" s="1"/>
  <c r="G54" i="20"/>
  <c r="D18" i="20"/>
  <c r="D28" i="20" s="1"/>
  <c r="H18" i="20"/>
  <c r="E23" i="20"/>
  <c r="F21" i="20"/>
  <c r="D19" i="20"/>
  <c r="G18" i="20"/>
  <c r="E54" i="20"/>
  <c r="E66" i="20" s="1"/>
  <c r="J62" i="11"/>
  <c r="C2" i="20" s="1"/>
  <c r="C7" i="20" s="1"/>
  <c r="K62" i="11"/>
  <c r="D2" i="20" s="1"/>
  <c r="D7" i="20" s="1"/>
  <c r="N62" i="11"/>
  <c r="G2" i="20" s="1"/>
  <c r="G7" i="20" s="1"/>
  <c r="M62" i="11"/>
  <c r="F2" i="20" s="1"/>
  <c r="F7" i="20" s="1"/>
  <c r="O62" i="11"/>
  <c r="L62" i="11"/>
  <c r="E2" i="20" s="1"/>
  <c r="E7" i="20" s="1"/>
  <c r="D5" i="20"/>
  <c r="B3" i="20"/>
  <c r="F5" i="20"/>
  <c r="C5" i="20"/>
  <c r="H5" i="20"/>
  <c r="E5" i="20"/>
  <c r="B5" i="20"/>
  <c r="G5" i="20"/>
  <c r="D62" i="11"/>
  <c r="F62" i="11"/>
  <c r="C62" i="11"/>
  <c r="E62" i="11"/>
  <c r="B62" i="11"/>
  <c r="G62" i="11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H46" i="7"/>
  <c r="G46" i="7"/>
  <c r="F46" i="7"/>
  <c r="E46" i="7"/>
  <c r="D46" i="7"/>
  <c r="C46" i="7"/>
  <c r="B46" i="7"/>
  <c r="H45" i="7"/>
  <c r="G45" i="7"/>
  <c r="F45" i="7"/>
  <c r="E45" i="7"/>
  <c r="D45" i="7"/>
  <c r="C45" i="7"/>
  <c r="B45" i="7"/>
  <c r="H44" i="7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H40" i="7"/>
  <c r="G40" i="7"/>
  <c r="F40" i="7"/>
  <c r="E40" i="7"/>
  <c r="D40" i="7"/>
  <c r="C40" i="7"/>
  <c r="B40" i="7"/>
  <c r="H39" i="7"/>
  <c r="G39" i="7"/>
  <c r="F39" i="7"/>
  <c r="E39" i="7"/>
  <c r="D39" i="7"/>
  <c r="C39" i="7"/>
  <c r="B39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6" i="7"/>
  <c r="G6" i="7"/>
  <c r="F6" i="7"/>
  <c r="E6" i="7"/>
  <c r="D6" i="7"/>
  <c r="C6" i="7"/>
  <c r="B6" i="7"/>
  <c r="H5" i="7"/>
  <c r="G5" i="7"/>
  <c r="F5" i="7"/>
  <c r="E5" i="7"/>
  <c r="D5" i="7"/>
  <c r="C5" i="7"/>
  <c r="B5" i="7"/>
  <c r="B2" i="7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5" i="6"/>
  <c r="G45" i="6"/>
  <c r="F45" i="6"/>
  <c r="E45" i="6"/>
  <c r="D45" i="6"/>
  <c r="C45" i="6"/>
  <c r="B45" i="6"/>
  <c r="H44" i="6"/>
  <c r="G44" i="6"/>
  <c r="F44" i="6"/>
  <c r="E44" i="6"/>
  <c r="D44" i="6"/>
  <c r="C44" i="6"/>
  <c r="B44" i="6"/>
  <c r="H43" i="6"/>
  <c r="G43" i="6"/>
  <c r="F43" i="6"/>
  <c r="E43" i="6"/>
  <c r="D43" i="6"/>
  <c r="C43" i="6"/>
  <c r="B43" i="6"/>
  <c r="H42" i="6"/>
  <c r="G42" i="6"/>
  <c r="F42" i="6"/>
  <c r="E42" i="6"/>
  <c r="D42" i="6"/>
  <c r="C42" i="6"/>
  <c r="B42" i="6"/>
  <c r="H41" i="6"/>
  <c r="G41" i="6"/>
  <c r="F41" i="6"/>
  <c r="E41" i="6"/>
  <c r="D41" i="6"/>
  <c r="C41" i="6"/>
  <c r="B41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C6" i="6"/>
  <c r="B6" i="6"/>
  <c r="H5" i="6"/>
  <c r="G5" i="6"/>
  <c r="F5" i="6"/>
  <c r="E5" i="6"/>
  <c r="D5" i="6"/>
  <c r="C5" i="6"/>
  <c r="B5" i="6"/>
  <c r="B2" i="6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H7" i="5"/>
  <c r="G7" i="5"/>
  <c r="F7" i="5"/>
  <c r="E7" i="5"/>
  <c r="D7" i="5"/>
  <c r="C7" i="5"/>
  <c r="B7" i="5"/>
  <c r="H6" i="5"/>
  <c r="C6" i="5"/>
  <c r="B6" i="5"/>
  <c r="H5" i="5"/>
  <c r="G5" i="5"/>
  <c r="F5" i="5"/>
  <c r="E5" i="5"/>
  <c r="D5" i="5"/>
  <c r="C5" i="5"/>
  <c r="B5" i="5"/>
  <c r="B2" i="5"/>
  <c r="H52" i="4"/>
  <c r="G52" i="4"/>
  <c r="F52" i="4"/>
  <c r="E52" i="4"/>
  <c r="D52" i="4"/>
  <c r="C52" i="4"/>
  <c r="B52" i="4"/>
  <c r="H51" i="4"/>
  <c r="G51" i="4"/>
  <c r="F51" i="4"/>
  <c r="E51" i="4"/>
  <c r="D51" i="4"/>
  <c r="C51" i="4"/>
  <c r="B51" i="4"/>
  <c r="H50" i="4"/>
  <c r="G50" i="4"/>
  <c r="F50" i="4"/>
  <c r="E50" i="4"/>
  <c r="D50" i="4"/>
  <c r="C50" i="4"/>
  <c r="B50" i="4"/>
  <c r="H49" i="4"/>
  <c r="G49" i="4"/>
  <c r="F49" i="4"/>
  <c r="E49" i="4"/>
  <c r="D49" i="4"/>
  <c r="C49" i="4"/>
  <c r="B49" i="4"/>
  <c r="H48" i="4"/>
  <c r="G48" i="4"/>
  <c r="F48" i="4"/>
  <c r="E48" i="4"/>
  <c r="D48" i="4"/>
  <c r="C48" i="4"/>
  <c r="B48" i="4"/>
  <c r="H47" i="4"/>
  <c r="G47" i="4"/>
  <c r="F47" i="4"/>
  <c r="E47" i="4"/>
  <c r="D47" i="4"/>
  <c r="C47" i="4"/>
  <c r="B47" i="4"/>
  <c r="H46" i="4"/>
  <c r="G46" i="4"/>
  <c r="F46" i="4"/>
  <c r="E46" i="4"/>
  <c r="D46" i="4"/>
  <c r="C46" i="4"/>
  <c r="B46" i="4"/>
  <c r="H45" i="4"/>
  <c r="G45" i="4"/>
  <c r="F45" i="4"/>
  <c r="E45" i="4"/>
  <c r="D45" i="4"/>
  <c r="C45" i="4"/>
  <c r="B45" i="4"/>
  <c r="H44" i="4"/>
  <c r="G44" i="4"/>
  <c r="F44" i="4"/>
  <c r="E44" i="4"/>
  <c r="D44" i="4"/>
  <c r="C44" i="4"/>
  <c r="B44" i="4"/>
  <c r="H43" i="4"/>
  <c r="G43" i="4"/>
  <c r="F43" i="4"/>
  <c r="E43" i="4"/>
  <c r="D43" i="4"/>
  <c r="C43" i="4"/>
  <c r="B43" i="4"/>
  <c r="H42" i="4"/>
  <c r="G42" i="4"/>
  <c r="F42" i="4"/>
  <c r="E42" i="4"/>
  <c r="D42" i="4"/>
  <c r="C42" i="4"/>
  <c r="B42" i="4"/>
  <c r="H41" i="4"/>
  <c r="G41" i="4"/>
  <c r="F41" i="4"/>
  <c r="E41" i="4"/>
  <c r="D41" i="4"/>
  <c r="C41" i="4"/>
  <c r="B41" i="4"/>
  <c r="H40" i="4"/>
  <c r="G40" i="4"/>
  <c r="F40" i="4"/>
  <c r="E40" i="4"/>
  <c r="D40" i="4"/>
  <c r="C40" i="4"/>
  <c r="B40" i="4"/>
  <c r="H39" i="4"/>
  <c r="G39" i="4"/>
  <c r="F39" i="4"/>
  <c r="E39" i="4"/>
  <c r="D39" i="4"/>
  <c r="C39" i="4"/>
  <c r="B39" i="4"/>
  <c r="H38" i="4"/>
  <c r="G38" i="4"/>
  <c r="F38" i="4"/>
  <c r="E38" i="4"/>
  <c r="D38" i="4"/>
  <c r="C38" i="4"/>
  <c r="B38" i="4"/>
  <c r="H37" i="4"/>
  <c r="G37" i="4"/>
  <c r="F37" i="4"/>
  <c r="E37" i="4"/>
  <c r="D37" i="4"/>
  <c r="C37" i="4"/>
  <c r="B37" i="4"/>
  <c r="H36" i="4"/>
  <c r="G36" i="4"/>
  <c r="F36" i="4"/>
  <c r="E36" i="4"/>
  <c r="D36" i="4"/>
  <c r="C36" i="4"/>
  <c r="B36" i="4"/>
  <c r="H35" i="4"/>
  <c r="G35" i="4"/>
  <c r="F35" i="4"/>
  <c r="E35" i="4"/>
  <c r="D35" i="4"/>
  <c r="C35" i="4"/>
  <c r="B35" i="4"/>
  <c r="H34" i="4"/>
  <c r="G34" i="4"/>
  <c r="F34" i="4"/>
  <c r="E34" i="4"/>
  <c r="D34" i="4"/>
  <c r="C34" i="4"/>
  <c r="B34" i="4"/>
  <c r="H33" i="4"/>
  <c r="G33" i="4"/>
  <c r="F33" i="4"/>
  <c r="E33" i="4"/>
  <c r="D33" i="4"/>
  <c r="C33" i="4"/>
  <c r="B33" i="4"/>
  <c r="H32" i="4"/>
  <c r="G32" i="4"/>
  <c r="F32" i="4"/>
  <c r="E32" i="4"/>
  <c r="D32" i="4"/>
  <c r="C32" i="4"/>
  <c r="B32" i="4"/>
  <c r="H31" i="4"/>
  <c r="G31" i="4"/>
  <c r="F31" i="4"/>
  <c r="E31" i="4"/>
  <c r="D31" i="4"/>
  <c r="C31" i="4"/>
  <c r="B31" i="4"/>
  <c r="H30" i="4"/>
  <c r="C30" i="4"/>
  <c r="B30" i="4"/>
  <c r="H29" i="4"/>
  <c r="G29" i="4"/>
  <c r="F29" i="4"/>
  <c r="E29" i="4"/>
  <c r="D29" i="4"/>
  <c r="C29" i="4"/>
  <c r="B29" i="4"/>
  <c r="H28" i="4"/>
  <c r="G28" i="4"/>
  <c r="F28" i="4"/>
  <c r="E28" i="4"/>
  <c r="D28" i="4"/>
  <c r="C28" i="4"/>
  <c r="B28" i="4"/>
  <c r="H27" i="4"/>
  <c r="C27" i="4"/>
  <c r="B27" i="4"/>
  <c r="H26" i="4"/>
  <c r="G26" i="4"/>
  <c r="F26" i="4"/>
  <c r="E26" i="4"/>
  <c r="D26" i="4"/>
  <c r="C26" i="4"/>
  <c r="B26" i="4"/>
  <c r="H25" i="4"/>
  <c r="G25" i="4"/>
  <c r="F25" i="4"/>
  <c r="E25" i="4"/>
  <c r="D25" i="4"/>
  <c r="C25" i="4"/>
  <c r="B25" i="4"/>
  <c r="H24" i="4"/>
  <c r="G24" i="4"/>
  <c r="F24" i="4"/>
  <c r="E24" i="4"/>
  <c r="D24" i="4"/>
  <c r="C24" i="4"/>
  <c r="B24" i="4"/>
  <c r="H23" i="4"/>
  <c r="G23" i="4"/>
  <c r="F23" i="4"/>
  <c r="E23" i="4"/>
  <c r="D23" i="4"/>
  <c r="C23" i="4"/>
  <c r="B23" i="4"/>
  <c r="H22" i="4"/>
  <c r="G22" i="4"/>
  <c r="F22" i="4"/>
  <c r="E22" i="4"/>
  <c r="D22" i="4"/>
  <c r="C22" i="4"/>
  <c r="B22" i="4"/>
  <c r="H21" i="4"/>
  <c r="G21" i="4"/>
  <c r="F21" i="4"/>
  <c r="E21" i="4"/>
  <c r="D21" i="4"/>
  <c r="C21" i="4"/>
  <c r="B21" i="4"/>
  <c r="H20" i="4"/>
  <c r="G20" i="4"/>
  <c r="F20" i="4"/>
  <c r="E20" i="4"/>
  <c r="D20" i="4"/>
  <c r="C20" i="4"/>
  <c r="B20" i="4"/>
  <c r="H19" i="4"/>
  <c r="G19" i="4"/>
  <c r="F19" i="4"/>
  <c r="E19" i="4"/>
  <c r="D19" i="4"/>
  <c r="C19" i="4"/>
  <c r="B19" i="4"/>
  <c r="H18" i="4"/>
  <c r="G18" i="4"/>
  <c r="F18" i="4"/>
  <c r="E18" i="4"/>
  <c r="D18" i="4"/>
  <c r="C18" i="4"/>
  <c r="B18" i="4"/>
  <c r="H17" i="4"/>
  <c r="G17" i="4"/>
  <c r="F17" i="4"/>
  <c r="E17" i="4"/>
  <c r="D17" i="4"/>
  <c r="C17" i="4"/>
  <c r="B17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13" i="4"/>
  <c r="G13" i="4"/>
  <c r="F13" i="4"/>
  <c r="E13" i="4"/>
  <c r="D13" i="4"/>
  <c r="C13" i="4"/>
  <c r="B13" i="4"/>
  <c r="H12" i="4"/>
  <c r="G12" i="4"/>
  <c r="F12" i="4"/>
  <c r="E12" i="4"/>
  <c r="D12" i="4"/>
  <c r="C12" i="4"/>
  <c r="B12" i="4"/>
  <c r="H11" i="4"/>
  <c r="G11" i="4"/>
  <c r="F11" i="4"/>
  <c r="E11" i="4"/>
  <c r="D11" i="4"/>
  <c r="C11" i="4"/>
  <c r="B11" i="4"/>
  <c r="H10" i="4"/>
  <c r="G10" i="4"/>
  <c r="F10" i="4"/>
  <c r="E10" i="4"/>
  <c r="D10" i="4"/>
  <c r="C10" i="4"/>
  <c r="B10" i="4"/>
  <c r="H9" i="4"/>
  <c r="G9" i="4"/>
  <c r="F9" i="4"/>
  <c r="E9" i="4"/>
  <c r="D9" i="4"/>
  <c r="C9" i="4"/>
  <c r="B9" i="4"/>
  <c r="H8" i="4"/>
  <c r="G8" i="4"/>
  <c r="F8" i="4"/>
  <c r="E8" i="4"/>
  <c r="D8" i="4"/>
  <c r="C8" i="4"/>
  <c r="B8" i="4"/>
  <c r="H7" i="4"/>
  <c r="G7" i="4"/>
  <c r="F7" i="4"/>
  <c r="E7" i="4"/>
  <c r="D7" i="4"/>
  <c r="C7" i="4"/>
  <c r="B7" i="4"/>
  <c r="H6" i="4"/>
  <c r="C6" i="4"/>
  <c r="B6" i="4"/>
  <c r="H5" i="4"/>
  <c r="G5" i="4"/>
  <c r="F5" i="4"/>
  <c r="E5" i="4"/>
  <c r="D5" i="4"/>
  <c r="C5" i="4"/>
  <c r="B5" i="4"/>
  <c r="B2" i="4"/>
  <c r="H52" i="3"/>
  <c r="G52" i="3"/>
  <c r="F52" i="3"/>
  <c r="E52" i="3"/>
  <c r="D52" i="3"/>
  <c r="C52" i="3"/>
  <c r="B52" i="3"/>
  <c r="H51" i="3"/>
  <c r="G51" i="3"/>
  <c r="F51" i="3"/>
  <c r="E51" i="3"/>
  <c r="D51" i="3"/>
  <c r="C51" i="3"/>
  <c r="B51" i="3"/>
  <c r="H50" i="3"/>
  <c r="G50" i="3"/>
  <c r="F50" i="3"/>
  <c r="E50" i="3"/>
  <c r="D50" i="3"/>
  <c r="C50" i="3"/>
  <c r="B50" i="3"/>
  <c r="H49" i="3"/>
  <c r="G49" i="3"/>
  <c r="F49" i="3"/>
  <c r="E49" i="3"/>
  <c r="D49" i="3"/>
  <c r="C49" i="3"/>
  <c r="B49" i="3"/>
  <c r="H48" i="3"/>
  <c r="G48" i="3"/>
  <c r="F48" i="3"/>
  <c r="E48" i="3"/>
  <c r="D48" i="3"/>
  <c r="C48" i="3"/>
  <c r="B48" i="3"/>
  <c r="H47" i="3"/>
  <c r="G47" i="3"/>
  <c r="F47" i="3"/>
  <c r="E47" i="3"/>
  <c r="D47" i="3"/>
  <c r="C47" i="3"/>
  <c r="B47" i="3"/>
  <c r="H46" i="3"/>
  <c r="G46" i="3"/>
  <c r="F46" i="3"/>
  <c r="E46" i="3"/>
  <c r="D46" i="3"/>
  <c r="C46" i="3"/>
  <c r="B46" i="3"/>
  <c r="H45" i="3"/>
  <c r="G45" i="3"/>
  <c r="F45" i="3"/>
  <c r="E45" i="3"/>
  <c r="D45" i="3"/>
  <c r="C45" i="3"/>
  <c r="B45" i="3"/>
  <c r="H44" i="3"/>
  <c r="G44" i="3"/>
  <c r="F44" i="3"/>
  <c r="E44" i="3"/>
  <c r="D44" i="3"/>
  <c r="C44" i="3"/>
  <c r="B44" i="3"/>
  <c r="H43" i="3"/>
  <c r="G43" i="3"/>
  <c r="F43" i="3"/>
  <c r="E43" i="3"/>
  <c r="D43" i="3"/>
  <c r="C43" i="3"/>
  <c r="B43" i="3"/>
  <c r="H42" i="3"/>
  <c r="G42" i="3"/>
  <c r="F42" i="3"/>
  <c r="E42" i="3"/>
  <c r="D42" i="3"/>
  <c r="C42" i="3"/>
  <c r="B42" i="3"/>
  <c r="H41" i="3"/>
  <c r="G41" i="3"/>
  <c r="F41" i="3"/>
  <c r="E41" i="3"/>
  <c r="D41" i="3"/>
  <c r="C41" i="3"/>
  <c r="B41" i="3"/>
  <c r="H40" i="3"/>
  <c r="G40" i="3"/>
  <c r="F40" i="3"/>
  <c r="E40" i="3"/>
  <c r="D40" i="3"/>
  <c r="C40" i="3"/>
  <c r="B40" i="3"/>
  <c r="H39" i="3"/>
  <c r="G39" i="3"/>
  <c r="F39" i="3"/>
  <c r="E39" i="3"/>
  <c r="D39" i="3"/>
  <c r="C39" i="3"/>
  <c r="B39" i="3"/>
  <c r="H38" i="3"/>
  <c r="G38" i="3"/>
  <c r="F38" i="3"/>
  <c r="E38" i="3"/>
  <c r="D38" i="3"/>
  <c r="C38" i="3"/>
  <c r="B38" i="3"/>
  <c r="H37" i="3"/>
  <c r="G37" i="3"/>
  <c r="F37" i="3"/>
  <c r="E37" i="3"/>
  <c r="D37" i="3"/>
  <c r="C37" i="3"/>
  <c r="B37" i="3"/>
  <c r="H36" i="3"/>
  <c r="G36" i="3"/>
  <c r="F36" i="3"/>
  <c r="E36" i="3"/>
  <c r="D36" i="3"/>
  <c r="C36" i="3"/>
  <c r="B36" i="3"/>
  <c r="H35" i="3"/>
  <c r="G35" i="3"/>
  <c r="F35" i="3"/>
  <c r="E35" i="3"/>
  <c r="D35" i="3"/>
  <c r="C35" i="3"/>
  <c r="B35" i="3"/>
  <c r="H34" i="3"/>
  <c r="G34" i="3"/>
  <c r="F34" i="3"/>
  <c r="E34" i="3"/>
  <c r="D34" i="3"/>
  <c r="C34" i="3"/>
  <c r="B34" i="3"/>
  <c r="H33" i="3"/>
  <c r="G33" i="3"/>
  <c r="F33" i="3"/>
  <c r="E33" i="3"/>
  <c r="D33" i="3"/>
  <c r="C33" i="3"/>
  <c r="B33" i="3"/>
  <c r="H32" i="3"/>
  <c r="G32" i="3"/>
  <c r="F32" i="3"/>
  <c r="E32" i="3"/>
  <c r="D32" i="3"/>
  <c r="C32" i="3"/>
  <c r="B32" i="3"/>
  <c r="H31" i="3"/>
  <c r="G31" i="3"/>
  <c r="F31" i="3"/>
  <c r="E31" i="3"/>
  <c r="D31" i="3"/>
  <c r="C31" i="3"/>
  <c r="B31" i="3"/>
  <c r="H30" i="3"/>
  <c r="C30" i="3"/>
  <c r="B30" i="3"/>
  <c r="H29" i="3"/>
  <c r="G29" i="3"/>
  <c r="F29" i="3"/>
  <c r="E29" i="3"/>
  <c r="D29" i="3"/>
  <c r="C29" i="3"/>
  <c r="B29" i="3"/>
  <c r="H28" i="3"/>
  <c r="G28" i="3"/>
  <c r="F28" i="3"/>
  <c r="E28" i="3"/>
  <c r="D28" i="3"/>
  <c r="C28" i="3"/>
  <c r="B28" i="3"/>
  <c r="H27" i="3"/>
  <c r="G27" i="3"/>
  <c r="F27" i="3"/>
  <c r="E27" i="3"/>
  <c r="D27" i="3"/>
  <c r="C27" i="3"/>
  <c r="B27" i="3"/>
  <c r="H26" i="3"/>
  <c r="G26" i="3"/>
  <c r="F26" i="3"/>
  <c r="E26" i="3"/>
  <c r="D26" i="3"/>
  <c r="C26" i="3"/>
  <c r="B26" i="3"/>
  <c r="H25" i="3"/>
  <c r="G25" i="3"/>
  <c r="F25" i="3"/>
  <c r="E25" i="3"/>
  <c r="D25" i="3"/>
  <c r="C25" i="3"/>
  <c r="B25" i="3"/>
  <c r="H24" i="3"/>
  <c r="G24" i="3"/>
  <c r="F24" i="3"/>
  <c r="E24" i="3"/>
  <c r="D24" i="3"/>
  <c r="C24" i="3"/>
  <c r="B24" i="3"/>
  <c r="H23" i="3"/>
  <c r="G23" i="3"/>
  <c r="F23" i="3"/>
  <c r="E23" i="3"/>
  <c r="D23" i="3"/>
  <c r="C23" i="3"/>
  <c r="B23" i="3"/>
  <c r="H22" i="3"/>
  <c r="G22" i="3"/>
  <c r="F22" i="3"/>
  <c r="E22" i="3"/>
  <c r="D22" i="3"/>
  <c r="C22" i="3"/>
  <c r="B22" i="3"/>
  <c r="H21" i="3"/>
  <c r="G21" i="3"/>
  <c r="F21" i="3"/>
  <c r="E21" i="3"/>
  <c r="D21" i="3"/>
  <c r="C21" i="3"/>
  <c r="B21" i="3"/>
  <c r="H20" i="3"/>
  <c r="G20" i="3"/>
  <c r="F20" i="3"/>
  <c r="E20" i="3"/>
  <c r="D20" i="3"/>
  <c r="C20" i="3"/>
  <c r="B20" i="3"/>
  <c r="H19" i="3"/>
  <c r="G19" i="3"/>
  <c r="F19" i="3"/>
  <c r="E19" i="3"/>
  <c r="D19" i="3"/>
  <c r="C19" i="3"/>
  <c r="B19" i="3"/>
  <c r="H18" i="3"/>
  <c r="G18" i="3"/>
  <c r="F18" i="3"/>
  <c r="E18" i="3"/>
  <c r="D18" i="3"/>
  <c r="C18" i="3"/>
  <c r="B18" i="3"/>
  <c r="H17" i="3"/>
  <c r="G17" i="3"/>
  <c r="F17" i="3"/>
  <c r="E17" i="3"/>
  <c r="D17" i="3"/>
  <c r="C17" i="3"/>
  <c r="B17" i="3"/>
  <c r="H16" i="3"/>
  <c r="G16" i="3"/>
  <c r="F16" i="3"/>
  <c r="E16" i="3"/>
  <c r="D16" i="3"/>
  <c r="C16" i="3"/>
  <c r="B16" i="3"/>
  <c r="H15" i="3"/>
  <c r="G15" i="3"/>
  <c r="F15" i="3"/>
  <c r="E15" i="3"/>
  <c r="D15" i="3"/>
  <c r="C15" i="3"/>
  <c r="B15" i="3"/>
  <c r="H14" i="3"/>
  <c r="G14" i="3"/>
  <c r="F14" i="3"/>
  <c r="E14" i="3"/>
  <c r="D14" i="3"/>
  <c r="C14" i="3"/>
  <c r="B14" i="3"/>
  <c r="H13" i="3"/>
  <c r="G13" i="3"/>
  <c r="F13" i="3"/>
  <c r="E13" i="3"/>
  <c r="D13" i="3"/>
  <c r="C13" i="3"/>
  <c r="B13" i="3"/>
  <c r="H12" i="3"/>
  <c r="G12" i="3"/>
  <c r="F12" i="3"/>
  <c r="E12" i="3"/>
  <c r="D12" i="3"/>
  <c r="C12" i="3"/>
  <c r="B12" i="3"/>
  <c r="H11" i="3"/>
  <c r="G11" i="3"/>
  <c r="F11" i="3"/>
  <c r="E11" i="3"/>
  <c r="D11" i="3"/>
  <c r="C11" i="3"/>
  <c r="B11" i="3"/>
  <c r="H10" i="3"/>
  <c r="G10" i="3"/>
  <c r="F10" i="3"/>
  <c r="E10" i="3"/>
  <c r="D10" i="3"/>
  <c r="C10" i="3"/>
  <c r="B10" i="3"/>
  <c r="H9" i="3"/>
  <c r="G9" i="3"/>
  <c r="F9" i="3"/>
  <c r="E9" i="3"/>
  <c r="D9" i="3"/>
  <c r="C9" i="3"/>
  <c r="B9" i="3"/>
  <c r="H8" i="3"/>
  <c r="G8" i="3"/>
  <c r="F8" i="3"/>
  <c r="E8" i="3"/>
  <c r="D8" i="3"/>
  <c r="C8" i="3"/>
  <c r="B8" i="3"/>
  <c r="H7" i="3"/>
  <c r="G7" i="3"/>
  <c r="F7" i="3"/>
  <c r="E7" i="3"/>
  <c r="D7" i="3"/>
  <c r="C7" i="3"/>
  <c r="B7" i="3"/>
  <c r="H6" i="3"/>
  <c r="C6" i="3"/>
  <c r="B6" i="3"/>
  <c r="H5" i="3"/>
  <c r="G5" i="3"/>
  <c r="F5" i="3"/>
  <c r="E5" i="3"/>
  <c r="D5" i="3"/>
  <c r="C5" i="3"/>
  <c r="B5" i="3"/>
  <c r="B2" i="3"/>
  <c r="B2" i="1"/>
  <c r="D47" i="20" l="1"/>
  <c r="H2" i="20"/>
  <c r="H7" i="20" s="1"/>
  <c r="C3" i="20"/>
  <c r="C8" i="20" s="1"/>
  <c r="F47" i="20"/>
  <c r="H47" i="20"/>
  <c r="G66" i="20"/>
  <c r="B66" i="20" s="1"/>
  <c r="F66" i="20"/>
  <c r="D66" i="20"/>
  <c r="F28" i="20"/>
  <c r="H3" i="20"/>
  <c r="H8" i="20" s="1"/>
  <c r="F3" i="20"/>
  <c r="F8" i="20" s="1"/>
  <c r="G28" i="20"/>
  <c r="G3" i="20"/>
  <c r="G8" i="20" s="1"/>
  <c r="H28" i="20"/>
  <c r="B47" i="20"/>
  <c r="E3" i="20"/>
  <c r="E8" i="20" s="1"/>
  <c r="B8" i="20"/>
  <c r="H62" i="11"/>
  <c r="P62" i="11"/>
  <c r="B2" i="20" l="1"/>
  <c r="B7" i="20" s="1"/>
  <c r="D3" i="20"/>
  <c r="D8" i="20" s="1"/>
  <c r="B28" i="20"/>
  <c r="C36" i="9"/>
  <c r="D36" i="9"/>
</calcChain>
</file>

<file path=xl/sharedStrings.xml><?xml version="1.0" encoding="utf-8"?>
<sst xmlns="http://schemas.openxmlformats.org/spreadsheetml/2006/main" count="526" uniqueCount="191">
  <si>
    <t>New Folder Project Planner</t>
  </si>
  <si>
    <t xml:space="preserve"> Period Highlight:</t>
  </si>
  <si>
    <t>Plan Duration</t>
  </si>
  <si>
    <t>Actual Start</t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</si>
  <si>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</t>
    </r>
  </si>
  <si>
    <r>
      <rPr>
        <sz val="12"/>
        <color rgb="FF404040"/>
        <rFont val="Calibri"/>
        <family val="2"/>
        <charset val="1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</si>
  <si>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 (beyond plan)</t>
    </r>
  </si>
  <si>
    <t>ACTIVITY</t>
  </si>
  <si>
    <t>USER</t>
  </si>
  <si>
    <t>PLAN START</t>
  </si>
  <si>
    <t>PLAN DURATION</t>
  </si>
  <si>
    <t>ACTUAL START</t>
  </si>
  <si>
    <t>ACTUAL DURATION</t>
  </si>
  <si>
    <t>PERCENT COMPLETE</t>
  </si>
  <si>
    <t>PERIODS</t>
  </si>
  <si>
    <t>April</t>
  </si>
  <si>
    <t>May</t>
  </si>
  <si>
    <t>PDR</t>
  </si>
  <si>
    <t>T</t>
  </si>
  <si>
    <t>System</t>
  </si>
  <si>
    <t>P &amp; Br &amp; C &amp; Ba</t>
  </si>
  <si>
    <t>P &amp; Br</t>
  </si>
  <si>
    <t>C</t>
  </si>
  <si>
    <t>Ba</t>
  </si>
  <si>
    <t>Calibration - VHDL side</t>
  </si>
  <si>
    <t>Ba &amp; Br &amp; P</t>
  </si>
  <si>
    <t>VHDL</t>
  </si>
  <si>
    <t>Create PWM AXI on Vivado</t>
  </si>
  <si>
    <t>Create Ultrasonic sensor AXI on Vivado</t>
  </si>
  <si>
    <t>Write VHDL for sonic sensors</t>
  </si>
  <si>
    <t>Implement PWM final design</t>
  </si>
  <si>
    <t>Python</t>
  </si>
  <si>
    <t>C &amp; Z</t>
  </si>
  <si>
    <t>GUI - Create camera feed</t>
  </si>
  <si>
    <t>Z</t>
  </si>
  <si>
    <t>GUI - Create unknown map</t>
  </si>
  <si>
    <t>Create movement functions</t>
  </si>
  <si>
    <t>Implement Calibration process</t>
  </si>
  <si>
    <t>Make turning smart with gyro</t>
  </si>
  <si>
    <t>C Development</t>
  </si>
  <si>
    <t>Unit Test for writing to memory</t>
  </si>
  <si>
    <t>Write code to read sonic sensors</t>
  </si>
  <si>
    <t>Project Management</t>
  </si>
  <si>
    <t>An &amp; T &amp; ?</t>
  </si>
  <si>
    <t>Complete CDR Plan</t>
  </si>
  <si>
    <t>An</t>
  </si>
  <si>
    <t>Develop Tech Memo - PWM</t>
  </si>
  <si>
    <t>?</t>
  </si>
  <si>
    <t>Develop Tech Memo - Python</t>
  </si>
  <si>
    <t>Develop Tech Memo - Rover</t>
  </si>
  <si>
    <t>CDR PowerPoint</t>
  </si>
  <si>
    <t>CDR</t>
  </si>
  <si>
    <t>After We Finish</t>
  </si>
  <si>
    <t>C &amp; An</t>
  </si>
  <si>
    <t>Create sound board*</t>
  </si>
  <si>
    <t>TBA</t>
  </si>
  <si>
    <t>Implement Wireless Speaker</t>
  </si>
  <si>
    <t>Bach Project Planner</t>
  </si>
  <si>
    <t>Brandon Project Planner</t>
  </si>
  <si>
    <t>Cody Project Planner</t>
  </si>
  <si>
    <t>Peter Project Planner</t>
  </si>
  <si>
    <t>Zack Project Planner</t>
  </si>
  <si>
    <t>Create overview system design</t>
  </si>
  <si>
    <t>Team</t>
  </si>
  <si>
    <t>Block diagram for whole system</t>
  </si>
  <si>
    <t>System Requirements</t>
  </si>
  <si>
    <t>Bach</t>
  </si>
  <si>
    <t>Mechanical Drawings</t>
  </si>
  <si>
    <t>Sensor Trade Study* (choice of sensors)</t>
  </si>
  <si>
    <t>Team &amp; Bach</t>
  </si>
  <si>
    <t>Design functional test*</t>
  </si>
  <si>
    <t>VHDL - PWM (Duty Cycle)</t>
  </si>
  <si>
    <t>Peter &amp; Brandon</t>
  </si>
  <si>
    <t>Python - Encoders</t>
  </si>
  <si>
    <t>Cody</t>
  </si>
  <si>
    <t>VHDL &amp; C - Interrupts</t>
  </si>
  <si>
    <t>Derive Requirements for VHDL</t>
  </si>
  <si>
    <t>Create a block diagram for PWM</t>
  </si>
  <si>
    <t>Brandon &amp; Peter</t>
  </si>
  <si>
    <t>Design VHDL\AXI block for PWM</t>
  </si>
  <si>
    <t>Design VHDL\AXI block for sonic sensors</t>
  </si>
  <si>
    <t>Design block for sonic sensors</t>
  </si>
  <si>
    <t>Register Mapping</t>
  </si>
  <si>
    <t>Figure out software requirements</t>
  </si>
  <si>
    <t>Cody &amp; Zack &amp; Bach</t>
  </si>
  <si>
    <t>Design GUI and brainstorm ideas for functionality</t>
  </si>
  <si>
    <t>Cody &amp; Zack</t>
  </si>
  <si>
    <t>Plan what types of functions for movement</t>
  </si>
  <si>
    <t>Plan how to process encoders</t>
  </si>
  <si>
    <t>Python IMU functions (gyro)</t>
  </si>
  <si>
    <t>Plan calibration implementation</t>
  </si>
  <si>
    <t>Design a process on Polling &amp; Interrupt</t>
  </si>
  <si>
    <t>Plan function names for the drivers</t>
  </si>
  <si>
    <t>Hardware</t>
  </si>
  <si>
    <t>Derive Requirements for Motor</t>
  </si>
  <si>
    <t>Derive Requirements for IMU</t>
  </si>
  <si>
    <t>Derive Requirements for Ultrasonic Sensors</t>
  </si>
  <si>
    <t>Derive Requirements for Cameras</t>
  </si>
  <si>
    <t>Bach &amp; Zack</t>
  </si>
  <si>
    <t>Plan a way to calibrate rover</t>
  </si>
  <si>
    <t>Create logging sheets for easy reports</t>
  </si>
  <si>
    <t>Andrei</t>
  </si>
  <si>
    <t>Think of purpose &amp; application</t>
  </si>
  <si>
    <t>Scheduling pre PDR</t>
  </si>
  <si>
    <t>Scheduling post PDR</t>
  </si>
  <si>
    <t>Create Powerpoint</t>
  </si>
  <si>
    <t>Andrei &amp; Cody</t>
  </si>
  <si>
    <t>Practice PDR</t>
  </si>
  <si>
    <t>TASK</t>
  </si>
  <si>
    <t>User</t>
  </si>
  <si>
    <t>Estimated Time</t>
  </si>
  <si>
    <t>Estimated Cost</t>
  </si>
  <si>
    <t>Create functional test</t>
  </si>
  <si>
    <t>P &amp; Br &amp; C</t>
  </si>
  <si>
    <t>Create functional Unit tests</t>
  </si>
  <si>
    <t>GUI mapping</t>
  </si>
  <si>
    <t>Sensors</t>
  </si>
  <si>
    <t>Motors</t>
  </si>
  <si>
    <t>Calibration</t>
  </si>
  <si>
    <t xml:space="preserve">     Python</t>
  </si>
  <si>
    <t>Bach &amp; Cody</t>
  </si>
  <si>
    <t xml:space="preserve">    Ultra sonic sensors</t>
  </si>
  <si>
    <t>Bach &amp; Br &amp; P</t>
  </si>
  <si>
    <t>Br &amp; P</t>
  </si>
  <si>
    <t>Create GUI</t>
  </si>
  <si>
    <t>Create camera feed</t>
  </si>
  <si>
    <t>Zack</t>
  </si>
  <si>
    <t>Create unknown map</t>
  </si>
  <si>
    <t>Brandon, Peter &amp; Zack</t>
  </si>
  <si>
    <t>Creating Hardware APIs</t>
  </si>
  <si>
    <t>Develop Tech Memo</t>
  </si>
  <si>
    <t>PWM?</t>
  </si>
  <si>
    <t>Rover?</t>
  </si>
  <si>
    <t>Total</t>
  </si>
  <si>
    <t xml:space="preserve">   Calibration - Python</t>
  </si>
  <si>
    <t>Peter</t>
  </si>
  <si>
    <t>Brandon</t>
  </si>
  <si>
    <t>Week</t>
  </si>
  <si>
    <t>Date</t>
  </si>
  <si>
    <t>Weekly Meeting Costs</t>
  </si>
  <si>
    <t>Weekly Task Costs</t>
  </si>
  <si>
    <t>Total Costs</t>
  </si>
  <si>
    <t>Total Hours</t>
  </si>
  <si>
    <t>Total Weekly Meeting Costs</t>
  </si>
  <si>
    <t>Total Weekly Meeting Hours</t>
  </si>
  <si>
    <t>Total Task List Costs</t>
  </si>
  <si>
    <t>Total Task List Hours</t>
  </si>
  <si>
    <t>Cost/hr</t>
  </si>
  <si>
    <t>New Folder Metrics</t>
  </si>
  <si>
    <t>Individual Time Spent</t>
  </si>
  <si>
    <t>Individual Costs</t>
  </si>
  <si>
    <t>Br</t>
  </si>
  <si>
    <t>Unit Tests - VHDL &amp; C - Ultrasonic Interrupts</t>
  </si>
  <si>
    <t>Unit Tests - Python - Encoders</t>
  </si>
  <si>
    <t>Unit Tests - VHDL - PWM (Duty Cycle)</t>
  </si>
  <si>
    <t>Unit Tests - GUI mapping</t>
  </si>
  <si>
    <t>Unit Tests - Motors</t>
  </si>
  <si>
    <t>Unit Tests - C - Writing to Memory</t>
  </si>
  <si>
    <t>Unit Tests - VHDL - IMU</t>
  </si>
  <si>
    <t xml:space="preserve">   Calibration - Ultrasonic sensors</t>
  </si>
  <si>
    <t>Create IMU Axi on Vivado</t>
  </si>
  <si>
    <t>Write code for LEDs - On, Off, Blink</t>
  </si>
  <si>
    <t>Given</t>
  </si>
  <si>
    <t>-</t>
  </si>
  <si>
    <t>Create Encoder functions</t>
  </si>
  <si>
    <t>Create Movement functions</t>
  </si>
  <si>
    <t>Create OpenCV - Detect wall/object</t>
  </si>
  <si>
    <t>Create OpenCV - Calculate distance</t>
  </si>
  <si>
    <t>Write code for PWM</t>
  </si>
  <si>
    <t>P</t>
  </si>
  <si>
    <t>Write code for Encoders</t>
  </si>
  <si>
    <t>Write code for Ultrasonic Sensors</t>
  </si>
  <si>
    <t>Write code for IMU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</si>
  <si>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</si>
  <si>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</si>
  <si>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</si>
  <si>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Cody &amp; Andrei</t>
  </si>
  <si>
    <t>Weekly Task Hours</t>
  </si>
  <si>
    <t>Weekly Meeting Hours</t>
  </si>
  <si>
    <t>This Week's Schedule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</si>
  <si>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</si>
  <si>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</si>
  <si>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</si>
  <si>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</si>
  <si>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</si>
  <si>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</si>
  <si>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</si>
  <si>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</si>
  <si>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</si>
  <si>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</si>
  <si>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Andrei Project Planner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</si>
</sst>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\$* #,##0.00_);_(\$* \(#,##0.00\);_(\$* \-??_);_(@_)"/>
    <numFmt numFmtId="165" formatCode="_(\$* #,##0_);_(\$* \(#,##0\);_(\$* \-??_);_(@_)"/>
    <numFmt numFmtId="166" formatCode="\$#,##0.00"/>
    <numFmt numFmtId="167" formatCode="0.0"/>
    <numFmt numFmtId="168" formatCode="&quot;$&quot;#,##0.00"/>
  </numFmts>
  <fonts count="53" x14ac:knownFonts="1">
    <font>
      <sz val="10"/>
      <name val="Arial"/>
      <family val="2"/>
      <charset val="1"/>
    </font>
    <font>
      <b/>
      <sz val="13"/>
      <color rgb="FF404040"/>
      <name val="Calibri Light"/>
      <family val="2"/>
      <charset val="1"/>
    </font>
    <font>
      <i/>
      <sz val="11"/>
      <color rgb="FFFFC000"/>
      <name val="Calibri"/>
      <family val="2"/>
      <charset val="1"/>
    </font>
    <font>
      <b/>
      <sz val="42"/>
      <color rgb="FFFFC000"/>
      <name val="Calibri Light"/>
      <family val="2"/>
      <charset val="1"/>
    </font>
    <font>
      <b/>
      <sz val="11"/>
      <color rgb="FF595959"/>
      <name val="Calibri"/>
      <family val="2"/>
      <charset val="1"/>
    </font>
    <font>
      <sz val="11"/>
      <color rgb="FF404040"/>
      <name val="Calibri Light"/>
      <family val="2"/>
      <charset val="1"/>
    </font>
    <font>
      <b/>
      <sz val="13"/>
      <color rgb="FFFFC000"/>
      <name val="Calibri Light"/>
      <family val="2"/>
      <charset val="1"/>
    </font>
    <font>
      <b/>
      <sz val="11"/>
      <color rgb="FF404040"/>
      <name val="Calibri"/>
      <family val="2"/>
      <charset val="1"/>
    </font>
    <font>
      <sz val="12"/>
      <color rgb="FF404040"/>
      <name val="Calibri Light"/>
      <family val="2"/>
      <charset val="1"/>
    </font>
    <font>
      <sz val="12"/>
      <color rgb="FF404040"/>
      <name val="Calibri"/>
      <family val="2"/>
      <charset val="1"/>
    </font>
    <font>
      <sz val="11"/>
      <color rgb="FFFFFFFF"/>
      <name val="Calibri"/>
      <family val="2"/>
      <charset val="1"/>
    </font>
    <font>
      <b/>
      <sz val="13"/>
      <color rgb="FF404040"/>
      <name val="Calibri"/>
      <family val="2"/>
      <charset val="1"/>
    </font>
    <font>
      <sz val="11"/>
      <color rgb="FF000000"/>
      <name val="Calibri Light"/>
      <family val="2"/>
      <charset val="1"/>
    </font>
    <font>
      <sz val="12"/>
      <color rgb="FF000000"/>
      <name val="Calibri"/>
      <family val="2"/>
      <charset val="1"/>
    </font>
    <font>
      <b/>
      <sz val="13"/>
      <color rgb="FFFFFFFF"/>
      <name val="Calibri"/>
      <family val="2"/>
      <charset val="1"/>
    </font>
    <font>
      <b/>
      <sz val="13"/>
      <color rgb="FF000000"/>
      <name val="Calibri"/>
      <family val="2"/>
      <charset val="1"/>
    </font>
    <font>
      <b/>
      <sz val="11"/>
      <color rgb="FFFFFFFF"/>
      <name val="Calibri Light"/>
      <family val="2"/>
      <charset val="1"/>
    </font>
    <font>
      <b/>
      <sz val="11"/>
      <color rgb="FF000000"/>
      <name val="Calibri Light"/>
      <family val="2"/>
      <charset val="1"/>
    </font>
    <font>
      <sz val="12"/>
      <color rgb="FF000000"/>
      <name val="Calibri Light"/>
      <family val="2"/>
      <charset val="1"/>
    </font>
    <font>
      <b/>
      <u/>
      <sz val="10"/>
      <name val="Arial"/>
      <family val="2"/>
      <charset val="1"/>
    </font>
    <font>
      <sz val="11"/>
      <color rgb="FF404040"/>
      <name val="Calibri"/>
      <family val="2"/>
      <charset val="1"/>
    </font>
    <font>
      <sz val="10"/>
      <color rgb="FF000000"/>
      <name val="Calibri Light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3"/>
      <color theme="1" tint="0.24994659260841701"/>
      <name val="Calibri"/>
      <family val="2"/>
    </font>
    <font>
      <b/>
      <sz val="12"/>
      <color theme="1"/>
      <name val="Calibri Light"/>
      <family val="2"/>
      <scheme val="major"/>
    </font>
    <font>
      <sz val="12"/>
      <color theme="1" tint="0.24994659260841701"/>
      <name val="Calibri"/>
    </font>
    <font>
      <b/>
      <sz val="13"/>
      <color theme="7"/>
      <name val="Calibri Light"/>
      <family val="2"/>
      <scheme val="major"/>
    </font>
    <font>
      <b/>
      <sz val="13"/>
      <color theme="7"/>
      <name val="Calibri"/>
    </font>
    <font>
      <sz val="11"/>
      <color rgb="FF000000"/>
      <name val="Calibri Light"/>
      <family val="2"/>
    </font>
    <font>
      <sz val="12"/>
      <color theme="1"/>
      <name val="Calibri Light"/>
      <family val="2"/>
      <scheme val="major"/>
    </font>
    <font>
      <u/>
      <sz val="11"/>
      <color theme="10"/>
      <name val="Calibri Light"/>
      <family val="2"/>
      <scheme val="major"/>
    </font>
    <font>
      <sz val="11"/>
      <name val="Calibri Light"/>
      <family val="2"/>
      <scheme val="major"/>
    </font>
    <font>
      <sz val="11"/>
      <color theme="1" tint="0.24994659260841701"/>
      <name val="Calibri"/>
      <family val="2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3"/>
      <color theme="1" tint="0.24994659260841701"/>
      <name val="Calibri"/>
      <family val="2"/>
      <scheme val="minor"/>
    </font>
    <font>
      <sz val="11"/>
      <color theme="1"/>
      <name val="Calibri"/>
      <family val="2"/>
    </font>
    <font>
      <sz val="13"/>
      <color theme="1" tint="0.2499465926084170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70AD47"/>
        <bgColor rgb="FF548235"/>
      </patternFill>
    </fill>
    <fill>
      <patternFill patternType="solid">
        <fgColor rgb="FFD3D887"/>
        <bgColor rgb="FFC5E0B4"/>
      </patternFill>
    </fill>
    <fill>
      <patternFill patternType="solid">
        <fgColor rgb="FFFFDC73"/>
        <bgColor rgb="FFFFE699"/>
      </patternFill>
    </fill>
    <fill>
      <patternFill patternType="solid">
        <fgColor rgb="FFC5E0B4"/>
        <bgColor rgb="FFD3D887"/>
      </patternFill>
    </fill>
    <fill>
      <patternFill patternType="solid">
        <fgColor rgb="FFFFEFC0"/>
        <bgColor rgb="FFFFE699"/>
      </patternFill>
    </fill>
    <fill>
      <patternFill patternType="solid">
        <fgColor rgb="FFFFE699"/>
        <bgColor rgb="FFFFEF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E7E6E6"/>
      </patternFill>
    </fill>
    <fill>
      <patternFill patternType="solid">
        <fgColor rgb="FFD9D9D9"/>
        <bgColor rgb="FFE7E6E6"/>
      </patternFill>
    </fill>
    <fill>
      <patternFill patternType="solid">
        <fgColor theme="7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</fills>
  <borders count="52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/>
      <right/>
      <top style="thin">
        <color rgb="FF548235"/>
      </top>
      <bottom style="thin">
        <color rgb="FFFFC00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rgb="FFE7E6E6"/>
      </bottom>
      <diagonal/>
    </border>
    <border>
      <left/>
      <right style="thin">
        <color rgb="FFE7E6E6"/>
      </right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rgb="FFE7E6E6"/>
      </right>
      <top/>
      <bottom style="medium">
        <color auto="1"/>
      </bottom>
      <diagonal/>
    </border>
    <border>
      <left/>
      <right style="thin">
        <color rgb="FFE7E6E6"/>
      </right>
      <top style="thin">
        <color rgb="FFE7E6E6"/>
      </top>
      <bottom style="medium">
        <color auto="1"/>
      </bottom>
      <diagonal/>
    </border>
    <border>
      <left style="thin">
        <color rgb="FFE7E6E6"/>
      </left>
      <right style="thin">
        <color rgb="FFE7E6E6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rgb="FFE7E6E6"/>
      </bottom>
      <diagonal/>
    </border>
    <border>
      <left/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rgb="FFE7E6E6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rgb="FFE7E6E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E7E6E6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7"/>
      </bottom>
      <diagonal/>
    </border>
  </borders>
  <cellStyleXfs count="26">
    <xf numFmtId="0" fontId="0" fillId="0" borderId="0"/>
    <xf numFmtId="164" fontId="22" fillId="0" borderId="0" applyBorder="0" applyProtection="0"/>
    <xf numFmtId="9" fontId="22" fillId="0" borderId="0" applyBorder="0" applyProtection="0"/>
    <xf numFmtId="0" fontId="10" fillId="2" borderId="0" applyBorder="0" applyProtection="0"/>
    <xf numFmtId="0" fontId="23" fillId="0" borderId="0"/>
    <xf numFmtId="164" fontId="23" fillId="0" borderId="0" applyBorder="0" applyProtection="0"/>
    <xf numFmtId="0" fontId="22" fillId="0" borderId="0"/>
    <xf numFmtId="0" fontId="29" fillId="15" borderId="0" applyNumberFormat="0" applyBorder="0" applyAlignment="0" applyProtection="0"/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Protection="0">
      <alignment horizontal="center" vertical="center"/>
    </xf>
    <xf numFmtId="0" fontId="32" fillId="0" borderId="0" applyNumberFormat="0" applyFill="0" applyBorder="0" applyProtection="0">
      <alignment vertical="center"/>
    </xf>
    <xf numFmtId="1" fontId="33" fillId="16" borderId="45">
      <alignment horizontal="center" vertical="center"/>
    </xf>
    <xf numFmtId="0" fontId="31" fillId="17" borderId="46" applyNumberFormat="0" applyFont="0" applyAlignment="0">
      <alignment horizontal="center"/>
    </xf>
    <xf numFmtId="0" fontId="34" fillId="0" borderId="0" applyNumberFormat="0" applyFill="0" applyBorder="0" applyProtection="0">
      <alignment horizontal="left" vertical="center"/>
    </xf>
    <xf numFmtId="0" fontId="31" fillId="18" borderId="49" applyNumberFormat="0" applyFont="0" applyAlignment="0">
      <alignment horizontal="center"/>
    </xf>
    <xf numFmtId="0" fontId="31" fillId="19" borderId="49" applyNumberFormat="0" applyFont="0" applyAlignment="0">
      <alignment horizontal="center"/>
    </xf>
    <xf numFmtId="0" fontId="31" fillId="20" borderId="49" applyNumberFormat="0" applyFont="0" applyAlignment="0">
      <alignment horizontal="center"/>
    </xf>
    <xf numFmtId="0" fontId="36" fillId="0" borderId="0" applyFill="0" applyProtection="0">
      <alignment vertical="center"/>
    </xf>
    <xf numFmtId="0" fontId="36" fillId="0" borderId="0" applyFill="0" applyProtection="0">
      <alignment horizontal="center" vertical="center" wrapText="1"/>
    </xf>
    <xf numFmtId="0" fontId="36" fillId="0" borderId="0" applyFill="0" applyProtection="0">
      <alignment horizontal="left"/>
    </xf>
    <xf numFmtId="0" fontId="36" fillId="0" borderId="0" applyFill="0" applyBorder="0" applyProtection="0">
      <alignment horizontal="center" wrapText="1"/>
    </xf>
    <xf numFmtId="3" fontId="36" fillId="0" borderId="51" applyFill="0" applyProtection="0">
      <alignment horizontal="center"/>
    </xf>
    <xf numFmtId="0" fontId="37" fillId="0" borderId="0" applyFill="0" applyBorder="0" applyProtection="0">
      <alignment horizontal="left" wrapText="1"/>
    </xf>
    <xf numFmtId="9" fontId="41" fillId="0" borderId="0" applyFill="0" applyBorder="0" applyProtection="0">
      <alignment horizontal="center" vertical="center"/>
    </xf>
    <xf numFmtId="0" fontId="45" fillId="0" borderId="0" applyNumberFormat="0" applyFill="0" applyBorder="0" applyAlignment="0" applyProtection="0">
      <alignment horizontal="center" vertical="center"/>
    </xf>
  </cellStyleXfs>
  <cellXfs count="221">
    <xf numFmtId="0" fontId="0" fillId="0" borderId="0" xfId="0"/>
    <xf numFmtId="0" fontId="5" fillId="0" borderId="0" xfId="3" applyNumberFormat="1" applyFont="1" applyFill="1" applyBorder="1" applyAlignment="1" applyProtection="1">
      <alignment horizontal="center" vertical="center"/>
    </xf>
    <xf numFmtId="0" fontId="1" fillId="0" borderId="0" xfId="3" applyNumberFormat="1" applyFont="1" applyFill="1" applyBorder="1" applyAlignment="1" applyProtection="1">
      <alignment horizontal="left" wrapText="1"/>
    </xf>
    <xf numFmtId="0" fontId="1" fillId="0" borderId="0" xfId="3" applyNumberFormat="1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/>
    </xf>
    <xf numFmtId="9" fontId="6" fillId="0" borderId="0" xfId="3" applyNumberFormat="1" applyFont="1" applyFill="1" applyBorder="1" applyAlignment="1" applyProtection="1">
      <alignment horizontal="center" vertical="center"/>
    </xf>
    <xf numFmtId="0" fontId="3" fillId="0" borderId="0" xfId="3" applyFont="1" applyFill="1" applyBorder="1" applyAlignment="1" applyProtection="1">
      <alignment vertical="center"/>
    </xf>
    <xf numFmtId="0" fontId="3" fillId="0" borderId="0" xfId="3" applyFont="1" applyFill="1" applyBorder="1" applyAlignment="1" applyProtection="1">
      <alignment horizontal="center" vertical="center"/>
    </xf>
    <xf numFmtId="0" fontId="3" fillId="0" borderId="0" xfId="3" applyNumberFormat="1" applyFont="1" applyFill="1" applyBorder="1" applyAlignment="1" applyProtection="1">
      <alignment horizontal="center"/>
    </xf>
    <xf numFmtId="1" fontId="8" fillId="6" borderId="3" xfId="3" applyNumberFormat="1" applyFont="1" applyFill="1" applyBorder="1" applyAlignment="1">
      <alignment horizontal="center" vertical="center"/>
    </xf>
    <xf numFmtId="1" fontId="8" fillId="6" borderId="3" xfId="3" applyNumberFormat="1" applyFont="1" applyFill="1" applyBorder="1" applyAlignment="1">
      <alignment horizontal="center" vertical="center"/>
    </xf>
    <xf numFmtId="0" fontId="0" fillId="7" borderId="4" xfId="3" applyFont="1" applyFill="1" applyBorder="1" applyAlignment="1">
      <alignment horizontal="center"/>
    </xf>
    <xf numFmtId="0" fontId="0" fillId="5" borderId="1" xfId="3" applyNumberFormat="1" applyFont="1" applyFill="1" applyBorder="1" applyAlignment="1">
      <alignment horizontal="center"/>
    </xf>
    <xf numFmtId="0" fontId="10" fillId="2" borderId="1" xfId="3" applyBorder="1" applyAlignment="1" applyProtection="1">
      <alignment horizontal="center"/>
    </xf>
    <xf numFmtId="0" fontId="0" fillId="4" borderId="1" xfId="3" applyNumberFormat="1" applyFont="1" applyFill="1" applyBorder="1" applyAlignment="1">
      <alignment horizontal="center"/>
    </xf>
    <xf numFmtId="0" fontId="0" fillId="3" borderId="1" xfId="3" applyNumberFormat="1" applyFont="1" applyFill="1" applyBorder="1" applyAlignment="1">
      <alignment horizontal="center"/>
    </xf>
    <xf numFmtId="0" fontId="5" fillId="0" borderId="0" xfId="3" applyNumberFormat="1" applyFont="1" applyFill="1" applyBorder="1" applyAlignment="1" applyProtection="1">
      <alignment vertical="center" wrapText="1"/>
    </xf>
    <xf numFmtId="0" fontId="4" fillId="0" borderId="0" xfId="3" applyNumberFormat="1" applyFont="1" applyFill="1" applyBorder="1" applyAlignment="1" applyProtection="1">
      <alignment horizontal="left"/>
    </xf>
    <xf numFmtId="0" fontId="4" fillId="0" borderId="0" xfId="3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 wrapText="1"/>
    </xf>
    <xf numFmtId="0" fontId="5" fillId="0" borderId="8" xfId="3" applyNumberFormat="1" applyFont="1" applyFill="1" applyBorder="1" applyAlignment="1" applyProtection="1">
      <alignment vertical="center"/>
    </xf>
    <xf numFmtId="0" fontId="7" fillId="0" borderId="0" xfId="3" applyNumberFormat="1" applyFont="1" applyFill="1" applyBorder="1" applyAlignment="1" applyProtection="1">
      <alignment horizontal="center" wrapText="1"/>
    </xf>
    <xf numFmtId="3" fontId="4" fillId="0" borderId="2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 vertical="center"/>
    </xf>
    <xf numFmtId="0" fontId="11" fillId="8" borderId="0" xfId="3" applyNumberFormat="1" applyFont="1" applyFill="1" applyBorder="1" applyAlignment="1" applyProtection="1">
      <alignment horizontal="left" wrapText="1"/>
    </xf>
    <xf numFmtId="0" fontId="12" fillId="8" borderId="0" xfId="3" applyNumberFormat="1" applyFont="1" applyFill="1" applyBorder="1" applyAlignment="1" applyProtection="1">
      <alignment horizontal="center" wrapText="1"/>
    </xf>
    <xf numFmtId="1" fontId="13" fillId="8" borderId="0" xfId="3" applyNumberFormat="1" applyFont="1" applyFill="1" applyBorder="1" applyAlignment="1" applyProtection="1">
      <alignment horizontal="center"/>
    </xf>
    <xf numFmtId="0" fontId="13" fillId="8" borderId="0" xfId="3" applyNumberFormat="1" applyFont="1" applyFill="1" applyBorder="1" applyAlignment="1" applyProtection="1">
      <alignment horizontal="center"/>
    </xf>
    <xf numFmtId="9" fontId="14" fillId="8" borderId="0" xfId="3" applyNumberFormat="1" applyFont="1" applyFill="1" applyBorder="1" applyAlignment="1" applyProtection="1">
      <alignment horizontal="center" vertical="center"/>
    </xf>
    <xf numFmtId="0" fontId="5" fillId="8" borderId="0" xfId="3" applyNumberFormat="1" applyFont="1" applyFill="1" applyBorder="1" applyAlignment="1" applyProtection="1">
      <alignment horizontal="center"/>
    </xf>
    <xf numFmtId="0" fontId="11" fillId="0" borderId="0" xfId="3" applyNumberFormat="1" applyFont="1" applyFill="1" applyBorder="1" applyAlignment="1" applyProtection="1">
      <alignment horizontal="left" wrapText="1"/>
    </xf>
    <xf numFmtId="0" fontId="12" fillId="0" borderId="0" xfId="3" applyNumberFormat="1" applyFont="1" applyFill="1" applyBorder="1" applyAlignment="1" applyProtection="1">
      <alignment horizontal="center" wrapText="1"/>
    </xf>
    <xf numFmtId="0" fontId="13" fillId="0" borderId="0" xfId="3" applyNumberFormat="1" applyFont="1" applyFill="1" applyBorder="1" applyAlignment="1" applyProtection="1">
      <alignment horizontal="center"/>
    </xf>
    <xf numFmtId="9" fontId="14" fillId="0" borderId="0" xfId="3" applyNumberFormat="1" applyFont="1" applyFill="1" applyBorder="1" applyAlignment="1" applyProtection="1">
      <alignment horizontal="center" vertical="center"/>
    </xf>
    <xf numFmtId="0" fontId="12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wrapText="1" indent="3"/>
    </xf>
    <xf numFmtId="0" fontId="11" fillId="0" borderId="0" xfId="3" applyNumberFormat="1" applyFont="1" applyFill="1" applyBorder="1" applyAlignment="1" applyProtection="1">
      <alignment horizontal="left"/>
    </xf>
    <xf numFmtId="0" fontId="15" fillId="8" borderId="0" xfId="3" applyNumberFormat="1" applyFont="1" applyFill="1" applyBorder="1" applyAlignment="1" applyProtection="1">
      <alignment horizontal="left" indent="3"/>
    </xf>
    <xf numFmtId="0" fontId="12" fillId="8" borderId="0" xfId="3" applyNumberFormat="1" applyFont="1" applyFill="1" applyBorder="1" applyAlignment="1" applyProtection="1">
      <alignment horizontal="center"/>
    </xf>
    <xf numFmtId="9" fontId="16" fillId="8" borderId="0" xfId="2" applyFont="1" applyFill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left" indent="4"/>
    </xf>
    <xf numFmtId="0" fontId="17" fillId="0" borderId="0" xfId="3" applyNumberFormat="1" applyFont="1" applyFill="1" applyBorder="1" applyAlignment="1" applyProtection="1">
      <alignment horizontal="center" wrapText="1"/>
    </xf>
    <xf numFmtId="0" fontId="12" fillId="0" borderId="0" xfId="3" applyNumberFormat="1" applyFont="1" applyFill="1" applyBorder="1" applyAlignment="1" applyProtection="1">
      <alignment horizontal="left" indent="6"/>
    </xf>
    <xf numFmtId="0" fontId="17" fillId="0" borderId="0" xfId="3" applyNumberFormat="1" applyFont="1" applyFill="1" applyBorder="1" applyAlignment="1" applyProtection="1">
      <alignment horizontal="center"/>
    </xf>
    <xf numFmtId="0" fontId="15" fillId="8" borderId="0" xfId="3" applyNumberFormat="1" applyFont="1" applyFill="1" applyBorder="1" applyAlignment="1" applyProtection="1">
      <alignment horizontal="center"/>
    </xf>
    <xf numFmtId="9" fontId="16" fillId="0" borderId="0" xfId="2" applyFont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4"/>
    </xf>
    <xf numFmtId="9" fontId="14" fillId="8" borderId="0" xfId="2" applyFont="1" applyFill="1" applyBorder="1" applyAlignment="1" applyProtection="1">
      <alignment horizontal="center"/>
    </xf>
    <xf numFmtId="9" fontId="17" fillId="0" borderId="0" xfId="2" applyFont="1" applyBorder="1" applyAlignment="1" applyProtection="1">
      <alignment horizontal="center"/>
    </xf>
    <xf numFmtId="0" fontId="18" fillId="0" borderId="0" xfId="3" applyNumberFormat="1" applyFont="1" applyFill="1" applyBorder="1" applyAlignment="1" applyProtection="1">
      <alignment horizontal="center"/>
    </xf>
    <xf numFmtId="0" fontId="5" fillId="0" borderId="0" xfId="3" applyNumberFormat="1" applyFont="1" applyFill="1" applyBorder="1" applyAlignment="1" applyProtection="1">
      <alignment horizontal="left" indent="3"/>
    </xf>
    <xf numFmtId="0" fontId="5" fillId="0" borderId="0" xfId="3" applyNumberFormat="1" applyFont="1" applyFill="1" applyBorder="1" applyAlignment="1" applyProtection="1">
      <alignment horizontal="left" indent="6"/>
    </xf>
    <xf numFmtId="0" fontId="19" fillId="0" borderId="0" xfId="0" applyFont="1" applyAlignment="1">
      <alignment horizontal="center"/>
    </xf>
    <xf numFmtId="0" fontId="18" fillId="0" borderId="0" xfId="3" applyNumberFormat="1" applyFont="1" applyFill="1" applyBorder="1" applyAlignment="1" applyProtection="1">
      <alignment horizontal="center" wrapText="1"/>
    </xf>
    <xf numFmtId="164" fontId="0" fillId="0" borderId="0" xfId="1" applyFont="1" applyBorder="1" applyAlignment="1" applyProtection="1"/>
    <xf numFmtId="0" fontId="20" fillId="0" borderId="0" xfId="3" applyNumberFormat="1" applyFont="1" applyFill="1" applyBorder="1" applyAlignment="1" applyProtection="1">
      <alignment horizontal="left" wrapText="1" indent="3"/>
    </xf>
    <xf numFmtId="0" fontId="20" fillId="0" borderId="0" xfId="3" applyNumberFormat="1" applyFont="1" applyFill="1" applyBorder="1" applyAlignment="1" applyProtection="1">
      <alignment horizontal="left" wrapText="1" indent="6"/>
    </xf>
    <xf numFmtId="0" fontId="20" fillId="0" borderId="0" xfId="3" applyNumberFormat="1" applyFont="1" applyFill="1" applyBorder="1" applyAlignment="1" applyProtection="1">
      <alignment horizontal="left" wrapText="1" indent="1"/>
    </xf>
    <xf numFmtId="0" fontId="18" fillId="0" borderId="0" xfId="3" applyNumberFormat="1" applyFont="1" applyFill="1" applyBorder="1" applyAlignment="1" applyProtection="1">
      <alignment horizontal="center" vertical="center"/>
    </xf>
    <xf numFmtId="0" fontId="18" fillId="0" borderId="0" xfId="3" applyNumberFormat="1" applyFont="1" applyFill="1" applyBorder="1" applyAlignment="1" applyProtection="1">
      <alignment horizontal="left" wrapText="1" indent="3"/>
    </xf>
    <xf numFmtId="0" fontId="18" fillId="0" borderId="0" xfId="3" applyNumberFormat="1" applyFont="1" applyFill="1" applyBorder="1" applyAlignment="1" applyProtection="1">
      <alignment horizontal="left" wrapText="1" indent="6"/>
    </xf>
    <xf numFmtId="0" fontId="5" fillId="0" borderId="0" xfId="3" applyNumberFormat="1" applyFont="1" applyFill="1" applyBorder="1" applyAlignment="1" applyProtection="1">
      <alignment horizontal="left" wrapText="1" indent="3"/>
    </xf>
    <xf numFmtId="0" fontId="21" fillId="0" borderId="0" xfId="3" applyNumberFormat="1" applyFont="1" applyFill="1" applyBorder="1" applyAlignment="1" applyProtection="1">
      <alignment horizontal="center"/>
    </xf>
    <xf numFmtId="0" fontId="18" fillId="0" borderId="9" xfId="3" applyNumberFormat="1" applyFont="1" applyFill="1" applyBorder="1" applyAlignment="1" applyProtection="1">
      <alignment horizontal="center"/>
    </xf>
    <xf numFmtId="0" fontId="0" fillId="0" borderId="10" xfId="0" applyBorder="1"/>
    <xf numFmtId="0" fontId="0" fillId="9" borderId="11" xfId="0" applyFill="1" applyBorder="1"/>
    <xf numFmtId="0" fontId="0" fillId="10" borderId="0" xfId="0" applyFill="1"/>
    <xf numFmtId="164" fontId="0" fillId="10" borderId="0" xfId="1" applyFont="1" applyFill="1" applyBorder="1" applyAlignment="1" applyProtection="1"/>
    <xf numFmtId="0" fontId="12" fillId="0" borderId="0" xfId="3" applyNumberFormat="1" applyFont="1" applyFill="1" applyBorder="1" applyAlignment="1" applyProtection="1">
      <alignment horizontal="left" wrapText="1" indent="2"/>
    </xf>
    <xf numFmtId="0" fontId="23" fillId="0" borderId="0" xfId="4"/>
    <xf numFmtId="164" fontId="23" fillId="0" borderId="0" xfId="5" applyBorder="1"/>
    <xf numFmtId="0" fontId="23" fillId="0" borderId="18" xfId="4" applyBorder="1" applyAlignment="1">
      <alignment horizontal="center"/>
    </xf>
    <xf numFmtId="14" fontId="23" fillId="0" borderId="19" xfId="4" applyNumberFormat="1" applyBorder="1" applyAlignment="1">
      <alignment horizontal="center"/>
    </xf>
    <xf numFmtId="0" fontId="24" fillId="0" borderId="20" xfId="4" applyFont="1" applyBorder="1" applyAlignment="1">
      <alignment horizontal="center"/>
    </xf>
    <xf numFmtId="0" fontId="24" fillId="0" borderId="21" xfId="4" applyFont="1" applyBorder="1" applyAlignment="1">
      <alignment horizontal="center"/>
    </xf>
    <xf numFmtId="0" fontId="24" fillId="0" borderId="22" xfId="4" applyFont="1" applyBorder="1" applyAlignment="1">
      <alignment horizontal="center"/>
    </xf>
    <xf numFmtId="0" fontId="24" fillId="0" borderId="23" xfId="4" applyFont="1" applyBorder="1" applyAlignment="1">
      <alignment horizontal="center"/>
    </xf>
    <xf numFmtId="0" fontId="25" fillId="0" borderId="0" xfId="4" applyFont="1"/>
    <xf numFmtId="164" fontId="23" fillId="0" borderId="24" xfId="5" applyBorder="1"/>
    <xf numFmtId="0" fontId="23" fillId="0" borderId="10" xfId="4" applyBorder="1"/>
    <xf numFmtId="165" fontId="0" fillId="12" borderId="25" xfId="5" applyNumberFormat="1" applyFont="1" applyFill="1" applyBorder="1" applyAlignment="1" applyProtection="1">
      <alignment horizontal="left"/>
    </xf>
    <xf numFmtId="165" fontId="0" fillId="12" borderId="26" xfId="5" applyNumberFormat="1" applyFont="1" applyFill="1" applyBorder="1" applyAlignment="1" applyProtection="1">
      <alignment horizontal="left"/>
    </xf>
    <xf numFmtId="165" fontId="0" fillId="12" borderId="27" xfId="5" applyNumberFormat="1" applyFont="1" applyFill="1" applyBorder="1" applyAlignment="1" applyProtection="1">
      <alignment horizontal="left"/>
    </xf>
    <xf numFmtId="165" fontId="0" fillId="12" borderId="28" xfId="5" applyNumberFormat="1" applyFont="1" applyFill="1" applyBorder="1" applyAlignment="1" applyProtection="1">
      <alignment horizontal="left"/>
    </xf>
    <xf numFmtId="165" fontId="0" fillId="10" borderId="29" xfId="5" applyNumberFormat="1" applyFont="1" applyFill="1" applyBorder="1" applyAlignment="1" applyProtection="1">
      <alignment horizontal="left"/>
    </xf>
    <xf numFmtId="0" fontId="23" fillId="0" borderId="30" xfId="4" applyFont="1" applyBorder="1"/>
    <xf numFmtId="0" fontId="23" fillId="12" borderId="31" xfId="4" applyFill="1" applyBorder="1"/>
    <xf numFmtId="0" fontId="23" fillId="12" borderId="32" xfId="4" applyFill="1" applyBorder="1"/>
    <xf numFmtId="0" fontId="23" fillId="12" borderId="33" xfId="4" applyFill="1" applyBorder="1"/>
    <xf numFmtId="0" fontId="23" fillId="12" borderId="34" xfId="4" applyFill="1" applyBorder="1"/>
    <xf numFmtId="0" fontId="23" fillId="10" borderId="35" xfId="4" applyFill="1" applyBorder="1"/>
    <xf numFmtId="0" fontId="23" fillId="0" borderId="36" xfId="4" applyFont="1" applyBorder="1"/>
    <xf numFmtId="164" fontId="0" fillId="0" borderId="24" xfId="5" applyFont="1" applyBorder="1" applyAlignment="1" applyProtection="1"/>
    <xf numFmtId="164" fontId="0" fillId="0" borderId="0" xfId="5" applyFont="1" applyBorder="1" applyAlignment="1" applyProtection="1"/>
    <xf numFmtId="164" fontId="0" fillId="13" borderId="37" xfId="5" applyFont="1" applyFill="1" applyBorder="1" applyAlignment="1" applyProtection="1"/>
    <xf numFmtId="0" fontId="23" fillId="0" borderId="38" xfId="4" applyBorder="1"/>
    <xf numFmtId="165" fontId="0" fillId="14" borderId="39" xfId="5" applyNumberFormat="1" applyFont="1" applyFill="1" applyBorder="1" applyAlignment="1" applyProtection="1"/>
    <xf numFmtId="165" fontId="0" fillId="14" borderId="13" xfId="5" applyNumberFormat="1" applyFont="1" applyFill="1" applyBorder="1" applyAlignment="1" applyProtection="1"/>
    <xf numFmtId="165" fontId="0" fillId="12" borderId="12" xfId="5" applyNumberFormat="1" applyFont="1" applyFill="1" applyBorder="1" applyAlignment="1" applyProtection="1"/>
    <xf numFmtId="0" fontId="23" fillId="0" borderId="40" xfId="4" applyFont="1" applyBorder="1"/>
    <xf numFmtId="0" fontId="0" fillId="14" borderId="24" xfId="5" applyNumberFormat="1" applyFont="1" applyFill="1" applyBorder="1" applyAlignment="1" applyProtection="1"/>
    <xf numFmtId="0" fontId="0" fillId="14" borderId="0" xfId="5" applyNumberFormat="1" applyFont="1" applyFill="1" applyBorder="1" applyAlignment="1" applyProtection="1"/>
    <xf numFmtId="0" fontId="23" fillId="12" borderId="41" xfId="4" applyFill="1" applyBorder="1"/>
    <xf numFmtId="0" fontId="23" fillId="0" borderId="19" xfId="4" applyFont="1" applyBorder="1"/>
    <xf numFmtId="165" fontId="23" fillId="14" borderId="24" xfId="4" applyNumberFormat="1" applyFill="1" applyBorder="1"/>
    <xf numFmtId="165" fontId="23" fillId="14" borderId="0" xfId="4" applyNumberFormat="1" applyFill="1" applyBorder="1"/>
    <xf numFmtId="165" fontId="23" fillId="12" borderId="41" xfId="4" applyNumberFormat="1" applyFill="1" applyBorder="1"/>
    <xf numFmtId="0" fontId="23" fillId="14" borderId="24" xfId="4" applyFill="1" applyBorder="1"/>
    <xf numFmtId="0" fontId="23" fillId="14" borderId="0" xfId="4" applyFill="1" applyBorder="1"/>
    <xf numFmtId="0" fontId="23" fillId="12" borderId="42" xfId="4" applyFill="1" applyBorder="1"/>
    <xf numFmtId="0" fontId="26" fillId="0" borderId="43" xfId="6" applyFont="1" applyBorder="1" applyAlignment="1">
      <alignment horizontal="center"/>
    </xf>
    <xf numFmtId="0" fontId="26" fillId="0" borderId="44" xfId="6" applyFont="1" applyBorder="1" applyAlignment="1">
      <alignment horizontal="center"/>
    </xf>
    <xf numFmtId="0" fontId="27" fillId="0" borderId="21" xfId="4" applyFont="1" applyBorder="1" applyAlignment="1">
      <alignment horizontal="center"/>
    </xf>
    <xf numFmtId="0" fontId="28" fillId="0" borderId="23" xfId="4" applyFont="1" applyBorder="1"/>
    <xf numFmtId="0" fontId="22" fillId="0" borderId="0" xfId="6"/>
    <xf numFmtId="166" fontId="22" fillId="0" borderId="0" xfId="6" applyNumberFormat="1"/>
    <xf numFmtId="14" fontId="22" fillId="0" borderId="0" xfId="6" applyNumberFormat="1" applyAlignment="1">
      <alignment horizontal="center"/>
    </xf>
    <xf numFmtId="0" fontId="26" fillId="0" borderId="0" xfId="6" applyFont="1"/>
    <xf numFmtId="0" fontId="26" fillId="0" borderId="0" xfId="6" applyFont="1" applyAlignment="1">
      <alignment horizontal="center"/>
    </xf>
    <xf numFmtId="0" fontId="26" fillId="0" borderId="0" xfId="6" applyFont="1" applyAlignment="1"/>
    <xf numFmtId="0" fontId="30" fillId="0" borderId="0" xfId="8">
      <alignment vertical="center"/>
    </xf>
    <xf numFmtId="0" fontId="30" fillId="0" borderId="0" xfId="8" applyAlignment="1">
      <alignment horizontal="center" vertical="center"/>
    </xf>
    <xf numFmtId="0" fontId="30" fillId="0" borderId="0" xfId="9" applyAlignment="1">
      <alignment horizontal="center"/>
    </xf>
    <xf numFmtId="0" fontId="31" fillId="0" borderId="0" xfId="10" applyAlignment="1">
      <alignment horizontal="center"/>
    </xf>
    <xf numFmtId="0" fontId="31" fillId="0" borderId="0" xfId="10">
      <alignment horizontal="center" vertical="center"/>
    </xf>
    <xf numFmtId="1" fontId="33" fillId="16" borderId="45" xfId="12">
      <alignment horizontal="center" vertical="center"/>
    </xf>
    <xf numFmtId="0" fontId="0" fillId="17" borderId="46" xfId="13" applyFont="1" applyAlignment="1">
      <alignment horizontal="center"/>
    </xf>
    <xf numFmtId="0" fontId="0" fillId="18" borderId="49" xfId="15" applyFont="1" applyAlignment="1">
      <alignment horizontal="center"/>
    </xf>
    <xf numFmtId="0" fontId="29" fillId="15" borderId="49" xfId="7" applyBorder="1" applyAlignment="1">
      <alignment horizontal="center"/>
    </xf>
    <xf numFmtId="0" fontId="0" fillId="19" borderId="49" xfId="16" applyFont="1" applyAlignment="1">
      <alignment horizontal="center"/>
    </xf>
    <xf numFmtId="0" fontId="0" fillId="20" borderId="49" xfId="17" applyFont="1" applyAlignment="1">
      <alignment horizontal="center"/>
    </xf>
    <xf numFmtId="0" fontId="36" fillId="0" borderId="0" xfId="20">
      <alignment horizontal="left"/>
    </xf>
    <xf numFmtId="0" fontId="36" fillId="0" borderId="0" xfId="21" applyAlignment="1">
      <alignment horizontal="center" wrapText="1"/>
    </xf>
    <xf numFmtId="0" fontId="31" fillId="0" borderId="0" xfId="10" applyAlignment="1">
      <alignment horizontal="center" wrapText="1"/>
    </xf>
    <xf numFmtId="0" fontId="31" fillId="0" borderId="0" xfId="10" applyAlignment="1">
      <alignment vertical="center" wrapText="1"/>
    </xf>
    <xf numFmtId="0" fontId="31" fillId="0" borderId="8" xfId="10" applyBorder="1" applyAlignment="1">
      <alignment vertical="center"/>
    </xf>
    <xf numFmtId="3" fontId="36" fillId="0" borderId="51" xfId="22">
      <alignment horizontal="center"/>
    </xf>
    <xf numFmtId="0" fontId="38" fillId="0" borderId="0" xfId="23" applyFont="1">
      <alignment horizontal="left" wrapText="1"/>
    </xf>
    <xf numFmtId="0" fontId="39" fillId="0" borderId="0" xfId="23" applyFont="1" applyAlignment="1">
      <alignment horizontal="center" wrapText="1"/>
    </xf>
    <xf numFmtId="0" fontId="40" fillId="0" borderId="0" xfId="10" applyFont="1" applyAlignment="1">
      <alignment horizontal="center"/>
    </xf>
    <xf numFmtId="9" fontId="42" fillId="0" borderId="0" xfId="24" applyFont="1">
      <alignment horizontal="center" vertical="center"/>
    </xf>
    <xf numFmtId="0" fontId="43" fillId="0" borderId="0" xfId="10" applyFont="1" applyBorder="1" applyAlignment="1">
      <alignment horizontal="left" indent="2"/>
    </xf>
    <xf numFmtId="0" fontId="44" fillId="0" borderId="0" xfId="10" applyFont="1" applyBorder="1" applyAlignment="1">
      <alignment horizontal="center"/>
    </xf>
    <xf numFmtId="0" fontId="45" fillId="0" borderId="0" xfId="25" applyAlignment="1">
      <alignment horizontal="left" indent="2"/>
    </xf>
    <xf numFmtId="0" fontId="44" fillId="0" borderId="0" xfId="10" applyFont="1" applyAlignment="1">
      <alignment horizontal="center"/>
    </xf>
    <xf numFmtId="0" fontId="31" fillId="0" borderId="0" xfId="10" applyAlignment="1">
      <alignment horizontal="left" indent="2"/>
    </xf>
    <xf numFmtId="0" fontId="31" fillId="0" borderId="0" xfId="10" applyAlignment="1">
      <alignment horizontal="left" indent="4"/>
    </xf>
    <xf numFmtId="0" fontId="46" fillId="0" borderId="0" xfId="0" applyFont="1" applyAlignment="1">
      <alignment horizontal="left" indent="2"/>
    </xf>
    <xf numFmtId="0" fontId="31" fillId="0" borderId="0" xfId="10" applyFont="1" applyAlignment="1">
      <alignment horizontal="left" indent="2"/>
    </xf>
    <xf numFmtId="0" fontId="38" fillId="21" borderId="0" xfId="23" applyFont="1" applyFill="1">
      <alignment horizontal="left" wrapText="1"/>
    </xf>
    <xf numFmtId="0" fontId="44" fillId="21" borderId="0" xfId="23" applyFont="1" applyFill="1" applyAlignment="1">
      <alignment horizontal="center" wrapText="1"/>
    </xf>
    <xf numFmtId="0" fontId="40" fillId="21" borderId="0" xfId="10" applyFont="1" applyFill="1" applyAlignment="1">
      <alignment horizontal="center"/>
    </xf>
    <xf numFmtId="9" fontId="42" fillId="21" borderId="0" xfId="24" applyFont="1" applyFill="1">
      <alignment horizontal="center" vertical="center"/>
    </xf>
    <xf numFmtId="0" fontId="31" fillId="21" borderId="0" xfId="10" applyFill="1" applyAlignment="1">
      <alignment horizontal="center"/>
    </xf>
    <xf numFmtId="0" fontId="31" fillId="21" borderId="0" xfId="10" applyFill="1">
      <alignment horizontal="center" vertical="center"/>
    </xf>
    <xf numFmtId="0" fontId="44" fillId="0" borderId="0" xfId="23" applyFont="1" applyAlignment="1">
      <alignment horizontal="center" wrapText="1"/>
    </xf>
    <xf numFmtId="0" fontId="47" fillId="0" borderId="0" xfId="23" applyFont="1" applyAlignment="1">
      <alignment horizontal="left" wrapText="1" indent="2"/>
    </xf>
    <xf numFmtId="0" fontId="47" fillId="0" borderId="0" xfId="23" applyFont="1" applyAlignment="1">
      <alignment horizontal="left" wrapText="1" indent="4"/>
    </xf>
    <xf numFmtId="0" fontId="47" fillId="0" borderId="0" xfId="23" applyFont="1" applyAlignment="1">
      <alignment horizontal="left" wrapText="1" indent="1"/>
    </xf>
    <xf numFmtId="0" fontId="44" fillId="0" borderId="0" xfId="10" applyFont="1" applyBorder="1" applyAlignment="1">
      <alignment horizontal="center" vertical="center"/>
    </xf>
    <xf numFmtId="0" fontId="44" fillId="0" borderId="0" xfId="23" applyFont="1" applyAlignment="1">
      <alignment horizontal="left" wrapText="1" indent="2"/>
    </xf>
    <xf numFmtId="0" fontId="44" fillId="0" borderId="0" xfId="23" applyFont="1" applyAlignment="1">
      <alignment horizontal="left" wrapText="1" indent="4"/>
    </xf>
    <xf numFmtId="0" fontId="48" fillId="0" borderId="0" xfId="23" applyFont="1" applyAlignment="1">
      <alignment horizontal="left" wrapText="1" indent="2"/>
    </xf>
    <xf numFmtId="0" fontId="48" fillId="0" borderId="0" xfId="10" applyFont="1" applyAlignment="1">
      <alignment horizontal="left" indent="2"/>
    </xf>
    <xf numFmtId="0" fontId="31" fillId="0" borderId="0" xfId="23" applyFont="1" applyAlignment="1">
      <alignment horizontal="left" wrapText="1" indent="2"/>
    </xf>
    <xf numFmtId="0" fontId="49" fillId="0" borderId="0" xfId="10" applyFont="1" applyAlignment="1">
      <alignment horizontal="center"/>
    </xf>
    <xf numFmtId="0" fontId="50" fillId="0" borderId="0" xfId="10" applyFont="1" applyAlignment="1">
      <alignment horizontal="left"/>
    </xf>
    <xf numFmtId="0" fontId="35" fillId="0" borderId="0" xfId="10" applyFont="1" applyAlignment="1">
      <alignment horizontal="center"/>
    </xf>
    <xf numFmtId="0" fontId="51" fillId="0" borderId="0" xfId="23" applyFont="1" applyAlignment="1">
      <alignment horizontal="center" wrapText="1"/>
    </xf>
    <xf numFmtId="0" fontId="52" fillId="0" borderId="0" xfId="23" applyFont="1" applyAlignment="1">
      <alignment horizontal="center" wrapText="1"/>
    </xf>
    <xf numFmtId="0" fontId="37" fillId="0" borderId="0" xfId="23">
      <alignment horizontal="left" wrapText="1"/>
    </xf>
    <xf numFmtId="0" fontId="37" fillId="0" borderId="0" xfId="23" applyAlignment="1">
      <alignment horizontal="center" wrapText="1"/>
    </xf>
    <xf numFmtId="9" fontId="41" fillId="0" borderId="0" xfId="24">
      <alignment horizontal="center" vertical="center"/>
    </xf>
    <xf numFmtId="167" fontId="23" fillId="0" borderId="0" xfId="5" applyNumberFormat="1" applyBorder="1"/>
    <xf numFmtId="0" fontId="25" fillId="11" borderId="17" xfId="4" applyFont="1" applyFill="1" applyBorder="1" applyAlignment="1">
      <alignment horizontal="right"/>
    </xf>
    <xf numFmtId="167" fontId="25" fillId="11" borderId="15" xfId="4" applyNumberFormat="1" applyFont="1" applyFill="1" applyBorder="1"/>
    <xf numFmtId="167" fontId="25" fillId="11" borderId="14" xfId="4" applyNumberFormat="1" applyFont="1" applyFill="1" applyBorder="1"/>
    <xf numFmtId="167" fontId="25" fillId="11" borderId="15" xfId="4" applyNumberFormat="1" applyFont="1" applyFill="1" applyBorder="1" applyAlignment="1">
      <alignment horizontal="center"/>
    </xf>
    <xf numFmtId="164" fontId="26" fillId="11" borderId="15" xfId="1" applyFont="1" applyFill="1" applyBorder="1"/>
    <xf numFmtId="164" fontId="26" fillId="11" borderId="16" xfId="1" applyFont="1" applyFill="1" applyBorder="1"/>
    <xf numFmtId="164" fontId="26" fillId="11" borderId="14" xfId="1" applyFont="1" applyFill="1" applyBorder="1"/>
    <xf numFmtId="0" fontId="27" fillId="11" borderId="17" xfId="4" applyFont="1" applyFill="1" applyBorder="1" applyAlignment="1">
      <alignment horizontal="right"/>
    </xf>
    <xf numFmtId="164" fontId="25" fillId="11" borderId="16" xfId="4" applyNumberFormat="1" applyFont="1" applyFill="1" applyBorder="1"/>
    <xf numFmtId="164" fontId="25" fillId="11" borderId="15" xfId="4" applyNumberFormat="1" applyFont="1" applyFill="1" applyBorder="1"/>
    <xf numFmtId="164" fontId="25" fillId="11" borderId="14" xfId="4" applyNumberFormat="1" applyFont="1" applyFill="1" applyBorder="1"/>
    <xf numFmtId="164" fontId="25" fillId="11" borderId="15" xfId="4" applyNumberFormat="1" applyFont="1" applyFill="1" applyBorder="1" applyAlignment="1">
      <alignment horizontal="center"/>
    </xf>
    <xf numFmtId="1" fontId="23" fillId="0" borderId="0" xfId="5" applyNumberFormat="1" applyBorder="1"/>
    <xf numFmtId="2" fontId="25" fillId="11" borderId="16" xfId="4" applyNumberFormat="1" applyFont="1" applyFill="1" applyBorder="1"/>
    <xf numFmtId="2" fontId="22" fillId="0" borderId="0" xfId="6" applyNumberFormat="1"/>
    <xf numFmtId="168" fontId="22" fillId="0" borderId="0" xfId="6" applyNumberFormat="1"/>
    <xf numFmtId="2" fontId="26" fillId="11" borderId="16" xfId="1" applyNumberFormat="1" applyFont="1" applyFill="1" applyBorder="1"/>
    <xf numFmtId="2" fontId="26" fillId="11" borderId="15" xfId="1" applyNumberFormat="1" applyFont="1" applyFill="1" applyBorder="1"/>
    <xf numFmtId="2" fontId="26" fillId="11" borderId="14" xfId="1" applyNumberFormat="1" applyFont="1" applyFill="1" applyBorder="1"/>
    <xf numFmtId="0" fontId="16" fillId="0" borderId="0" xfId="3" applyNumberFormat="1" applyFont="1" applyFill="1" applyBorder="1" applyAlignment="1" applyProtection="1">
      <alignment horizontal="center"/>
    </xf>
    <xf numFmtId="0" fontId="9" fillId="0" borderId="6" xfId="3" applyNumberFormat="1" applyFont="1" applyFill="1" applyBorder="1" applyAlignment="1" applyProtection="1">
      <alignment horizontal="left" vertical="center"/>
    </xf>
    <xf numFmtId="0" fontId="4" fillId="0" borderId="2" xfId="3" applyNumberFormat="1" applyFont="1" applyFill="1" applyBorder="1" applyAlignment="1" applyProtection="1">
      <alignment vertical="center"/>
    </xf>
    <xf numFmtId="0" fontId="4" fillId="0" borderId="2" xfId="3" applyNumberFormat="1" applyFont="1" applyFill="1" applyBorder="1" applyAlignment="1" applyProtection="1">
      <alignment horizontal="center" vertical="center"/>
    </xf>
    <xf numFmtId="0" fontId="4" fillId="0" borderId="2" xfId="3" applyNumberFormat="1" applyFont="1" applyFill="1" applyBorder="1" applyAlignment="1" applyProtection="1">
      <alignment horizontal="center" vertical="center" wrapText="1"/>
    </xf>
    <xf numFmtId="0" fontId="4" fillId="0" borderId="7" xfId="3" applyNumberFormat="1" applyFont="1" applyFill="1" applyBorder="1" applyAlignment="1" applyProtection="1">
      <alignment horizontal="center" vertical="center" wrapText="1"/>
    </xf>
    <xf numFmtId="14" fontId="2" fillId="0" borderId="0" xfId="3" applyNumberFormat="1" applyFont="1" applyFill="1" applyBorder="1" applyAlignment="1" applyProtection="1">
      <alignment vertical="center"/>
    </xf>
    <xf numFmtId="0" fontId="9" fillId="0" borderId="5" xfId="3" applyNumberFormat="1" applyFont="1" applyFill="1" applyBorder="1" applyAlignment="1" applyProtection="1">
      <alignment horizontal="left" vertical="center"/>
    </xf>
    <xf numFmtId="0" fontId="36" fillId="0" borderId="50" xfId="19" applyBorder="1">
      <alignment horizontal="center" vertical="center" wrapText="1"/>
    </xf>
    <xf numFmtId="0" fontId="36" fillId="0" borderId="51" xfId="19" applyBorder="1">
      <alignment horizontal="center" vertical="center" wrapText="1"/>
    </xf>
    <xf numFmtId="0" fontId="36" fillId="0" borderId="0" xfId="18">
      <alignment vertical="center"/>
    </xf>
    <xf numFmtId="0" fontId="36" fillId="0" borderId="51" xfId="18" applyBorder="1">
      <alignment vertical="center"/>
    </xf>
    <xf numFmtId="0" fontId="36" fillId="0" borderId="0" xfId="18" applyAlignment="1">
      <alignment horizontal="center" vertical="center"/>
    </xf>
    <xf numFmtId="0" fontId="36" fillId="0" borderId="51" xfId="18" applyBorder="1" applyAlignment="1">
      <alignment horizontal="center" vertical="center"/>
    </xf>
    <xf numFmtId="0" fontId="36" fillId="0" borderId="0" xfId="19">
      <alignment horizontal="center" vertical="center" wrapText="1"/>
    </xf>
    <xf numFmtId="0" fontId="0" fillId="0" borderId="47" xfId="14" applyFont="1" applyBorder="1">
      <alignment horizontal="left" vertical="center"/>
    </xf>
    <xf numFmtId="0" fontId="0" fillId="0" borderId="0" xfId="14" applyFont="1" applyBorder="1">
      <alignment horizontal="left" vertical="center"/>
    </xf>
    <xf numFmtId="14" fontId="32" fillId="0" borderId="0" xfId="11" applyNumberFormat="1">
      <alignment vertical="center"/>
    </xf>
    <xf numFmtId="0" fontId="35" fillId="0" borderId="47" xfId="14" applyFont="1" applyBorder="1">
      <alignment horizontal="left" vertical="center"/>
    </xf>
    <xf numFmtId="0" fontId="35" fillId="0" borderId="0" xfId="14" applyFont="1">
      <alignment horizontal="left" vertical="center"/>
    </xf>
    <xf numFmtId="0" fontId="35" fillId="0" borderId="48" xfId="14" applyFont="1" applyBorder="1">
      <alignment horizontal="left" vertical="center"/>
    </xf>
    <xf numFmtId="0" fontId="35" fillId="0" borderId="0" xfId="14" applyFont="1" applyBorder="1">
      <alignment horizontal="left" vertical="center"/>
    </xf>
    <xf numFmtId="0" fontId="0" fillId="0" borderId="48" xfId="14" applyFont="1" applyBorder="1">
      <alignment horizontal="left" vertical="center"/>
    </xf>
    <xf numFmtId="0" fontId="0" fillId="0" borderId="47" xfId="14" applyFont="1" applyBorder="1" applyAlignment="1">
      <alignment horizontal="left" vertical="center"/>
    </xf>
    <xf numFmtId="0" fontId="0" fillId="0" borderId="0" xfId="14" applyFont="1" applyBorder="1" applyAlignment="1">
      <alignment horizontal="left" vertical="center"/>
    </xf>
    <xf numFmtId="0" fontId="0" fillId="0" borderId="48" xfId="14" applyFont="1" applyBorder="1" applyAlignment="1">
      <alignment horizontal="left" vertical="center"/>
    </xf>
  </cellXfs>
  <cellStyles count="26">
    <cellStyle name="% complete (beyond plan) legend" xfId="17"/>
    <cellStyle name="Accent4" xfId="7" builtinId="41"/>
    <cellStyle name="Activity" xfId="23"/>
    <cellStyle name="Actual (beyond plan) legend" xfId="16"/>
    <cellStyle name="Actual legend" xfId="15"/>
    <cellStyle name="Currency" xfId="1" builtinId="4"/>
    <cellStyle name="Currency 2" xfId="5"/>
    <cellStyle name="Explanatory Text" xfId="3" builtinId="53" customBuiltin="1"/>
    <cellStyle name="Explanatory Text 2" xfId="6"/>
    <cellStyle name="Explanatory Text 2 2" xfId="11"/>
    <cellStyle name="Heading 1 2" xfId="9"/>
    <cellStyle name="Heading 2 2" xfId="18"/>
    <cellStyle name="Heading 3 2" xfId="19"/>
    <cellStyle name="Heading 4 2" xfId="20"/>
    <cellStyle name="Hyperlink 2" xfId="25"/>
    <cellStyle name="Label" xfId="14"/>
    <cellStyle name="Normal" xfId="0" builtinId="0"/>
    <cellStyle name="Normal 2" xfId="4"/>
    <cellStyle name="Normal 2 2" xfId="10"/>
    <cellStyle name="Percent" xfId="2" builtinId="5"/>
    <cellStyle name="Percent Complete" xfId="24"/>
    <cellStyle name="Period Headers" xfId="22"/>
    <cellStyle name="Period Value" xfId="12"/>
    <cellStyle name="Plan legend" xfId="13"/>
    <cellStyle name="Project Headers" xfId="21"/>
    <cellStyle name="Title 2" xfId="8"/>
  </cellStyles>
  <dxfs count="421"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5E0B4"/>
      <rgbColor rgb="FF808080"/>
      <rgbColor rgb="FF9999FF"/>
      <rgbColor rgb="FF993366"/>
      <rgbColor rgb="FFFFEFC0"/>
      <rgbColor rgb="FFF2F2F2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D3D887"/>
      <rgbColor rgb="FFFFE699"/>
      <rgbColor rgb="FF99CCFF"/>
      <rgbColor rgb="FFFF99CC"/>
      <rgbColor rgb="FFCC99FF"/>
      <rgbColor rgb="FFFFDC73"/>
      <rgbColor rgb="FF3366FF"/>
      <rgbColor rgb="FF33CCCC"/>
      <rgbColor rgb="FF99CC00"/>
      <rgbColor rgb="FFFFC000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1"/>
          <c:order val="0"/>
          <c:tx>
            <c:strRef>
              <c:f>Metrics!$C$12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Metrics!$C$13:$C$27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20-4E07-9596-FABA919DF866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1"/>
          <c:tx>
            <c:strRef>
              <c:f>Metrics!$D$12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Metrics!$D$13:$D$27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20-4E07-9596-FABA919DF866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2"/>
          <c:tx>
            <c:strRef>
              <c:f>Metrics!$E$12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Metrics!$E$13:$E$27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20-4E07-9596-FABA919DF866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3"/>
          <c:tx>
            <c:strRef>
              <c:f>Metrics!$F$12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Metrics!$F$13:$F$27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720-4E07-9596-FABA919DF866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4"/>
          <c:tx>
            <c:strRef>
              <c:f>Metrics!$G$12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Metrics!$G$13:$G$27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720-4E07-9596-FABA919DF866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5"/>
          <c:tx>
            <c:strRef>
              <c:f>Metrics!$H$12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Metrics!$H$13:$H$27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664512"/>
        <c:axId val="1480668864"/>
      </c:lineChart>
      <c:catAx>
        <c:axId val="14806645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668864"/>
        <c:crosses val="autoZero"/>
        <c:auto val="1"/>
        <c:lblAlgn val="ctr"/>
        <c:lblOffset val="100"/>
        <c:tickLblSkip val="7"/>
        <c:noMultiLvlLbl val="1"/>
      </c:catAx>
      <c:valAx>
        <c:axId val="148066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66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671584"/>
        <c:axId val="1480671040"/>
      </c:lineChart>
      <c:catAx>
        <c:axId val="14806715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671040"/>
        <c:crosses val="autoZero"/>
        <c:auto val="1"/>
        <c:lblAlgn val="ctr"/>
        <c:lblOffset val="100"/>
        <c:tickLblSkip val="7"/>
        <c:noMultiLvlLbl val="1"/>
      </c:catAx>
      <c:valAx>
        <c:axId val="148067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67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Metrics!$C$69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Metrics!$C$70:$C$84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Metrics!$D$69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Metrics!$D$70:$D$84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Metrics!$E$69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Metrics!$E$70:$E$84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Metrics!$F$69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Metrics!$F$70:$F$84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Metrics!$G$69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Metrics!$G$70:$G$84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Metrics!$H$69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Metrics!$H$70:$H$84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BB8-4A1F-A25A-4565F9A19E21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Overview!#REF!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676480"/>
        <c:axId val="1480677024"/>
      </c:lineChart>
      <c:catAx>
        <c:axId val="14806764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677024"/>
        <c:crosses val="autoZero"/>
        <c:auto val="1"/>
        <c:lblAlgn val="ctr"/>
        <c:lblOffset val="100"/>
        <c:tickLblSkip val="7"/>
        <c:noMultiLvlLbl val="0"/>
      </c:catAx>
      <c:valAx>
        <c:axId val="148067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67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Hours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Metrics!$C$31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Metrics!$C$32:$C$46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Metrics!$D$31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Metrics!$D$32:$D$46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Metrics!$E$31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Metrics!$E$32:$E$46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Metrics!$F$31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Metrics!$F$32:$F$46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Metrics!$G$31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Metrics!$G$32:$G$46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Metrics!$H$31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Metrics!$A$32:$A$46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Metrics!$H$32:$H$46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1097072"/>
        <c:axId val="1291098160"/>
      </c:lineChart>
      <c:dateAx>
        <c:axId val="12910970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098160"/>
        <c:crosses val="autoZero"/>
        <c:auto val="1"/>
        <c:lblOffset val="100"/>
        <c:baseTimeUnit val="days"/>
        <c:majorUnit val="7"/>
        <c:majorTimeUnit val="days"/>
      </c:dateAx>
      <c:valAx>
        <c:axId val="129109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09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0"/>
          <c:order val="0"/>
          <c:tx>
            <c:strRef>
              <c:f>Metrics!$C$12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Metrics!$A$13:$A$27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Metrics!$C$13:$C$27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720-4E07-9596-FABA919DF866}"/>
            </c:ext>
          </c:extLst>
        </c:ser>
        <c:ser>
          <c:idx val="1"/>
          <c:order val="1"/>
          <c:tx>
            <c:strRef>
              <c:f>Metrics!$D$12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Metrics!$D$13:$D$27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2"/>
          <c:tx>
            <c:strRef>
              <c:f>Metrics!$E$12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Metrics!$E$13:$E$27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3"/>
          <c:tx>
            <c:strRef>
              <c:f>Metrics!$F$12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Metrics!$F$13:$F$27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4"/>
          <c:tx>
            <c:strRef>
              <c:f>Metrics!$G$12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Metrics!$G$13:$G$27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5"/>
          <c:tx>
            <c:strRef>
              <c:f>Metrics!$H$12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Metrics!$H$13:$H$27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195792"/>
        <c:axId val="1563186544"/>
      </c:lineChart>
      <c:dateAx>
        <c:axId val="1563195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86544"/>
        <c:crosses val="autoZero"/>
        <c:auto val="1"/>
        <c:lblOffset val="100"/>
        <c:baseTimeUnit val="days"/>
        <c:majorUnit val="7"/>
        <c:majorTimeUnit val="days"/>
      </c:dateAx>
      <c:valAx>
        <c:axId val="156318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9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194160"/>
        <c:axId val="1563189808"/>
      </c:lineChart>
      <c:dateAx>
        <c:axId val="15631941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89808"/>
        <c:crosses val="autoZero"/>
        <c:auto val="1"/>
        <c:lblOffset val="100"/>
        <c:baseTimeUnit val="days"/>
        <c:majorUnit val="7"/>
        <c:majorTimeUnit val="days"/>
      </c:dateAx>
      <c:valAx>
        <c:axId val="156318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9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196336"/>
        <c:axId val="1563193072"/>
      </c:lineChart>
      <c:dateAx>
        <c:axId val="15631963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93072"/>
        <c:crosses val="autoZero"/>
        <c:auto val="1"/>
        <c:lblOffset val="100"/>
        <c:baseTimeUnit val="days"/>
        <c:majorUnit val="7"/>
        <c:majorTimeUnit val="days"/>
      </c:dateAx>
      <c:valAx>
        <c:axId val="156319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9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Metrics!$C$50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Metrics!$C$51:$C$65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Metrics!$D$50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Metrics!$D$51:$D$65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Metrics!$E$50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Metrics!$E$51:$E$65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Metrics!$F$50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Metrics!$F$51:$F$65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Metrics!$G$50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Metrics!$G$51:$G$65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Metrics!$H$50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Metrics!$A$51:$A$65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Metrics!$H$51:$H$65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197424"/>
        <c:axId val="1563197968"/>
      </c:lineChart>
      <c:dateAx>
        <c:axId val="15631974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97968"/>
        <c:crosses val="autoZero"/>
        <c:auto val="1"/>
        <c:lblOffset val="100"/>
        <c:baseTimeUnit val="days"/>
        <c:majorUnit val="7"/>
        <c:majorTimeUnit val="days"/>
      </c:dateAx>
      <c:valAx>
        <c:axId val="15631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9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336936</xdr:colOff>
      <xdr:row>0</xdr:row>
      <xdr:rowOff>0</xdr:rowOff>
    </xdr:from>
    <xdr:to>
      <xdr:col>6</xdr:col>
      <xdr:colOff>1252331</xdr:colOff>
      <xdr:row>10</xdr:row>
      <xdr:rowOff>33130</xdr:rowOff>
    </xdr:to>
    <xdr:sp macro="" textlink="">
      <xdr:nvSpPr>
        <xdr:cNvPr id="26" name="TextBox 25"/>
        <xdr:cNvSpPr txBox="1"/>
      </xdr:nvSpPr>
      <xdr:spPr>
        <a:xfrm>
          <a:off x="4093927" y="0"/>
          <a:ext cx="2598421" cy="188843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754380</xdr:colOff>
      <xdr:row>0</xdr:row>
      <xdr:rowOff>0</xdr:rowOff>
    </xdr:from>
    <xdr:to>
      <xdr:col>5</xdr:col>
      <xdr:colOff>173421</xdr:colOff>
      <xdr:row>10</xdr:row>
      <xdr:rowOff>53340</xdr:rowOff>
    </xdr:to>
    <xdr:sp macro="" textlink="">
      <xdr:nvSpPr>
        <xdr:cNvPr id="4" name="TextBox 3"/>
        <xdr:cNvSpPr txBox="1"/>
      </xdr:nvSpPr>
      <xdr:spPr>
        <a:xfrm>
          <a:off x="754380" y="0"/>
          <a:ext cx="3176032" cy="190864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45720</xdr:colOff>
      <xdr:row>6</xdr:row>
      <xdr:rowOff>144780</xdr:rowOff>
    </xdr:from>
    <xdr:to>
      <xdr:col>3</xdr:col>
      <xdr:colOff>601980</xdr:colOff>
      <xdr:row>9</xdr:row>
      <xdr:rowOff>137160</xdr:rowOff>
    </xdr:to>
    <xdr:sp macro="" textlink="">
      <xdr:nvSpPr>
        <xdr:cNvPr id="13" name="TextBox 12"/>
        <xdr:cNvSpPr txBox="1"/>
      </xdr:nvSpPr>
      <xdr:spPr>
        <a:xfrm>
          <a:off x="7322820" y="124968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Brandon</a:t>
          </a:r>
        </a:p>
      </xdr:txBody>
    </xdr:sp>
    <xdr:clientData/>
  </xdr:twoCellAnchor>
  <xdr:twoCellAnchor>
    <xdr:from>
      <xdr:col>1</xdr:col>
      <xdr:colOff>45720</xdr:colOff>
      <xdr:row>3</xdr:row>
      <xdr:rowOff>99060</xdr:rowOff>
    </xdr:from>
    <xdr:to>
      <xdr:col>3</xdr:col>
      <xdr:colOff>601980</xdr:colOff>
      <xdr:row>6</xdr:row>
      <xdr:rowOff>91440</xdr:rowOff>
    </xdr:to>
    <xdr:sp macro="" textlink="">
      <xdr:nvSpPr>
        <xdr:cNvPr id="12" name="TextBox 11"/>
        <xdr:cNvSpPr txBox="1"/>
      </xdr:nvSpPr>
      <xdr:spPr>
        <a:xfrm>
          <a:off x="7322820" y="64770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Bach</a:t>
          </a:r>
        </a:p>
      </xdr:txBody>
    </xdr:sp>
    <xdr:clientData/>
  </xdr:twoCellAnchor>
  <xdr:twoCellAnchor>
    <xdr:from>
      <xdr:col>1</xdr:col>
      <xdr:colOff>30480</xdr:colOff>
      <xdr:row>0</xdr:row>
      <xdr:rowOff>45720</xdr:rowOff>
    </xdr:from>
    <xdr:to>
      <xdr:col>3</xdr:col>
      <xdr:colOff>586740</xdr:colOff>
      <xdr:row>3</xdr:row>
      <xdr:rowOff>45720</xdr:rowOff>
    </xdr:to>
    <xdr:sp macro="" textlink="">
      <xdr:nvSpPr>
        <xdr:cNvPr id="5" name="TextBox 4"/>
        <xdr:cNvSpPr txBox="1"/>
      </xdr:nvSpPr>
      <xdr:spPr>
        <a:xfrm>
          <a:off x="891871" y="45720"/>
          <a:ext cx="1318260" cy="5565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Andrei</a:t>
          </a:r>
        </a:p>
      </xdr:txBody>
    </xdr:sp>
    <xdr:clientData/>
  </xdr:twoCellAnchor>
  <xdr:twoCellAnchor>
    <xdr:from>
      <xdr:col>0</xdr:col>
      <xdr:colOff>335280</xdr:colOff>
      <xdr:row>10</xdr:row>
      <xdr:rowOff>171450</xdr:rowOff>
    </xdr:from>
    <xdr:to>
      <xdr:col>6</xdr:col>
      <xdr:colOff>198120</xdr:colOff>
      <xdr:row>28</xdr:row>
      <xdr:rowOff>46482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311426</xdr:colOff>
      <xdr:row>49</xdr:row>
      <xdr:rowOff>3976</xdr:rowOff>
    </xdr:from>
    <xdr:to>
      <xdr:col>6</xdr:col>
      <xdr:colOff>71397</xdr:colOff>
      <xdr:row>65</xdr:row>
      <xdr:rowOff>179070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99060</xdr:rowOff>
        </xdr:from>
        <xdr:to>
          <xdr:col>2</xdr:col>
          <xdr:colOff>198120</xdr:colOff>
          <xdr:row>3</xdr:row>
          <xdr:rowOff>22860</xdr:rowOff>
        </xdr:to>
        <xdr:sp macro="" textlink="">
          <xdr:nvSpPr>
            <xdr:cNvPr id="1025" name="AndreiPlanner_bu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4</xdr:row>
          <xdr:rowOff>144780</xdr:rowOff>
        </xdr:from>
        <xdr:to>
          <xdr:col>2</xdr:col>
          <xdr:colOff>175260</xdr:colOff>
          <xdr:row>6</xdr:row>
          <xdr:rowOff>45720</xdr:rowOff>
        </xdr:to>
        <xdr:sp macro="" textlink="">
          <xdr:nvSpPr>
            <xdr:cNvPr id="1026" name="BachPlanner_bu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8</xdr:row>
          <xdr:rowOff>7620</xdr:rowOff>
        </xdr:from>
        <xdr:to>
          <xdr:col>2</xdr:col>
          <xdr:colOff>198120</xdr:colOff>
          <xdr:row>9</xdr:row>
          <xdr:rowOff>106680</xdr:rowOff>
        </xdr:to>
        <xdr:sp macro="" textlink="">
          <xdr:nvSpPr>
            <xdr:cNvPr id="1027" name="BrandonPlanner_b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717069</xdr:colOff>
      <xdr:row>6</xdr:row>
      <xdr:rowOff>144780</xdr:rowOff>
    </xdr:from>
    <xdr:to>
      <xdr:col>4</xdr:col>
      <xdr:colOff>353674</xdr:colOff>
      <xdr:row>9</xdr:row>
      <xdr:rowOff>137160</xdr:rowOff>
    </xdr:to>
    <xdr:sp macro="" textlink="">
      <xdr:nvSpPr>
        <xdr:cNvPr id="17" name="TextBox 16"/>
        <xdr:cNvSpPr txBox="1"/>
      </xdr:nvSpPr>
      <xdr:spPr>
        <a:xfrm>
          <a:off x="8762738" y="1253621"/>
          <a:ext cx="1318260" cy="549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Zack</a:t>
          </a:r>
        </a:p>
      </xdr:txBody>
    </xdr:sp>
    <xdr:clientData/>
  </xdr:twoCellAnchor>
  <xdr:twoCellAnchor>
    <xdr:from>
      <xdr:col>3</xdr:col>
      <xdr:colOff>717069</xdr:colOff>
      <xdr:row>3</xdr:row>
      <xdr:rowOff>99060</xdr:rowOff>
    </xdr:from>
    <xdr:to>
      <xdr:col>4</xdr:col>
      <xdr:colOff>353674</xdr:colOff>
      <xdr:row>6</xdr:row>
      <xdr:rowOff>91440</xdr:rowOff>
    </xdr:to>
    <xdr:sp macro="" textlink="">
      <xdr:nvSpPr>
        <xdr:cNvPr id="18" name="TextBox 17"/>
        <xdr:cNvSpPr txBox="1"/>
      </xdr:nvSpPr>
      <xdr:spPr>
        <a:xfrm>
          <a:off x="8762738" y="650853"/>
          <a:ext cx="1318260" cy="549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Peter</a:t>
          </a:r>
        </a:p>
      </xdr:txBody>
    </xdr:sp>
    <xdr:clientData/>
  </xdr:twoCellAnchor>
  <xdr:twoCellAnchor>
    <xdr:from>
      <xdr:col>3</xdr:col>
      <xdr:colOff>701829</xdr:colOff>
      <xdr:row>0</xdr:row>
      <xdr:rowOff>45720</xdr:rowOff>
    </xdr:from>
    <xdr:to>
      <xdr:col>4</xdr:col>
      <xdr:colOff>338434</xdr:colOff>
      <xdr:row>3</xdr:row>
      <xdr:rowOff>45720</xdr:rowOff>
    </xdr:to>
    <xdr:sp macro="" textlink="">
      <xdr:nvSpPr>
        <xdr:cNvPr id="19" name="TextBox 18"/>
        <xdr:cNvSpPr txBox="1"/>
      </xdr:nvSpPr>
      <xdr:spPr>
        <a:xfrm>
          <a:off x="8747498" y="45720"/>
          <a:ext cx="1318260" cy="55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Cody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</xdr:colOff>
          <xdr:row>1</xdr:row>
          <xdr:rowOff>99060</xdr:rowOff>
        </xdr:from>
        <xdr:to>
          <xdr:col>3</xdr:col>
          <xdr:colOff>1341120</xdr:colOff>
          <xdr:row>3</xdr:row>
          <xdr:rowOff>22860</xdr:rowOff>
        </xdr:to>
        <xdr:sp macro="" textlink="">
          <xdr:nvSpPr>
            <xdr:cNvPr id="1031" name="CodyPlanner_b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784860</xdr:colOff>
          <xdr:row>4</xdr:row>
          <xdr:rowOff>175260</xdr:rowOff>
        </xdr:from>
        <xdr:to>
          <xdr:col>3</xdr:col>
          <xdr:colOff>1341120</xdr:colOff>
          <xdr:row>6</xdr:row>
          <xdr:rowOff>76200</xdr:rowOff>
        </xdr:to>
        <xdr:sp macro="" textlink="">
          <xdr:nvSpPr>
            <xdr:cNvPr id="1032" name="PeterPlanner_bu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8</xdr:row>
          <xdr:rowOff>0</xdr:rowOff>
        </xdr:from>
        <xdr:to>
          <xdr:col>3</xdr:col>
          <xdr:colOff>1341120</xdr:colOff>
          <xdr:row>9</xdr:row>
          <xdr:rowOff>106680</xdr:rowOff>
        </xdr:to>
        <xdr:sp macro="" textlink="">
          <xdr:nvSpPr>
            <xdr:cNvPr id="1033" name="ZackPlanner_bu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1</xdr:row>
          <xdr:rowOff>99060</xdr:rowOff>
        </xdr:from>
        <xdr:to>
          <xdr:col>3</xdr:col>
          <xdr:colOff>533400</xdr:colOff>
          <xdr:row>3</xdr:row>
          <xdr:rowOff>22860</xdr:rowOff>
        </xdr:to>
        <xdr:sp macro="" textlink="">
          <xdr:nvSpPr>
            <xdr:cNvPr id="1034" name="AndreiCost_bu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4</xdr:row>
          <xdr:rowOff>137160</xdr:rowOff>
        </xdr:from>
        <xdr:to>
          <xdr:col>3</xdr:col>
          <xdr:colOff>525780</xdr:colOff>
          <xdr:row>6</xdr:row>
          <xdr:rowOff>60960</xdr:rowOff>
        </xdr:to>
        <xdr:sp macro="" textlink="">
          <xdr:nvSpPr>
            <xdr:cNvPr id="1036" name="BachCost_bu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8</xdr:row>
          <xdr:rowOff>0</xdr:rowOff>
        </xdr:from>
        <xdr:to>
          <xdr:col>3</xdr:col>
          <xdr:colOff>525780</xdr:colOff>
          <xdr:row>9</xdr:row>
          <xdr:rowOff>114300</xdr:rowOff>
        </xdr:to>
        <xdr:sp macro="" textlink="">
          <xdr:nvSpPr>
            <xdr:cNvPr id="1037" name="BrandonCost_b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1394460</xdr:colOff>
          <xdr:row>1</xdr:row>
          <xdr:rowOff>99060</xdr:rowOff>
        </xdr:from>
        <xdr:to>
          <xdr:col>4</xdr:col>
          <xdr:colOff>281940</xdr:colOff>
          <xdr:row>3</xdr:row>
          <xdr:rowOff>22860</xdr:rowOff>
        </xdr:to>
        <xdr:sp macro="" textlink="">
          <xdr:nvSpPr>
            <xdr:cNvPr id="1038" name="CodyCost_bu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1379220</xdr:colOff>
          <xdr:row>4</xdr:row>
          <xdr:rowOff>137160</xdr:rowOff>
        </xdr:from>
        <xdr:to>
          <xdr:col>4</xdr:col>
          <xdr:colOff>220980</xdr:colOff>
          <xdr:row>6</xdr:row>
          <xdr:rowOff>76200</xdr:rowOff>
        </xdr:to>
        <xdr:sp macro="" textlink="">
          <xdr:nvSpPr>
            <xdr:cNvPr id="1039" name="PeterCost_bu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1379220</xdr:colOff>
          <xdr:row>8</xdr:row>
          <xdr:rowOff>0</xdr:rowOff>
        </xdr:from>
        <xdr:to>
          <xdr:col>4</xdr:col>
          <xdr:colOff>266700</xdr:colOff>
          <xdr:row>9</xdr:row>
          <xdr:rowOff>106680</xdr:rowOff>
        </xdr:to>
        <xdr:sp macro="" textlink="">
          <xdr:nvSpPr>
            <xdr:cNvPr id="1040" name="ZackCost_bu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278295</xdr:colOff>
      <xdr:row>68</xdr:row>
      <xdr:rowOff>39757</xdr:rowOff>
    </xdr:from>
    <xdr:to>
      <xdr:col>6</xdr:col>
      <xdr:colOff>38266</xdr:colOff>
      <xdr:row>85</xdr:row>
      <xdr:rowOff>22694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450574</xdr:colOff>
      <xdr:row>28</xdr:row>
      <xdr:rowOff>159026</xdr:rowOff>
    </xdr:from>
    <xdr:to>
      <xdr:col>6</xdr:col>
      <xdr:colOff>210545</xdr:colOff>
      <xdr:row>45</xdr:row>
      <xdr:rowOff>141963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0</xdr:row>
          <xdr:rowOff>152400</xdr:rowOff>
        </xdr:from>
        <xdr:to>
          <xdr:col>6</xdr:col>
          <xdr:colOff>960120</xdr:colOff>
          <xdr:row>2</xdr:row>
          <xdr:rowOff>91440</xdr:rowOff>
        </xdr:to>
        <xdr:sp macro="" textlink="">
          <xdr:nvSpPr>
            <xdr:cNvPr id="1041" name="Metrics_bu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4</xdr:row>
          <xdr:rowOff>60960</xdr:rowOff>
        </xdr:from>
        <xdr:to>
          <xdr:col>5</xdr:col>
          <xdr:colOff>1600200</xdr:colOff>
          <xdr:row>6</xdr:row>
          <xdr:rowOff>30480</xdr:rowOff>
        </xdr:to>
        <xdr:sp macro="" textlink="">
          <xdr:nvSpPr>
            <xdr:cNvPr id="1042" name="PDRGanttChart_bu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4</xdr:row>
          <xdr:rowOff>106680</xdr:rowOff>
        </xdr:from>
        <xdr:to>
          <xdr:col>6</xdr:col>
          <xdr:colOff>944880</xdr:colOff>
          <xdr:row>6</xdr:row>
          <xdr:rowOff>45720</xdr:rowOff>
        </xdr:to>
        <xdr:sp macro="" textlink="">
          <xdr:nvSpPr>
            <xdr:cNvPr id="1043" name="BurnReport_bu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7</xdr:row>
          <xdr:rowOff>91440</xdr:rowOff>
        </xdr:from>
        <xdr:to>
          <xdr:col>6</xdr:col>
          <xdr:colOff>1082040</xdr:colOff>
          <xdr:row>9</xdr:row>
          <xdr:rowOff>83820</xdr:rowOff>
        </xdr:to>
        <xdr:sp macro="" textlink="">
          <xdr:nvSpPr>
            <xdr:cNvPr id="1044" name="MeetingReport_bu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144780</xdr:rowOff>
        </xdr:from>
        <xdr:to>
          <xdr:col>5</xdr:col>
          <xdr:colOff>1645920</xdr:colOff>
          <xdr:row>2</xdr:row>
          <xdr:rowOff>114300</xdr:rowOff>
        </xdr:to>
        <xdr:sp macro="" textlink="">
          <xdr:nvSpPr>
            <xdr:cNvPr id="1045" name="CDRGanttChart_bu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335280</xdr:colOff>
      <xdr:row>10</xdr:row>
      <xdr:rowOff>171450</xdr:rowOff>
    </xdr:from>
    <xdr:to>
      <xdr:col>14</xdr:col>
      <xdr:colOff>198120</xdr:colOff>
      <xdr:row>28</xdr:row>
      <xdr:rowOff>46482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311426</xdr:colOff>
      <xdr:row>49</xdr:row>
      <xdr:rowOff>3976</xdr:rowOff>
    </xdr:from>
    <xdr:to>
      <xdr:col>14</xdr:col>
      <xdr:colOff>71397</xdr:colOff>
      <xdr:row>65</xdr:row>
      <xdr:rowOff>179070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278295</xdr:colOff>
      <xdr:row>68</xdr:row>
      <xdr:rowOff>39757</xdr:rowOff>
    </xdr:from>
    <xdr:to>
      <xdr:col>14</xdr:col>
      <xdr:colOff>38266</xdr:colOff>
      <xdr:row>85</xdr:row>
      <xdr:rowOff>22694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331304</xdr:colOff>
      <xdr:row>29</xdr:row>
      <xdr:rowOff>165651</xdr:rowOff>
    </xdr:from>
    <xdr:to>
      <xdr:col>14</xdr:col>
      <xdr:colOff>91275</xdr:colOff>
      <xdr:row>46</xdr:row>
      <xdr:rowOff>148589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Burn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ook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Meeting%20Repor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18.04.01-10.00.04/groups/newFolder/Project%20Management/New%20Folder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rn Report"/>
    </sheetNames>
    <sheetDataSet>
      <sheetData sheetId="0">
        <row r="2">
          <cell r="A2" t="str">
            <v>Date</v>
          </cell>
          <cell r="B2" t="str">
            <v>Task</v>
          </cell>
          <cell r="C2" t="str">
            <v>Hours</v>
          </cell>
          <cell r="D2" t="str">
            <v>Andrei</v>
          </cell>
          <cell r="E2" t="str">
            <v>Bach</v>
          </cell>
          <cell r="F2" t="str">
            <v>Brandon</v>
          </cell>
          <cell r="G2" t="str">
            <v>Cody</v>
          </cell>
          <cell r="H2" t="str">
            <v>Peter</v>
          </cell>
        </row>
        <row r="3">
          <cell r="A3">
            <v>43135</v>
          </cell>
          <cell r="B3" t="str">
            <v>[Ignore] For Chart Formatting</v>
          </cell>
          <cell r="C3">
            <v>0</v>
          </cell>
          <cell r="D3"/>
          <cell r="E3"/>
          <cell r="F3"/>
          <cell r="G3"/>
          <cell r="H3"/>
        </row>
        <row r="4">
          <cell r="A4">
            <v>43137</v>
          </cell>
          <cell r="B4" t="str">
            <v>Meeting Planning</v>
          </cell>
          <cell r="C4">
            <v>0.5</v>
          </cell>
          <cell r="D4">
            <v>1</v>
          </cell>
          <cell r="E4"/>
          <cell r="F4"/>
          <cell r="G4"/>
          <cell r="H4"/>
          <cell r="I4"/>
        </row>
        <row r="5">
          <cell r="A5">
            <v>43144</v>
          </cell>
          <cell r="B5" t="str">
            <v>Meeting Planning</v>
          </cell>
          <cell r="C5">
            <v>0.5</v>
          </cell>
          <cell r="D5">
            <v>1</v>
          </cell>
          <cell r="E5"/>
          <cell r="F5"/>
          <cell r="G5"/>
          <cell r="H5"/>
          <cell r="I5"/>
        </row>
        <row r="6">
          <cell r="A6">
            <v>43153</v>
          </cell>
          <cell r="B6" t="str">
            <v>Derive Requirements for Motor</v>
          </cell>
          <cell r="C6">
            <v>2</v>
          </cell>
          <cell r="D6"/>
          <cell r="E6">
            <v>1</v>
          </cell>
          <cell r="F6">
            <v>1</v>
          </cell>
          <cell r="G6">
            <v>1</v>
          </cell>
          <cell r="H6"/>
          <cell r="I6"/>
        </row>
        <row r="7">
          <cell r="A7">
            <v>43153</v>
          </cell>
          <cell r="B7" t="str">
            <v>Derive Requirements for Motor</v>
          </cell>
          <cell r="C7">
            <v>1</v>
          </cell>
          <cell r="D7"/>
          <cell r="E7">
            <v>1</v>
          </cell>
          <cell r="F7"/>
          <cell r="G7"/>
          <cell r="H7"/>
          <cell r="I7"/>
        </row>
        <row r="8">
          <cell r="A8">
            <v>43153</v>
          </cell>
          <cell r="B8" t="str">
            <v>Design GUI and brainstorm ideas for functionality</v>
          </cell>
          <cell r="C8">
            <v>1</v>
          </cell>
          <cell r="D8"/>
          <cell r="E8"/>
          <cell r="F8"/>
          <cell r="G8">
            <v>1</v>
          </cell>
          <cell r="H8"/>
          <cell r="I8">
            <v>1</v>
          </cell>
        </row>
        <row r="9">
          <cell r="A9">
            <v>43153</v>
          </cell>
          <cell r="B9" t="str">
            <v>Gather hardware manuals along with examples for hardware implementations</v>
          </cell>
          <cell r="C9">
            <v>2</v>
          </cell>
          <cell r="D9"/>
          <cell r="E9">
            <v>1</v>
          </cell>
          <cell r="F9"/>
          <cell r="G9"/>
          <cell r="H9"/>
          <cell r="I9"/>
        </row>
        <row r="10">
          <cell r="A10">
            <v>43155</v>
          </cell>
          <cell r="B10" t="str">
            <v>Block diagram for whole system</v>
          </cell>
          <cell r="C10">
            <v>1</v>
          </cell>
          <cell r="D10"/>
          <cell r="E10"/>
          <cell r="F10"/>
          <cell r="G10"/>
          <cell r="H10">
            <v>1</v>
          </cell>
          <cell r="I10"/>
        </row>
        <row r="11">
          <cell r="A11">
            <v>43157</v>
          </cell>
          <cell r="B11" t="str">
            <v>Design GUI and brainstorm ideas for functionality</v>
          </cell>
          <cell r="C11">
            <v>1</v>
          </cell>
          <cell r="D11"/>
          <cell r="E11"/>
          <cell r="F11"/>
          <cell r="G11">
            <v>1</v>
          </cell>
          <cell r="H11"/>
          <cell r="I11"/>
        </row>
        <row r="12">
          <cell r="A12">
            <v>43157</v>
          </cell>
          <cell r="B12" t="str">
            <v>Came up with requirements for system and modules</v>
          </cell>
          <cell r="C12">
            <v>1</v>
          </cell>
          <cell r="D12"/>
          <cell r="E12">
            <v>1</v>
          </cell>
          <cell r="F12"/>
          <cell r="G12"/>
          <cell r="H12"/>
          <cell r="I12"/>
        </row>
        <row r="13">
          <cell r="A13">
            <v>43158</v>
          </cell>
          <cell r="B13" t="str">
            <v>Derive Requirements for sensors</v>
          </cell>
          <cell r="C13">
            <v>0.5</v>
          </cell>
          <cell r="D13"/>
          <cell r="E13">
            <v>1</v>
          </cell>
          <cell r="F13"/>
          <cell r="G13"/>
          <cell r="H13">
            <v>1</v>
          </cell>
          <cell r="I13"/>
        </row>
        <row r="14">
          <cell r="A14">
            <v>43158</v>
          </cell>
          <cell r="B14" t="str">
            <v>Wrote a summary and requirement report for ultrasonic sensors</v>
          </cell>
          <cell r="C14">
            <v>2</v>
          </cell>
          <cell r="D14"/>
          <cell r="E14">
            <v>1</v>
          </cell>
          <cell r="F14"/>
          <cell r="G14"/>
          <cell r="H14"/>
          <cell r="I14"/>
        </row>
        <row r="15">
          <cell r="A15">
            <v>43159</v>
          </cell>
          <cell r="B15" t="str">
            <v>Create a block diagram for PWM</v>
          </cell>
          <cell r="C15">
            <v>0.5</v>
          </cell>
          <cell r="D15"/>
          <cell r="E15"/>
          <cell r="F15">
            <v>1</v>
          </cell>
          <cell r="G15"/>
          <cell r="H15"/>
          <cell r="I15"/>
        </row>
        <row r="16">
          <cell r="A16">
            <v>43159</v>
          </cell>
          <cell r="B16" t="str">
            <v>Python Motor idea implementation</v>
          </cell>
          <cell r="C16">
            <v>0.5</v>
          </cell>
          <cell r="D16"/>
          <cell r="E16"/>
          <cell r="F16"/>
          <cell r="G16">
            <v>1</v>
          </cell>
          <cell r="H16"/>
          <cell r="I16"/>
        </row>
        <row r="17">
          <cell r="A17">
            <v>43159</v>
          </cell>
          <cell r="B17" t="str">
            <v>Wrapped memory access logic in class – modularization</v>
          </cell>
          <cell r="C17">
            <v>0.5</v>
          </cell>
          <cell r="D17"/>
          <cell r="E17"/>
          <cell r="F17"/>
          <cell r="G17"/>
          <cell r="H17"/>
          <cell r="I17">
            <v>1</v>
          </cell>
        </row>
        <row r="18">
          <cell r="A18">
            <v>43160</v>
          </cell>
          <cell r="B18" t="str">
            <v>Finish up task list, updated burn list, and started gantt</v>
          </cell>
          <cell r="C18">
            <v>1.5</v>
          </cell>
          <cell r="D18">
            <v>1</v>
          </cell>
          <cell r="E18"/>
          <cell r="F18"/>
          <cell r="G18"/>
          <cell r="H18"/>
          <cell r="I18"/>
        </row>
        <row r="19">
          <cell r="A19">
            <v>43160</v>
          </cell>
          <cell r="B19" t="str">
            <v>Python Sensor idea implementation</v>
          </cell>
          <cell r="C19">
            <v>1</v>
          </cell>
          <cell r="D19"/>
          <cell r="E19"/>
          <cell r="F19"/>
          <cell r="G19"/>
          <cell r="H19"/>
          <cell r="I19">
            <v>1</v>
          </cell>
        </row>
        <row r="20">
          <cell r="A20">
            <v>43164</v>
          </cell>
          <cell r="B20" t="str">
            <v>Explore opencv object detection</v>
          </cell>
          <cell r="C20">
            <v>1</v>
          </cell>
          <cell r="D20"/>
          <cell r="E20"/>
          <cell r="F20"/>
          <cell r="G20"/>
          <cell r="H20"/>
          <cell r="I20">
            <v>1</v>
          </cell>
        </row>
        <row r="21">
          <cell r="A21">
            <v>43165</v>
          </cell>
          <cell r="B21" t="str">
            <v>Create and train Haar cascades for various ‘brick’ faces</v>
          </cell>
          <cell r="C21">
            <v>2</v>
          </cell>
          <cell r="D21"/>
          <cell r="E21"/>
          <cell r="F21"/>
          <cell r="G21"/>
          <cell r="H21"/>
          <cell r="I21">
            <v>1</v>
          </cell>
        </row>
        <row r="22">
          <cell r="A22">
            <v>43165</v>
          </cell>
          <cell r="B22" t="str">
            <v>Design GUI and brainstorm ideas for functionality</v>
          </cell>
          <cell r="C22">
            <v>1</v>
          </cell>
          <cell r="D22"/>
          <cell r="E22"/>
          <cell r="F22"/>
          <cell r="G22">
            <v>1</v>
          </cell>
          <cell r="H22"/>
          <cell r="I22"/>
        </row>
        <row r="23">
          <cell r="A23">
            <v>43165</v>
          </cell>
          <cell r="B23" t="str">
            <v>Created initial revision of pre-pdr gantt</v>
          </cell>
          <cell r="C23">
            <v>1</v>
          </cell>
          <cell r="D23">
            <v>1</v>
          </cell>
          <cell r="E23"/>
          <cell r="F23"/>
          <cell r="G23"/>
          <cell r="H23"/>
          <cell r="I23">
            <v>1</v>
          </cell>
        </row>
        <row r="24">
          <cell r="A24">
            <v>43166</v>
          </cell>
          <cell r="B24" t="str">
            <v>Retrain cascades with new samples – shell script automation</v>
          </cell>
          <cell r="C24">
            <v>0.5</v>
          </cell>
          <cell r="D24"/>
          <cell r="E24"/>
          <cell r="F24"/>
          <cell r="G24"/>
          <cell r="H24"/>
          <cell r="I24">
            <v>1</v>
          </cell>
        </row>
        <row r="25">
          <cell r="A25">
            <v>43166</v>
          </cell>
          <cell r="B25" t="str">
            <v>Worked on Gantt and organizing files</v>
          </cell>
          <cell r="C25">
            <v>1</v>
          </cell>
          <cell r="D25">
            <v>1</v>
          </cell>
          <cell r="E25"/>
          <cell r="F25"/>
          <cell r="G25"/>
          <cell r="H25"/>
          <cell r="I25"/>
        </row>
        <row r="26">
          <cell r="A26">
            <v>43167</v>
          </cell>
          <cell r="C26">
            <v>1</v>
          </cell>
          <cell r="D26"/>
          <cell r="E26">
            <v>1</v>
          </cell>
          <cell r="F26"/>
          <cell r="G26"/>
          <cell r="H26"/>
          <cell r="I26"/>
        </row>
        <row r="27">
          <cell r="A27">
            <v>43172</v>
          </cell>
          <cell r="C27">
            <v>2</v>
          </cell>
          <cell r="D27"/>
          <cell r="E27"/>
          <cell r="F27"/>
          <cell r="G27">
            <v>1</v>
          </cell>
          <cell r="H27"/>
          <cell r="I27"/>
        </row>
        <row r="28">
          <cell r="A28">
            <v>43172</v>
          </cell>
          <cell r="C28">
            <v>0.25</v>
          </cell>
          <cell r="D28">
            <v>1</v>
          </cell>
          <cell r="E28"/>
          <cell r="F28"/>
          <cell r="G28"/>
          <cell r="H28"/>
          <cell r="I28"/>
        </row>
        <row r="29">
          <cell r="A29">
            <v>43173</v>
          </cell>
          <cell r="C29">
            <v>1</v>
          </cell>
          <cell r="D29">
            <v>1</v>
          </cell>
          <cell r="E29"/>
          <cell r="F29"/>
          <cell r="G29"/>
          <cell r="H29"/>
          <cell r="I29"/>
        </row>
        <row r="30">
          <cell r="A30">
            <v>43173</v>
          </cell>
          <cell r="C30">
            <v>0.5</v>
          </cell>
          <cell r="D30"/>
          <cell r="E30"/>
          <cell r="F30"/>
          <cell r="G30"/>
          <cell r="H30"/>
          <cell r="I30">
            <v>1</v>
          </cell>
        </row>
        <row r="31">
          <cell r="A31">
            <v>43174</v>
          </cell>
          <cell r="C31">
            <v>1</v>
          </cell>
          <cell r="D31">
            <v>1</v>
          </cell>
          <cell r="E31"/>
          <cell r="F31"/>
          <cell r="G31"/>
          <cell r="H31"/>
          <cell r="I31"/>
        </row>
        <row r="32">
          <cell r="A32">
            <v>43176</v>
          </cell>
          <cell r="C32">
            <v>0.5</v>
          </cell>
          <cell r="D32">
            <v>1</v>
          </cell>
          <cell r="E32"/>
          <cell r="F32"/>
          <cell r="G32"/>
          <cell r="H32"/>
          <cell r="I32"/>
        </row>
        <row r="33">
          <cell r="A33">
            <v>43177</v>
          </cell>
          <cell r="C33">
            <v>1</v>
          </cell>
          <cell r="D33">
            <v>1</v>
          </cell>
          <cell r="E33"/>
          <cell r="F33"/>
          <cell r="G33"/>
          <cell r="H33"/>
          <cell r="I33"/>
        </row>
        <row r="34">
          <cell r="A34">
            <v>43179</v>
          </cell>
          <cell r="C34">
            <v>1.5</v>
          </cell>
          <cell r="D34"/>
          <cell r="E34"/>
          <cell r="F34"/>
          <cell r="G34"/>
          <cell r="H34">
            <v>1</v>
          </cell>
          <cell r="I34"/>
        </row>
        <row r="35">
          <cell r="A35">
            <v>43179</v>
          </cell>
          <cell r="C35">
            <v>2.5</v>
          </cell>
          <cell r="D35"/>
          <cell r="E35"/>
          <cell r="F35"/>
          <cell r="G35"/>
          <cell r="H35">
            <v>1</v>
          </cell>
          <cell r="I35"/>
        </row>
        <row r="36">
          <cell r="A36">
            <v>43179</v>
          </cell>
          <cell r="C36">
            <v>1</v>
          </cell>
          <cell r="D36"/>
          <cell r="E36"/>
          <cell r="F36"/>
          <cell r="G36"/>
          <cell r="H36"/>
          <cell r="I36">
            <v>1</v>
          </cell>
        </row>
        <row r="37">
          <cell r="A37">
            <v>43180</v>
          </cell>
          <cell r="C37">
            <v>1.5</v>
          </cell>
          <cell r="D37">
            <v>1</v>
          </cell>
          <cell r="E37"/>
          <cell r="F37"/>
          <cell r="G37"/>
          <cell r="H37"/>
          <cell r="I37"/>
        </row>
        <row r="38">
          <cell r="A38">
            <v>43180</v>
          </cell>
          <cell r="C38">
            <v>1</v>
          </cell>
          <cell r="D38">
            <v>1</v>
          </cell>
          <cell r="E38"/>
          <cell r="F38"/>
          <cell r="G38"/>
          <cell r="H38"/>
          <cell r="I38"/>
        </row>
        <row r="39">
          <cell r="A39">
            <v>43180</v>
          </cell>
          <cell r="C39">
            <v>3</v>
          </cell>
          <cell r="D39"/>
          <cell r="E39">
            <v>1</v>
          </cell>
          <cell r="F39"/>
          <cell r="G39"/>
          <cell r="H39"/>
          <cell r="I39"/>
        </row>
        <row r="40">
          <cell r="A40">
            <v>43180</v>
          </cell>
          <cell r="C40">
            <v>2</v>
          </cell>
          <cell r="D40"/>
          <cell r="E40">
            <v>1</v>
          </cell>
          <cell r="F40"/>
          <cell r="G40"/>
          <cell r="H40"/>
          <cell r="I40"/>
        </row>
        <row r="41">
          <cell r="A41">
            <v>43180</v>
          </cell>
          <cell r="C41">
            <v>1</v>
          </cell>
          <cell r="D41">
            <v>1</v>
          </cell>
          <cell r="E41"/>
          <cell r="F41"/>
          <cell r="G41"/>
          <cell r="H41"/>
          <cell r="I41"/>
        </row>
        <row r="42">
          <cell r="A42">
            <v>43181</v>
          </cell>
          <cell r="C42">
            <v>1</v>
          </cell>
          <cell r="D42">
            <v>1</v>
          </cell>
          <cell r="E42"/>
          <cell r="F42"/>
          <cell r="G42"/>
          <cell r="H42"/>
          <cell r="I42"/>
        </row>
        <row r="43">
          <cell r="A43">
            <v>43183</v>
          </cell>
          <cell r="C43">
            <v>3</v>
          </cell>
          <cell r="D43"/>
          <cell r="E43"/>
          <cell r="F43"/>
          <cell r="G43"/>
          <cell r="H43"/>
          <cell r="I43">
            <v>1</v>
          </cell>
        </row>
        <row r="44">
          <cell r="A44">
            <v>43185</v>
          </cell>
          <cell r="C44">
            <v>2</v>
          </cell>
          <cell r="D44">
            <v>1</v>
          </cell>
          <cell r="E44"/>
          <cell r="F44"/>
          <cell r="G44"/>
          <cell r="H44"/>
          <cell r="I44"/>
        </row>
        <row r="45">
          <cell r="A45">
            <v>43186</v>
          </cell>
          <cell r="C45">
            <v>0.5</v>
          </cell>
          <cell r="D45"/>
          <cell r="E45"/>
          <cell r="F45"/>
          <cell r="G45"/>
          <cell r="H45"/>
          <cell r="I45">
            <v>1</v>
          </cell>
        </row>
        <row r="46">
          <cell r="A46">
            <v>43187</v>
          </cell>
          <cell r="C46">
            <v>1</v>
          </cell>
          <cell r="D46">
            <v>1</v>
          </cell>
          <cell r="E46"/>
          <cell r="F46"/>
          <cell r="G46"/>
          <cell r="H46"/>
          <cell r="I46"/>
          <cell r="J46">
            <v>100</v>
          </cell>
        </row>
        <row r="47">
          <cell r="A47"/>
          <cell r="C47"/>
          <cell r="D47"/>
          <cell r="E47"/>
          <cell r="F47"/>
          <cell r="G47"/>
          <cell r="H47"/>
          <cell r="I47"/>
        </row>
        <row r="48">
          <cell r="A48"/>
          <cell r="C48"/>
          <cell r="D48"/>
          <cell r="E48"/>
          <cell r="F48"/>
          <cell r="G48"/>
          <cell r="H48"/>
          <cell r="I48"/>
        </row>
        <row r="49">
          <cell r="A49"/>
          <cell r="C49"/>
          <cell r="D49"/>
          <cell r="E49"/>
          <cell r="F49"/>
          <cell r="G49"/>
          <cell r="H49"/>
          <cell r="I49"/>
        </row>
        <row r="50">
          <cell r="A50"/>
          <cell r="C50"/>
          <cell r="D50"/>
          <cell r="E50"/>
          <cell r="F50"/>
          <cell r="G50"/>
          <cell r="H50"/>
          <cell r="I50"/>
        </row>
        <row r="51">
          <cell r="A51"/>
          <cell r="C51"/>
          <cell r="D51"/>
          <cell r="E51"/>
          <cell r="F51"/>
          <cell r="G51"/>
          <cell r="H51"/>
          <cell r="I51"/>
        </row>
        <row r="52">
          <cell r="A52"/>
          <cell r="C52"/>
          <cell r="D52"/>
          <cell r="E52"/>
          <cell r="F52"/>
          <cell r="G52"/>
          <cell r="H52"/>
          <cell r="I52"/>
        </row>
        <row r="53">
          <cell r="A53"/>
          <cell r="C53"/>
          <cell r="D53"/>
          <cell r="E53"/>
          <cell r="F53"/>
          <cell r="G53"/>
          <cell r="H53"/>
          <cell r="I53"/>
        </row>
        <row r="54">
          <cell r="A54"/>
          <cell r="C54"/>
          <cell r="D54"/>
          <cell r="E54"/>
          <cell r="F54"/>
          <cell r="G54"/>
          <cell r="H54"/>
          <cell r="I54"/>
        </row>
        <row r="55">
          <cell r="A55"/>
          <cell r="C55"/>
          <cell r="D55"/>
          <cell r="E55"/>
          <cell r="F55"/>
          <cell r="G55"/>
          <cell r="H55"/>
          <cell r="I55"/>
        </row>
        <row r="56">
          <cell r="A56"/>
          <cell r="C56"/>
          <cell r="D56"/>
          <cell r="E56"/>
          <cell r="F56"/>
          <cell r="G56"/>
          <cell r="H56"/>
          <cell r="I56"/>
        </row>
        <row r="57">
          <cell r="A57"/>
          <cell r="C57"/>
          <cell r="D57"/>
          <cell r="E57"/>
          <cell r="F57"/>
          <cell r="G57"/>
          <cell r="H57"/>
          <cell r="I57"/>
        </row>
        <row r="58">
          <cell r="A58"/>
          <cell r="C58"/>
          <cell r="D58"/>
          <cell r="E58"/>
          <cell r="F58"/>
          <cell r="G58"/>
          <cell r="H58"/>
          <cell r="I58"/>
        </row>
        <row r="59">
          <cell r="A59"/>
          <cell r="C59"/>
          <cell r="D59"/>
          <cell r="E59"/>
          <cell r="F59"/>
          <cell r="G59"/>
          <cell r="H59"/>
          <cell r="I59"/>
        </row>
        <row r="60">
          <cell r="A60"/>
          <cell r="C60"/>
          <cell r="D60"/>
          <cell r="E60"/>
          <cell r="F60"/>
          <cell r="G60"/>
          <cell r="H60"/>
          <cell r="I60"/>
        </row>
        <row r="61">
          <cell r="A61"/>
          <cell r="C61"/>
          <cell r="D61"/>
          <cell r="E61"/>
          <cell r="F61"/>
          <cell r="G61"/>
          <cell r="H61"/>
          <cell r="I61"/>
        </row>
        <row r="62">
          <cell r="C62">
            <v>57.75</v>
          </cell>
          <cell r="D62">
            <v>1575</v>
          </cell>
          <cell r="E62">
            <v>1450</v>
          </cell>
          <cell r="F62">
            <v>250</v>
          </cell>
          <cell r="G62">
            <v>750</v>
          </cell>
          <cell r="H62">
            <v>550</v>
          </cell>
          <cell r="I62">
            <v>1200</v>
          </cell>
          <cell r="J62">
            <v>5675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drei Planner"/>
      <sheetName val="Book1"/>
    </sheetNames>
    <definedNames>
      <definedName name="PercentCompleteBeyond" refersTo="#REF!"/>
      <definedName name="PeriodInActual" refersTo="#REF!"/>
      <definedName name="PeriodInPlan" refersTo="#REF!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ly Meeting Costs"/>
      <sheetName val="Meeting Report"/>
    </sheetNames>
    <definedNames>
      <definedName name="PercentCompleteBeyond" refersTo="#REF!"/>
      <definedName name="PeriodInActual" refersTo="#REF!"/>
      <definedName name="PeriodInPlan" refersTo="#REF!"/>
    </definedNames>
    <sheetDataSet>
      <sheetData sheetId="0">
        <row r="3">
          <cell r="A3">
            <v>43132</v>
          </cell>
          <cell r="P3">
            <v>50</v>
          </cell>
          <cell r="Q3">
            <v>50</v>
          </cell>
          <cell r="R3">
            <v>50</v>
          </cell>
          <cell r="S3">
            <v>50</v>
          </cell>
          <cell r="T3">
            <v>50</v>
          </cell>
          <cell r="U3">
            <v>50</v>
          </cell>
          <cell r="X3">
            <v>0.5</v>
          </cell>
          <cell r="Y3">
            <v>0.5</v>
          </cell>
          <cell r="Z3">
            <v>0.5</v>
          </cell>
          <cell r="AA3">
            <v>0.5</v>
          </cell>
          <cell r="AB3">
            <v>0.5</v>
          </cell>
          <cell r="AC3">
            <v>0.5</v>
          </cell>
        </row>
        <row r="4">
          <cell r="A4">
            <v>43137</v>
          </cell>
          <cell r="P4">
            <v>50</v>
          </cell>
          <cell r="Q4">
            <v>50</v>
          </cell>
          <cell r="R4">
            <v>50</v>
          </cell>
          <cell r="S4">
            <v>50</v>
          </cell>
          <cell r="T4">
            <v>50</v>
          </cell>
          <cell r="U4">
            <v>50</v>
          </cell>
          <cell r="X4">
            <v>0.5</v>
          </cell>
          <cell r="Y4">
            <v>0.5</v>
          </cell>
          <cell r="Z4">
            <v>0.5</v>
          </cell>
          <cell r="AA4">
            <v>0.5</v>
          </cell>
          <cell r="AB4">
            <v>0.5</v>
          </cell>
          <cell r="AC4">
            <v>0.5</v>
          </cell>
        </row>
        <row r="5">
          <cell r="A5">
            <v>43139</v>
          </cell>
          <cell r="P5">
            <v>50</v>
          </cell>
          <cell r="Q5">
            <v>50</v>
          </cell>
          <cell r="R5">
            <v>50</v>
          </cell>
          <cell r="S5">
            <v>50</v>
          </cell>
          <cell r="T5">
            <v>50</v>
          </cell>
          <cell r="U5">
            <v>50</v>
          </cell>
          <cell r="X5">
            <v>0.5</v>
          </cell>
          <cell r="Y5">
            <v>0.5</v>
          </cell>
          <cell r="Z5">
            <v>0.5</v>
          </cell>
          <cell r="AA5">
            <v>0.5</v>
          </cell>
          <cell r="AB5">
            <v>0.5</v>
          </cell>
          <cell r="AC5">
            <v>0.5</v>
          </cell>
        </row>
        <row r="6">
          <cell r="A6">
            <v>43144</v>
          </cell>
          <cell r="P6">
            <v>75</v>
          </cell>
          <cell r="Q6">
            <v>0</v>
          </cell>
          <cell r="R6">
            <v>75</v>
          </cell>
          <cell r="S6">
            <v>75</v>
          </cell>
          <cell r="T6">
            <v>75</v>
          </cell>
          <cell r="U6">
            <v>75</v>
          </cell>
          <cell r="X6">
            <v>0.75</v>
          </cell>
          <cell r="Y6">
            <v>0</v>
          </cell>
          <cell r="Z6">
            <v>0.75</v>
          </cell>
          <cell r="AA6">
            <v>0.75</v>
          </cell>
          <cell r="AB6">
            <v>0.75</v>
          </cell>
          <cell r="AC6">
            <v>0.75</v>
          </cell>
        </row>
        <row r="7">
          <cell r="A7">
            <v>43151</v>
          </cell>
          <cell r="P7">
            <v>100</v>
          </cell>
          <cell r="Q7">
            <v>100</v>
          </cell>
          <cell r="R7">
            <v>100</v>
          </cell>
          <cell r="S7">
            <v>100</v>
          </cell>
          <cell r="T7">
            <v>100</v>
          </cell>
          <cell r="U7">
            <v>100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</row>
        <row r="8">
          <cell r="A8">
            <v>43153</v>
          </cell>
          <cell r="P8">
            <v>0</v>
          </cell>
          <cell r="Q8">
            <v>100</v>
          </cell>
          <cell r="R8">
            <v>100</v>
          </cell>
          <cell r="S8">
            <v>100</v>
          </cell>
          <cell r="T8">
            <v>100</v>
          </cell>
          <cell r="U8">
            <v>100</v>
          </cell>
          <cell r="X8">
            <v>0</v>
          </cell>
          <cell r="Y8">
            <v>1</v>
          </cell>
          <cell r="Z8">
            <v>1</v>
          </cell>
          <cell r="AA8">
            <v>1</v>
          </cell>
          <cell r="AB8">
            <v>1</v>
          </cell>
          <cell r="AC8">
            <v>1</v>
          </cell>
        </row>
        <row r="9">
          <cell r="A9">
            <v>43158</v>
          </cell>
          <cell r="P9">
            <v>150</v>
          </cell>
          <cell r="Q9">
            <v>150</v>
          </cell>
          <cell r="R9">
            <v>150</v>
          </cell>
          <cell r="S9">
            <v>150</v>
          </cell>
          <cell r="T9">
            <v>150</v>
          </cell>
          <cell r="U9">
            <v>150</v>
          </cell>
          <cell r="X9">
            <v>1.5</v>
          </cell>
          <cell r="Y9">
            <v>1.5</v>
          </cell>
          <cell r="Z9">
            <v>1.5</v>
          </cell>
          <cell r="AA9">
            <v>1.5</v>
          </cell>
          <cell r="AB9">
            <v>1.5</v>
          </cell>
          <cell r="AC9">
            <v>1.5</v>
          </cell>
        </row>
        <row r="10">
          <cell r="A10">
            <v>43160</v>
          </cell>
          <cell r="P10">
            <v>200</v>
          </cell>
          <cell r="Q10">
            <v>200</v>
          </cell>
          <cell r="R10">
            <v>200</v>
          </cell>
          <cell r="S10">
            <v>200</v>
          </cell>
          <cell r="T10">
            <v>200</v>
          </cell>
          <cell r="U10">
            <v>200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</row>
        <row r="11">
          <cell r="A11">
            <v>43164</v>
          </cell>
          <cell r="P11">
            <v>50</v>
          </cell>
          <cell r="Q11">
            <v>50</v>
          </cell>
          <cell r="R11">
            <v>50</v>
          </cell>
          <cell r="S11">
            <v>50</v>
          </cell>
          <cell r="T11">
            <v>50</v>
          </cell>
          <cell r="U11">
            <v>50</v>
          </cell>
          <cell r="X11">
            <v>0.5</v>
          </cell>
          <cell r="Y11">
            <v>0.5</v>
          </cell>
          <cell r="Z11">
            <v>0.5</v>
          </cell>
          <cell r="AA11">
            <v>0.5</v>
          </cell>
          <cell r="AB11">
            <v>0.5</v>
          </cell>
          <cell r="AC11">
            <v>0.5</v>
          </cell>
        </row>
        <row r="12">
          <cell r="A12">
            <v>43165</v>
          </cell>
          <cell r="P12">
            <v>100</v>
          </cell>
          <cell r="Q12">
            <v>100</v>
          </cell>
          <cell r="R12">
            <v>100</v>
          </cell>
          <cell r="S12">
            <v>100</v>
          </cell>
          <cell r="T12">
            <v>100</v>
          </cell>
          <cell r="U12">
            <v>100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</row>
        <row r="13">
          <cell r="A13">
            <v>43167</v>
          </cell>
          <cell r="P13">
            <v>50</v>
          </cell>
          <cell r="Q13">
            <v>50</v>
          </cell>
          <cell r="R13">
            <v>50</v>
          </cell>
          <cell r="S13">
            <v>50</v>
          </cell>
          <cell r="T13">
            <v>50</v>
          </cell>
          <cell r="U13">
            <v>50</v>
          </cell>
          <cell r="X13">
            <v>0.5</v>
          </cell>
          <cell r="Y13">
            <v>0.5</v>
          </cell>
          <cell r="Z13">
            <v>0.5</v>
          </cell>
          <cell r="AA13">
            <v>0.5</v>
          </cell>
          <cell r="AB13">
            <v>0.5</v>
          </cell>
          <cell r="AC13">
            <v>0.5</v>
          </cell>
        </row>
        <row r="14">
          <cell r="A14">
            <v>43179</v>
          </cell>
          <cell r="P14">
            <v>200</v>
          </cell>
          <cell r="Q14">
            <v>0</v>
          </cell>
          <cell r="R14">
            <v>200</v>
          </cell>
          <cell r="S14">
            <v>200</v>
          </cell>
          <cell r="T14">
            <v>200</v>
          </cell>
          <cell r="U14">
            <v>200</v>
          </cell>
          <cell r="X14">
            <v>2</v>
          </cell>
          <cell r="Y14">
            <v>0</v>
          </cell>
          <cell r="Z14">
            <v>2</v>
          </cell>
          <cell r="AA14">
            <v>2</v>
          </cell>
          <cell r="AB14">
            <v>2</v>
          </cell>
          <cell r="AC14">
            <v>2</v>
          </cell>
        </row>
        <row r="15">
          <cell r="A15">
            <v>43186</v>
          </cell>
          <cell r="P15">
            <v>50</v>
          </cell>
          <cell r="Q15">
            <v>50</v>
          </cell>
          <cell r="R15">
            <v>50</v>
          </cell>
          <cell r="S15">
            <v>50</v>
          </cell>
          <cell r="T15">
            <v>50</v>
          </cell>
          <cell r="U15">
            <v>50</v>
          </cell>
          <cell r="X15">
            <v>0.5</v>
          </cell>
          <cell r="Y15">
            <v>0.5</v>
          </cell>
          <cell r="Z15">
            <v>0.5</v>
          </cell>
          <cell r="AA15">
            <v>0.5</v>
          </cell>
          <cell r="AB15">
            <v>0.5</v>
          </cell>
          <cell r="AC15">
            <v>0.5</v>
          </cell>
        </row>
        <row r="16">
          <cell r="A16"/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</row>
        <row r="17">
          <cell r="A17"/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</row>
        <row r="18">
          <cell r="A18"/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</row>
        <row r="19">
          <cell r="A19"/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</row>
        <row r="20">
          <cell r="A20"/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</row>
        <row r="21">
          <cell r="A21"/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</row>
        <row r="22">
          <cell r="A22"/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</row>
        <row r="23">
          <cell r="A23"/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</row>
        <row r="24">
          <cell r="A24"/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</row>
        <row r="25">
          <cell r="C25">
            <v>12.25</v>
          </cell>
          <cell r="J25">
            <v>6975</v>
          </cell>
          <cell r="P25">
            <v>1125</v>
          </cell>
          <cell r="Q25">
            <v>950</v>
          </cell>
          <cell r="R25">
            <v>1225</v>
          </cell>
          <cell r="S25">
            <v>1225</v>
          </cell>
          <cell r="T25">
            <v>1225</v>
          </cell>
          <cell r="U25">
            <v>1225</v>
          </cell>
          <cell r="X25">
            <v>11.25</v>
          </cell>
          <cell r="Y25">
            <v>9.5</v>
          </cell>
          <cell r="Z25">
            <v>12.25</v>
          </cell>
          <cell r="AA25">
            <v>12.25</v>
          </cell>
          <cell r="AB25">
            <v>12.25</v>
          </cell>
          <cell r="AC25">
            <v>12.25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CDR Project Planner"/>
      <sheetName val="Andrei Planner"/>
      <sheetName val="Bach Planner"/>
      <sheetName val="Brandon Planner"/>
      <sheetName val="Cody Planner"/>
      <sheetName val="Peter Planner"/>
      <sheetName val="Zack Planner"/>
      <sheetName val="Weekly Meeting Costs"/>
      <sheetName val="Sheet1"/>
      <sheetName val="Burn Report"/>
      <sheetName val="PDR Project Planner"/>
      <sheetName val="Andrei Cost"/>
      <sheetName val="Bach Cost"/>
      <sheetName val="Brandon Cost"/>
      <sheetName val="Cody Cost"/>
      <sheetName val="Peter Cost"/>
      <sheetName val="Zack Cost"/>
    </sheetNames>
    <sheetDataSet>
      <sheetData sheetId="0"/>
      <sheetData sheetId="1">
        <row r="5">
          <cell r="B5" t="str">
            <v>PDR</v>
          </cell>
          <cell r="C5" t="str">
            <v>T</v>
          </cell>
          <cell r="D5">
            <v>22</v>
          </cell>
          <cell r="E5">
            <v>1</v>
          </cell>
          <cell r="F5">
            <v>22</v>
          </cell>
          <cell r="G5">
            <v>1</v>
          </cell>
          <cell r="H5">
            <v>1</v>
          </cell>
        </row>
        <row r="6">
          <cell r="B6" t="str">
            <v>System</v>
          </cell>
          <cell r="C6" t="str">
            <v>P &amp; Br &amp; C &amp; Ba</v>
          </cell>
          <cell r="D6"/>
          <cell r="E6"/>
          <cell r="F6"/>
          <cell r="G6"/>
          <cell r="H6"/>
        </row>
        <row r="7">
          <cell r="B7" t="str">
            <v>Unit Tests - VHDL - PWM (Duty Cycle)</v>
          </cell>
          <cell r="C7" t="str">
            <v>P &amp; Br</v>
          </cell>
          <cell r="D7">
            <v>23</v>
          </cell>
          <cell r="E7">
            <v>1</v>
          </cell>
          <cell r="F7">
            <v>0</v>
          </cell>
          <cell r="G7">
            <v>0</v>
          </cell>
          <cell r="H7">
            <v>0</v>
          </cell>
        </row>
        <row r="8">
          <cell r="B8" t="str">
            <v>Unit Tests - Python - Encoders</v>
          </cell>
          <cell r="C8" t="str">
            <v>C</v>
          </cell>
          <cell r="D8">
            <v>23</v>
          </cell>
          <cell r="E8">
            <v>1</v>
          </cell>
          <cell r="F8">
            <v>0</v>
          </cell>
          <cell r="G8">
            <v>0</v>
          </cell>
          <cell r="H8">
            <v>0</v>
          </cell>
        </row>
        <row r="9">
          <cell r="B9" t="str">
            <v>Unit Tests - VHDL &amp; C - Ultrasonic Interrupts</v>
          </cell>
          <cell r="C9" t="str">
            <v>P &amp; Br</v>
          </cell>
          <cell r="D9">
            <v>23</v>
          </cell>
          <cell r="E9">
            <v>2</v>
          </cell>
          <cell r="F9">
            <v>0</v>
          </cell>
          <cell r="G9">
            <v>0</v>
          </cell>
          <cell r="H9">
            <v>0</v>
          </cell>
        </row>
        <row r="10">
          <cell r="B10" t="str">
            <v>Unit Tests - GUI mapping</v>
          </cell>
          <cell r="C10" t="str">
            <v>Ba</v>
          </cell>
          <cell r="D10">
            <v>23</v>
          </cell>
          <cell r="E10">
            <v>5</v>
          </cell>
          <cell r="F10">
            <v>0</v>
          </cell>
          <cell r="G10">
            <v>0</v>
          </cell>
          <cell r="H10">
            <v>0</v>
          </cell>
        </row>
        <row r="11">
          <cell r="B11" t="str">
            <v>Unit Tests - Motors</v>
          </cell>
          <cell r="C11" t="str">
            <v>Ba</v>
          </cell>
          <cell r="D11">
            <v>23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</row>
        <row r="14">
          <cell r="B14" t="str">
            <v xml:space="preserve">   Calibration - Python</v>
          </cell>
          <cell r="C14" t="str">
            <v>C &amp; Z</v>
          </cell>
          <cell r="D14">
            <v>31</v>
          </cell>
          <cell r="E14">
            <v>7</v>
          </cell>
          <cell r="F14">
            <v>0</v>
          </cell>
          <cell r="G14">
            <v>0</v>
          </cell>
          <cell r="H14">
            <v>0</v>
          </cell>
        </row>
        <row r="15">
          <cell r="B15" t="str">
            <v>Calibration - VHDL side</v>
          </cell>
          <cell r="C15" t="str">
            <v>P &amp; Br</v>
          </cell>
          <cell r="D15">
            <v>25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</row>
        <row r="16">
          <cell r="B16" t="str">
            <v xml:space="preserve">   Calibration - Ultrasonic sensors</v>
          </cell>
          <cell r="C16" t="str">
            <v>Ba &amp; Br &amp; P</v>
          </cell>
          <cell r="D16">
            <v>31</v>
          </cell>
          <cell r="E16">
            <v>7</v>
          </cell>
          <cell r="F16">
            <v>0</v>
          </cell>
          <cell r="G16">
            <v>0</v>
          </cell>
          <cell r="H16">
            <v>0</v>
          </cell>
        </row>
        <row r="17">
          <cell r="B17" t="str">
            <v>VHDL</v>
          </cell>
          <cell r="C17" t="str">
            <v>P &amp; Br</v>
          </cell>
          <cell r="D17"/>
          <cell r="E17"/>
          <cell r="F17"/>
          <cell r="G17"/>
          <cell r="H17"/>
        </row>
        <row r="18">
          <cell r="B18" t="str">
            <v>Create PWM AXI on Vivado</v>
          </cell>
          <cell r="C18" t="str">
            <v>P</v>
          </cell>
          <cell r="D18">
            <v>25</v>
          </cell>
          <cell r="E18">
            <v>7</v>
          </cell>
          <cell r="F18">
            <v>0</v>
          </cell>
          <cell r="G18">
            <v>0</v>
          </cell>
          <cell r="H18">
            <v>0</v>
          </cell>
        </row>
        <row r="19">
          <cell r="B19" t="str">
            <v>Create Ultrasonic sensor AXI on Vivado</v>
          </cell>
          <cell r="C19" t="str">
            <v>P</v>
          </cell>
          <cell r="D19">
            <v>25</v>
          </cell>
          <cell r="E19">
            <v>7</v>
          </cell>
          <cell r="F19">
            <v>0</v>
          </cell>
          <cell r="G19">
            <v>0</v>
          </cell>
          <cell r="H19">
            <v>0</v>
          </cell>
        </row>
        <row r="21">
          <cell r="B21" t="str">
            <v>Python</v>
          </cell>
          <cell r="C21" t="str">
            <v>C &amp; Z</v>
          </cell>
          <cell r="D21"/>
          <cell r="E21"/>
          <cell r="F21"/>
          <cell r="G21"/>
          <cell r="H21"/>
        </row>
        <row r="22">
          <cell r="B22" t="str">
            <v>GUI - Create camera feed</v>
          </cell>
          <cell r="C22" t="str">
            <v>Z</v>
          </cell>
          <cell r="D22">
            <v>23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</row>
        <row r="23">
          <cell r="B23" t="str">
            <v>GUI - Create unknown map</v>
          </cell>
          <cell r="C23" t="str">
            <v>C</v>
          </cell>
          <cell r="D23">
            <v>32</v>
          </cell>
          <cell r="E23">
            <v>15</v>
          </cell>
          <cell r="F23">
            <v>0</v>
          </cell>
          <cell r="G23">
            <v>0</v>
          </cell>
          <cell r="H23">
            <v>0</v>
          </cell>
        </row>
        <row r="24">
          <cell r="B24" t="str">
            <v>Create Movement functions</v>
          </cell>
          <cell r="C24" t="str">
            <v>Z</v>
          </cell>
          <cell r="D24">
            <v>32</v>
          </cell>
          <cell r="E24">
            <v>5</v>
          </cell>
          <cell r="F24">
            <v>0</v>
          </cell>
          <cell r="G24">
            <v>0</v>
          </cell>
          <cell r="H24">
            <v>0</v>
          </cell>
        </row>
        <row r="28">
          <cell r="B28" t="str">
            <v>Make turning smart with gyro</v>
          </cell>
          <cell r="C28" t="str">
            <v>C &amp; Z</v>
          </cell>
          <cell r="D28">
            <v>35</v>
          </cell>
          <cell r="E28">
            <v>5</v>
          </cell>
          <cell r="F28">
            <v>0</v>
          </cell>
          <cell r="G28">
            <v>0</v>
          </cell>
          <cell r="H28">
            <v>0</v>
          </cell>
        </row>
        <row r="29">
          <cell r="B29" t="str">
            <v>C Development</v>
          </cell>
          <cell r="C29" t="str">
            <v>Br</v>
          </cell>
          <cell r="D29"/>
          <cell r="E29"/>
          <cell r="F29"/>
          <cell r="G29"/>
          <cell r="H29"/>
        </row>
        <row r="30">
          <cell r="B30" t="str">
            <v>Write code for Ultrasonic Sensors</v>
          </cell>
          <cell r="C30" t="str">
            <v>Br</v>
          </cell>
          <cell r="D30">
            <v>29</v>
          </cell>
          <cell r="E30">
            <v>7</v>
          </cell>
          <cell r="F30">
            <v>0</v>
          </cell>
          <cell r="G30">
            <v>0</v>
          </cell>
          <cell r="H30">
            <v>0</v>
          </cell>
        </row>
        <row r="35">
          <cell r="B35" t="str">
            <v>Project Management</v>
          </cell>
          <cell r="C35" t="str">
            <v>An &amp; T &amp; ?</v>
          </cell>
          <cell r="H35"/>
        </row>
        <row r="36">
          <cell r="B36" t="str">
            <v>Complete CDR Plan</v>
          </cell>
          <cell r="C36" t="str">
            <v>An</v>
          </cell>
          <cell r="D36">
            <v>23</v>
          </cell>
          <cell r="E36">
            <v>7</v>
          </cell>
          <cell r="F36">
            <v>23</v>
          </cell>
          <cell r="G36">
            <v>0</v>
          </cell>
          <cell r="H36">
            <v>0.5</v>
          </cell>
        </row>
        <row r="37">
          <cell r="B37" t="str">
            <v>Develop Tech Memo - PWM</v>
          </cell>
          <cell r="C37" t="str">
            <v>?</v>
          </cell>
          <cell r="D37">
            <v>41</v>
          </cell>
          <cell r="E37">
            <v>6</v>
          </cell>
          <cell r="F37">
            <v>0</v>
          </cell>
          <cell r="G37">
            <v>0</v>
          </cell>
          <cell r="H37">
            <v>0</v>
          </cell>
        </row>
        <row r="38">
          <cell r="B38" t="str">
            <v>Develop Tech Memo - Python</v>
          </cell>
          <cell r="C38" t="str">
            <v>?</v>
          </cell>
          <cell r="D38">
            <v>41</v>
          </cell>
          <cell r="E38">
            <v>6</v>
          </cell>
          <cell r="F38">
            <v>0</v>
          </cell>
          <cell r="G38">
            <v>0</v>
          </cell>
          <cell r="H38">
            <v>0</v>
          </cell>
        </row>
        <row r="39">
          <cell r="B39" t="str">
            <v>Develop Tech Memo - Rover</v>
          </cell>
          <cell r="C39" t="str">
            <v>An</v>
          </cell>
          <cell r="D39">
            <v>41</v>
          </cell>
          <cell r="E39">
            <v>6</v>
          </cell>
          <cell r="F39">
            <v>0</v>
          </cell>
          <cell r="G39">
            <v>0</v>
          </cell>
          <cell r="H39">
            <v>0</v>
          </cell>
        </row>
        <row r="40">
          <cell r="B40" t="str">
            <v>CDR PowerPoint</v>
          </cell>
          <cell r="C40" t="str">
            <v>T</v>
          </cell>
          <cell r="D40">
            <v>45</v>
          </cell>
          <cell r="E40">
            <v>10</v>
          </cell>
          <cell r="F40">
            <v>0</v>
          </cell>
          <cell r="G40">
            <v>0</v>
          </cell>
          <cell r="H40">
            <v>0</v>
          </cell>
        </row>
        <row r="41">
          <cell r="B41" t="str">
            <v>CDR</v>
          </cell>
          <cell r="C41" t="str">
            <v>T</v>
          </cell>
          <cell r="D41">
            <v>55</v>
          </cell>
          <cell r="E41">
            <v>1</v>
          </cell>
          <cell r="F41">
            <v>55</v>
          </cell>
          <cell r="G41">
            <v>1</v>
          </cell>
          <cell r="H41">
            <v>0</v>
          </cell>
        </row>
        <row r="42">
          <cell r="B42" t="str">
            <v>After We Finish</v>
          </cell>
          <cell r="C42" t="str">
            <v>C &amp; An</v>
          </cell>
          <cell r="H42"/>
        </row>
        <row r="43">
          <cell r="B43" t="str">
            <v>Create sound board*</v>
          </cell>
          <cell r="C43" t="str">
            <v>C &amp; An</v>
          </cell>
          <cell r="D43" t="str">
            <v>TBA</v>
          </cell>
          <cell r="E43" t="str">
            <v>TBA</v>
          </cell>
          <cell r="F43">
            <v>0</v>
          </cell>
          <cell r="G43">
            <v>0</v>
          </cell>
          <cell r="H43">
            <v>0</v>
          </cell>
        </row>
        <row r="44">
          <cell r="B44" t="str">
            <v>Implement Wireless Speaker</v>
          </cell>
          <cell r="C44" t="str">
            <v>An</v>
          </cell>
          <cell r="D44" t="str">
            <v>TBA</v>
          </cell>
          <cell r="E44" t="str">
            <v>TBA</v>
          </cell>
          <cell r="F44">
            <v>0</v>
          </cell>
          <cell r="G44">
            <v>0</v>
          </cell>
          <cell r="H44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\C%20Development\pseudocode-zdw.txt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../VHDL/Motor%20Subsystem%20-%20VHDL.txt" TargetMode="External"/><Relationship Id="rId7" Type="http://schemas.openxmlformats.org/officeDocument/2006/relationships/hyperlink" Target="../Python/IMG_8310.JPG" TargetMode="External"/><Relationship Id="rId12" Type="http://schemas.openxmlformats.org/officeDocument/2006/relationships/hyperlink" Target="../Hardware/Manuals/IMU/MPU-6000-Datasheet1.pdf" TargetMode="External"/><Relationship Id="rId2" Type="http://schemas.openxmlformats.org/officeDocument/2006/relationships/hyperlink" Target="../_Requirements/Sensor%20HC-SR04.docx" TargetMode="External"/><Relationship Id="rId1" Type="http://schemas.openxmlformats.org/officeDocument/2006/relationships/hyperlink" Target="PDR\NewFolder%20-%20PDR.pptx" TargetMode="External"/><Relationship Id="rId6" Type="http://schemas.openxmlformats.org/officeDocument/2006/relationships/hyperlink" Target="..\System\Top%20Level_rev0.jpg" TargetMode="External"/><Relationship Id="rId11" Type="http://schemas.openxmlformats.org/officeDocument/2006/relationships/hyperlink" Target="../Hardware/Manuals/4-Channel-controller-instruction-manual.pdf" TargetMode="External"/><Relationship Id="rId5" Type="http://schemas.openxmlformats.org/officeDocument/2006/relationships/hyperlink" Target="..\Python\Calibration.txt" TargetMode="External"/><Relationship Id="rId10" Type="http://schemas.openxmlformats.org/officeDocument/2006/relationships/hyperlink" Target="../Hardware/MiscSensor.txt" TargetMode="External"/><Relationship Id="rId4" Type="http://schemas.openxmlformats.org/officeDocument/2006/relationships/hyperlink" Target="../VHDL/PWM%20Generation_rev0.jpg" TargetMode="External"/><Relationship Id="rId9" Type="http://schemas.openxmlformats.org/officeDocument/2006/relationships/hyperlink" Target="../Python/Calibration.txt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11"/>
  <sheetViews>
    <sheetView tabSelected="1" zoomScale="115" zoomScaleNormal="115" workbookViewId="0">
      <selection activeCell="I13" sqref="I13"/>
    </sheetView>
  </sheetViews>
  <sheetFormatPr defaultColWidth="8.88671875" defaultRowHeight="14.4" x14ac:dyDescent="0.3"/>
  <cols>
    <col min="1" max="1" width="12.5546875" style="71" customWidth="1"/>
    <col min="2" max="2" width="7.109375" style="71" customWidth="1"/>
    <col min="3" max="3" width="4" style="71" customWidth="1"/>
    <col min="4" max="4" width="24.5546875" style="71" customWidth="1"/>
    <col min="5" max="5" width="6.5546875" style="71" customWidth="1"/>
    <col min="6" max="7" width="24.5546875" style="71" customWidth="1"/>
    <col min="8" max="8" width="18.77734375" style="71" bestFit="1" customWidth="1"/>
    <col min="9" max="1017" width="24.5546875" style="71" customWidth="1"/>
    <col min="1018" max="16384" width="8.88671875" style="71"/>
  </cols>
  <sheetData>
    <row r="1" spans="2:14" x14ac:dyDescent="0.3">
      <c r="B1" s="71" t="s">
        <v>147</v>
      </c>
      <c r="C1" s="71">
        <v>100</v>
      </c>
      <c r="H1" s="71" t="s">
        <v>179</v>
      </c>
      <c r="I1" s="71" t="s">
        <v>101</v>
      </c>
      <c r="J1" s="71" t="s">
        <v>66</v>
      </c>
      <c r="K1" s="71" t="s">
        <v>136</v>
      </c>
      <c r="L1" s="71" t="s">
        <v>74</v>
      </c>
      <c r="M1" s="71" t="s">
        <v>135</v>
      </c>
      <c r="N1" s="71" t="s">
        <v>126</v>
      </c>
    </row>
    <row r="2" spans="2:14" x14ac:dyDescent="0.3">
      <c r="H2" s="71" t="s">
        <v>180</v>
      </c>
    </row>
    <row r="3" spans="2:14" x14ac:dyDescent="0.3">
      <c r="H3" s="71" t="s">
        <v>181</v>
      </c>
    </row>
    <row r="4" spans="2:14" x14ac:dyDescent="0.3">
      <c r="H4" s="71" t="s">
        <v>182</v>
      </c>
    </row>
    <row r="5" spans="2:14" x14ac:dyDescent="0.3">
      <c r="H5" s="71" t="s">
        <v>183</v>
      </c>
    </row>
    <row r="6" spans="2:14" x14ac:dyDescent="0.3">
      <c r="H6" s="71" t="s">
        <v>184</v>
      </c>
    </row>
    <row r="7" spans="2:14" x14ac:dyDescent="0.3">
      <c r="H7" s="71" t="s">
        <v>185</v>
      </c>
    </row>
    <row r="8" spans="2:14" x14ac:dyDescent="0.3">
      <c r="H8" s="71" t="s">
        <v>186</v>
      </c>
    </row>
    <row r="9" spans="2:14" x14ac:dyDescent="0.3">
      <c r="H9" s="71" t="s">
        <v>187</v>
      </c>
    </row>
    <row r="10" spans="2:14" x14ac:dyDescent="0.3">
      <c r="H10" s="71" t="s">
        <v>188</v>
      </c>
    </row>
    <row r="11" spans="2:14" x14ac:dyDescent="0.3">
      <c r="H11" s="71" t="s">
        <v>189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5" r:id="rId4" name="CDRGanttChart_but">
          <controlPr autoLine="0" r:id="rId5">
            <anchor moveWithCells="1">
              <from>
                <xdr:col>5</xdr:col>
                <xdr:colOff>495300</xdr:colOff>
                <xdr:row>0</xdr:row>
                <xdr:rowOff>144780</xdr:rowOff>
              </from>
              <to>
                <xdr:col>5</xdr:col>
                <xdr:colOff>1645920</xdr:colOff>
                <xdr:row>2</xdr:row>
                <xdr:rowOff>114300</xdr:rowOff>
              </to>
            </anchor>
          </controlPr>
        </control>
      </mc:Choice>
      <mc:Fallback>
        <control shapeId="1045" r:id="rId4" name="CDRGanttChart_but"/>
      </mc:Fallback>
    </mc:AlternateContent>
    <mc:AlternateContent xmlns:mc="http://schemas.openxmlformats.org/markup-compatibility/2006">
      <mc:Choice Requires="x14">
        <control shapeId="1044" r:id="rId6" name="MeetingReport_but">
          <controlPr autoLine="0" r:id="rId7">
            <anchor moveWithCells="1">
              <from>
                <xdr:col>6</xdr:col>
                <xdr:colOff>22860</xdr:colOff>
                <xdr:row>7</xdr:row>
                <xdr:rowOff>91440</xdr:rowOff>
              </from>
              <to>
                <xdr:col>6</xdr:col>
                <xdr:colOff>1082040</xdr:colOff>
                <xdr:row>9</xdr:row>
                <xdr:rowOff>83820</xdr:rowOff>
              </to>
            </anchor>
          </controlPr>
        </control>
      </mc:Choice>
      <mc:Fallback>
        <control shapeId="1044" r:id="rId6" name="MeetingReport_but"/>
      </mc:Fallback>
    </mc:AlternateContent>
    <mc:AlternateContent xmlns:mc="http://schemas.openxmlformats.org/markup-compatibility/2006">
      <mc:Choice Requires="x14">
        <control shapeId="1043" r:id="rId8" name="BurnReport_but">
          <controlPr autoLine="0" r:id="rId9">
            <anchor moveWithCells="1">
              <from>
                <xdr:col>6</xdr:col>
                <xdr:colOff>30480</xdr:colOff>
                <xdr:row>4</xdr:row>
                <xdr:rowOff>106680</xdr:rowOff>
              </from>
              <to>
                <xdr:col>6</xdr:col>
                <xdr:colOff>944880</xdr:colOff>
                <xdr:row>6</xdr:row>
                <xdr:rowOff>45720</xdr:rowOff>
              </to>
            </anchor>
          </controlPr>
        </control>
      </mc:Choice>
      <mc:Fallback>
        <control shapeId="1043" r:id="rId8" name="BurnReport_but"/>
      </mc:Fallback>
    </mc:AlternateContent>
    <mc:AlternateContent xmlns:mc="http://schemas.openxmlformats.org/markup-compatibility/2006">
      <mc:Choice Requires="x14">
        <control shapeId="1042" r:id="rId10" name="PDRGanttChart_but">
          <controlPr autoLine="0" r:id="rId11">
            <anchor moveWithCells="1">
              <from>
                <xdr:col>5</xdr:col>
                <xdr:colOff>449580</xdr:colOff>
                <xdr:row>4</xdr:row>
                <xdr:rowOff>60960</xdr:rowOff>
              </from>
              <to>
                <xdr:col>5</xdr:col>
                <xdr:colOff>1600200</xdr:colOff>
                <xdr:row>6</xdr:row>
                <xdr:rowOff>30480</xdr:rowOff>
              </to>
            </anchor>
          </controlPr>
        </control>
      </mc:Choice>
      <mc:Fallback>
        <control shapeId="1042" r:id="rId10" name="PDRGanttChart_but"/>
      </mc:Fallback>
    </mc:AlternateContent>
    <mc:AlternateContent xmlns:mc="http://schemas.openxmlformats.org/markup-compatibility/2006">
      <mc:Choice Requires="x14">
        <control shapeId="1041" r:id="rId12" name="Metrics_but">
          <controlPr autoLine="0" r:id="rId13">
            <anchor moveWithCells="1">
              <from>
                <xdr:col>6</xdr:col>
                <xdr:colOff>45720</xdr:colOff>
                <xdr:row>0</xdr:row>
                <xdr:rowOff>152400</xdr:rowOff>
              </from>
              <to>
                <xdr:col>6</xdr:col>
                <xdr:colOff>960120</xdr:colOff>
                <xdr:row>2</xdr:row>
                <xdr:rowOff>91440</xdr:rowOff>
              </to>
            </anchor>
          </controlPr>
        </control>
      </mc:Choice>
      <mc:Fallback>
        <control shapeId="1041" r:id="rId12" name="Metrics_but"/>
      </mc:Fallback>
    </mc:AlternateContent>
    <mc:AlternateContent xmlns:mc="http://schemas.openxmlformats.org/markup-compatibility/2006">
      <mc:Choice Requires="x14">
        <control shapeId="1040" r:id="rId14" name="ZackCost_but">
          <controlPr autoLine="0" r:id="rId15">
            <anchor moveWithCells="1">
              <from>
                <xdr:col>3</xdr:col>
                <xdr:colOff>1379220</xdr:colOff>
                <xdr:row>8</xdr:row>
                <xdr:rowOff>0</xdr:rowOff>
              </from>
              <to>
                <xdr:col>4</xdr:col>
                <xdr:colOff>266700</xdr:colOff>
                <xdr:row>9</xdr:row>
                <xdr:rowOff>106680</xdr:rowOff>
              </to>
            </anchor>
          </controlPr>
        </control>
      </mc:Choice>
      <mc:Fallback>
        <control shapeId="1040" r:id="rId14" name="ZackCost_but"/>
      </mc:Fallback>
    </mc:AlternateContent>
    <mc:AlternateContent xmlns:mc="http://schemas.openxmlformats.org/markup-compatibility/2006">
      <mc:Choice Requires="x14">
        <control shapeId="1039" r:id="rId16" name="PeterCost_but">
          <controlPr autoLine="0" r:id="rId17">
            <anchor moveWithCells="1">
              <from>
                <xdr:col>3</xdr:col>
                <xdr:colOff>1379220</xdr:colOff>
                <xdr:row>4</xdr:row>
                <xdr:rowOff>137160</xdr:rowOff>
              </from>
              <to>
                <xdr:col>4</xdr:col>
                <xdr:colOff>220980</xdr:colOff>
                <xdr:row>6</xdr:row>
                <xdr:rowOff>76200</xdr:rowOff>
              </to>
            </anchor>
          </controlPr>
        </control>
      </mc:Choice>
      <mc:Fallback>
        <control shapeId="1039" r:id="rId16" name="PeterCost_but"/>
      </mc:Fallback>
    </mc:AlternateContent>
    <mc:AlternateContent xmlns:mc="http://schemas.openxmlformats.org/markup-compatibility/2006">
      <mc:Choice Requires="x14">
        <control shapeId="1038" r:id="rId18" name="CodyCost_but">
          <controlPr autoLine="0" r:id="rId19">
            <anchor moveWithCells="1">
              <from>
                <xdr:col>3</xdr:col>
                <xdr:colOff>1394460</xdr:colOff>
                <xdr:row>1</xdr:row>
                <xdr:rowOff>99060</xdr:rowOff>
              </from>
              <to>
                <xdr:col>4</xdr:col>
                <xdr:colOff>281940</xdr:colOff>
                <xdr:row>3</xdr:row>
                <xdr:rowOff>22860</xdr:rowOff>
              </to>
            </anchor>
          </controlPr>
        </control>
      </mc:Choice>
      <mc:Fallback>
        <control shapeId="1038" r:id="rId18" name="CodyCost_but"/>
      </mc:Fallback>
    </mc:AlternateContent>
    <mc:AlternateContent xmlns:mc="http://schemas.openxmlformats.org/markup-compatibility/2006">
      <mc:Choice Requires="x14">
        <control shapeId="1037" r:id="rId20" name="BrandonCost_but">
          <controlPr autoLine="0" r:id="rId21">
            <anchor moveWithCells="1">
              <from>
                <xdr:col>2</xdr:col>
                <xdr:colOff>236220</xdr:colOff>
                <xdr:row>8</xdr:row>
                <xdr:rowOff>0</xdr:rowOff>
              </from>
              <to>
                <xdr:col>3</xdr:col>
                <xdr:colOff>525780</xdr:colOff>
                <xdr:row>9</xdr:row>
                <xdr:rowOff>114300</xdr:rowOff>
              </to>
            </anchor>
          </controlPr>
        </control>
      </mc:Choice>
      <mc:Fallback>
        <control shapeId="1037" r:id="rId20" name="BrandonCost_but"/>
      </mc:Fallback>
    </mc:AlternateContent>
    <mc:AlternateContent xmlns:mc="http://schemas.openxmlformats.org/markup-compatibility/2006">
      <mc:Choice Requires="x14">
        <control shapeId="1036" r:id="rId22" name="BachCost_but">
          <controlPr autoLine="0" r:id="rId23">
            <anchor moveWithCells="1">
              <from>
                <xdr:col>2</xdr:col>
                <xdr:colOff>220980</xdr:colOff>
                <xdr:row>4</xdr:row>
                <xdr:rowOff>137160</xdr:rowOff>
              </from>
              <to>
                <xdr:col>3</xdr:col>
                <xdr:colOff>525780</xdr:colOff>
                <xdr:row>6</xdr:row>
                <xdr:rowOff>60960</xdr:rowOff>
              </to>
            </anchor>
          </controlPr>
        </control>
      </mc:Choice>
      <mc:Fallback>
        <control shapeId="1036" r:id="rId22" name="BachCost_but"/>
      </mc:Fallback>
    </mc:AlternateContent>
    <mc:AlternateContent xmlns:mc="http://schemas.openxmlformats.org/markup-compatibility/2006">
      <mc:Choice Requires="x14">
        <control shapeId="1034" r:id="rId24" name="AndreiCost_but">
          <controlPr autoLine="0" r:id="rId25">
            <anchor moveWithCells="1">
              <from>
                <xdr:col>2</xdr:col>
                <xdr:colOff>236220</xdr:colOff>
                <xdr:row>1</xdr:row>
                <xdr:rowOff>99060</xdr:rowOff>
              </from>
              <to>
                <xdr:col>3</xdr:col>
                <xdr:colOff>533400</xdr:colOff>
                <xdr:row>3</xdr:row>
                <xdr:rowOff>22860</xdr:rowOff>
              </to>
            </anchor>
          </controlPr>
        </control>
      </mc:Choice>
      <mc:Fallback>
        <control shapeId="1034" r:id="rId24" name="AndreiCost_but"/>
      </mc:Fallback>
    </mc:AlternateContent>
    <mc:AlternateContent xmlns:mc="http://schemas.openxmlformats.org/markup-compatibility/2006">
      <mc:Choice Requires="x14">
        <control shapeId="1033" r:id="rId26" name="ZackPlanner_but">
          <controlPr autoLine="0" r:id="rId27">
            <anchor moveWithCells="1">
              <from>
                <xdr:col>3</xdr:col>
                <xdr:colOff>762000</xdr:colOff>
                <xdr:row>8</xdr:row>
                <xdr:rowOff>0</xdr:rowOff>
              </from>
              <to>
                <xdr:col>3</xdr:col>
                <xdr:colOff>1341120</xdr:colOff>
                <xdr:row>9</xdr:row>
                <xdr:rowOff>106680</xdr:rowOff>
              </to>
            </anchor>
          </controlPr>
        </control>
      </mc:Choice>
      <mc:Fallback>
        <control shapeId="1033" r:id="rId26" name="ZackPlanner_but"/>
      </mc:Fallback>
    </mc:AlternateContent>
    <mc:AlternateContent xmlns:mc="http://schemas.openxmlformats.org/markup-compatibility/2006">
      <mc:Choice Requires="x14">
        <control shapeId="1032" r:id="rId28" name="PeterPlanner_but">
          <controlPr autoLine="0" r:id="rId29">
            <anchor moveWithCells="1">
              <from>
                <xdr:col>3</xdr:col>
                <xdr:colOff>784860</xdr:colOff>
                <xdr:row>4</xdr:row>
                <xdr:rowOff>175260</xdr:rowOff>
              </from>
              <to>
                <xdr:col>3</xdr:col>
                <xdr:colOff>1341120</xdr:colOff>
                <xdr:row>6</xdr:row>
                <xdr:rowOff>76200</xdr:rowOff>
              </to>
            </anchor>
          </controlPr>
        </control>
      </mc:Choice>
      <mc:Fallback>
        <control shapeId="1032" r:id="rId28" name="PeterPlanner_but"/>
      </mc:Fallback>
    </mc:AlternateContent>
    <mc:AlternateContent xmlns:mc="http://schemas.openxmlformats.org/markup-compatibility/2006">
      <mc:Choice Requires="x14">
        <control shapeId="1031" r:id="rId30" name="CodyPlanner_but">
          <controlPr autoLine="0" r:id="rId31">
            <anchor moveWithCells="1">
              <from>
                <xdr:col>3</xdr:col>
                <xdr:colOff>769620</xdr:colOff>
                <xdr:row>1</xdr:row>
                <xdr:rowOff>99060</xdr:rowOff>
              </from>
              <to>
                <xdr:col>3</xdr:col>
                <xdr:colOff>1341120</xdr:colOff>
                <xdr:row>3</xdr:row>
                <xdr:rowOff>22860</xdr:rowOff>
              </to>
            </anchor>
          </controlPr>
        </control>
      </mc:Choice>
      <mc:Fallback>
        <control shapeId="1031" r:id="rId30" name="CodyPlanner_but"/>
      </mc:Fallback>
    </mc:AlternateContent>
    <mc:AlternateContent xmlns:mc="http://schemas.openxmlformats.org/markup-compatibility/2006">
      <mc:Choice Requires="x14">
        <control shapeId="1027" r:id="rId32" name="BrandonPlanner_but">
          <controlPr autoLine="0" r:id="rId33">
            <anchor moveWithCells="1">
              <from>
                <xdr:col>1</xdr:col>
                <xdr:colOff>106680</xdr:colOff>
                <xdr:row>8</xdr:row>
                <xdr:rowOff>7620</xdr:rowOff>
              </from>
              <to>
                <xdr:col>2</xdr:col>
                <xdr:colOff>198120</xdr:colOff>
                <xdr:row>9</xdr:row>
                <xdr:rowOff>106680</xdr:rowOff>
              </to>
            </anchor>
          </controlPr>
        </control>
      </mc:Choice>
      <mc:Fallback>
        <control shapeId="1027" r:id="rId32" name="BrandonPlanner_but"/>
      </mc:Fallback>
    </mc:AlternateContent>
    <mc:AlternateContent xmlns:mc="http://schemas.openxmlformats.org/markup-compatibility/2006">
      <mc:Choice Requires="x14">
        <control shapeId="1026" r:id="rId34" name="BachPlanner_but">
          <controlPr autoLine="0" autoPict="0" r:id="rId35">
            <anchor moveWithCells="1">
              <from>
                <xdr:col>1</xdr:col>
                <xdr:colOff>106680</xdr:colOff>
                <xdr:row>4</xdr:row>
                <xdr:rowOff>144780</xdr:rowOff>
              </from>
              <to>
                <xdr:col>2</xdr:col>
                <xdr:colOff>175260</xdr:colOff>
                <xdr:row>6</xdr:row>
                <xdr:rowOff>45720</xdr:rowOff>
              </to>
            </anchor>
          </controlPr>
        </control>
      </mc:Choice>
      <mc:Fallback>
        <control shapeId="1026" r:id="rId34" name="BachPlanner_but"/>
      </mc:Fallback>
    </mc:AlternateContent>
    <mc:AlternateContent xmlns:mc="http://schemas.openxmlformats.org/markup-compatibility/2006">
      <mc:Choice Requires="x14">
        <control shapeId="1025" r:id="rId36" name="AndreiPlanner_but">
          <controlPr autoLine="0" r:id="rId37">
            <anchor moveWithCells="1">
              <from>
                <xdr:col>1</xdr:col>
                <xdr:colOff>114300</xdr:colOff>
                <xdr:row>1</xdr:row>
                <xdr:rowOff>99060</xdr:rowOff>
              </from>
              <to>
                <xdr:col>2</xdr:col>
                <xdr:colOff>198120</xdr:colOff>
                <xdr:row>3</xdr:row>
                <xdr:rowOff>22860</xdr:rowOff>
              </to>
            </anchor>
          </controlPr>
        </control>
      </mc:Choice>
      <mc:Fallback>
        <control shapeId="1025" r:id="rId36" name="AndreiPlanner_b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AMK49"/>
  <sheetViews>
    <sheetView showGridLines="0" zoomScale="85" zoomScaleNormal="85" zoomScalePageLayoutView="80" workbookViewId="0">
      <pane ySplit="4" topLeftCell="A26" activePane="bottomLeft" state="frozen"/>
      <selection pane="bottomLeft" activeCell="D25" sqref="D25"/>
    </sheetView>
  </sheetViews>
  <sheetFormatPr defaultRowHeight="17.399999999999999" outlineLevelRow="1" x14ac:dyDescent="0.35"/>
  <cols>
    <col min="1" max="1" width="3" style="1" customWidth="1"/>
    <col min="2" max="2" width="47.66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9" width="8.5546875" style="4" bestFit="1" customWidth="1"/>
    <col min="10" max="28" width="3.109375" style="4" customWidth="1"/>
    <col min="29" max="1025" width="3.109375" style="1" customWidth="1"/>
  </cols>
  <sheetData>
    <row r="1" spans="1:68" ht="54" x14ac:dyDescent="1">
      <c r="B1" s="6" t="s">
        <v>0</v>
      </c>
      <c r="C1" s="7"/>
      <c r="D1" s="8"/>
      <c r="E1" s="8"/>
      <c r="F1" s="8"/>
      <c r="G1" s="8"/>
      <c r="H1" s="8"/>
    </row>
    <row r="2" spans="1:68" ht="21" customHeight="1" x14ac:dyDescent="0.3">
      <c r="B2" s="201">
        <f ca="1">NOW()</f>
        <v>43192.990386921294</v>
      </c>
      <c r="C2" s="201"/>
      <c r="D2" s="201"/>
      <c r="E2" s="201"/>
      <c r="F2" s="201"/>
      <c r="G2" s="201"/>
      <c r="H2" s="9" t="s">
        <v>1</v>
      </c>
      <c r="I2" s="10">
        <f ca="1">DAY(NOW())+31</f>
        <v>33</v>
      </c>
      <c r="K2" s="11"/>
      <c r="L2" s="202" t="s">
        <v>2</v>
      </c>
      <c r="M2" s="202"/>
      <c r="N2" s="202"/>
      <c r="O2" s="202"/>
      <c r="P2" s="202"/>
      <c r="Q2" s="12"/>
      <c r="R2" s="202" t="s">
        <v>3</v>
      </c>
      <c r="S2" s="202"/>
      <c r="T2" s="202"/>
      <c r="U2" s="202"/>
      <c r="V2" s="13"/>
      <c r="W2" s="202" t="s">
        <v>4</v>
      </c>
      <c r="X2" s="202"/>
      <c r="Y2" s="202"/>
      <c r="Z2" s="202"/>
      <c r="AA2" s="14"/>
      <c r="AB2" s="202" t="s">
        <v>5</v>
      </c>
      <c r="AC2" s="202"/>
      <c r="AD2" s="202"/>
      <c r="AE2" s="202"/>
      <c r="AF2" s="202"/>
      <c r="AG2" s="202"/>
      <c r="AH2" s="202"/>
      <c r="AI2" s="15"/>
      <c r="AJ2" s="196" t="s">
        <v>6</v>
      </c>
      <c r="AK2" s="196"/>
      <c r="AL2" s="196"/>
      <c r="AM2" s="196"/>
      <c r="AN2" s="196"/>
      <c r="AO2" s="196"/>
      <c r="AP2" s="196"/>
      <c r="AQ2" s="196"/>
    </row>
    <row r="3" spans="1:68" s="16" customFormat="1" ht="39.9" customHeight="1" x14ac:dyDescent="0.3">
      <c r="B3" s="197" t="s">
        <v>7</v>
      </c>
      <c r="C3" s="198" t="s">
        <v>8</v>
      </c>
      <c r="D3" s="199" t="s">
        <v>9</v>
      </c>
      <c r="E3" s="199" t="s">
        <v>10</v>
      </c>
      <c r="F3" s="199" t="s">
        <v>11</v>
      </c>
      <c r="G3" s="199" t="s">
        <v>12</v>
      </c>
      <c r="H3" s="200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197"/>
      <c r="C4" s="198"/>
      <c r="D4" s="199"/>
      <c r="E4" s="199"/>
      <c r="F4" s="199"/>
      <c r="G4" s="199"/>
      <c r="H4" s="200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24" t="s">
        <v>17</v>
      </c>
      <c r="C5" s="25" t="s">
        <v>18</v>
      </c>
      <c r="D5" s="26">
        <v>22</v>
      </c>
      <c r="E5" s="27">
        <v>1</v>
      </c>
      <c r="F5" s="27">
        <v>22</v>
      </c>
      <c r="G5" s="27">
        <v>1</v>
      </c>
      <c r="H5" s="28"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5">
      <c r="B6" s="30" t="s">
        <v>19</v>
      </c>
      <c r="C6" s="31" t="s">
        <v>20</v>
      </c>
      <c r="D6" s="32"/>
      <c r="E6" s="32"/>
      <c r="F6" s="32"/>
      <c r="G6" s="32"/>
      <c r="H6" s="33"/>
    </row>
    <row r="7" spans="1:68" s="4" customFormat="1" outlineLevel="1" x14ac:dyDescent="0.3">
      <c r="A7" s="1"/>
      <c r="B7" s="34" t="s">
        <v>154</v>
      </c>
      <c r="C7" s="35" t="s">
        <v>21</v>
      </c>
      <c r="D7" s="32">
        <v>23</v>
      </c>
      <c r="E7" s="32">
        <v>1</v>
      </c>
      <c r="F7" s="32">
        <v>0</v>
      </c>
      <c r="G7" s="32">
        <v>0</v>
      </c>
      <c r="H7" s="33"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">
      <c r="A8" s="1"/>
      <c r="B8" s="34" t="s">
        <v>153</v>
      </c>
      <c r="C8" s="35" t="s">
        <v>22</v>
      </c>
      <c r="D8" s="32">
        <v>23</v>
      </c>
      <c r="E8" s="32">
        <v>1</v>
      </c>
      <c r="F8" s="32">
        <v>0</v>
      </c>
      <c r="G8" s="32">
        <v>0</v>
      </c>
      <c r="H8" s="33">
        <v>0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">
      <c r="A9" s="1"/>
      <c r="B9" s="34" t="s">
        <v>152</v>
      </c>
      <c r="C9" s="35" t="s">
        <v>21</v>
      </c>
      <c r="D9" s="32">
        <v>23</v>
      </c>
      <c r="E9" s="32">
        <v>2</v>
      </c>
      <c r="F9" s="32">
        <v>0</v>
      </c>
      <c r="G9" s="32">
        <v>0</v>
      </c>
      <c r="H9" s="33">
        <v>0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">
      <c r="A10" s="1"/>
      <c r="B10" s="36" t="s">
        <v>155</v>
      </c>
      <c r="C10" s="31" t="s">
        <v>23</v>
      </c>
      <c r="D10" s="32">
        <v>23</v>
      </c>
      <c r="E10" s="32">
        <v>5</v>
      </c>
      <c r="F10" s="32">
        <v>0</v>
      </c>
      <c r="G10" s="32">
        <v>0</v>
      </c>
      <c r="H10" s="33">
        <v>0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">
      <c r="A11" s="1"/>
      <c r="B11" s="36" t="s">
        <v>156</v>
      </c>
      <c r="C11" s="31" t="s">
        <v>23</v>
      </c>
      <c r="D11" s="32">
        <v>23</v>
      </c>
      <c r="E11" s="32">
        <v>10</v>
      </c>
      <c r="F11" s="32">
        <v>0</v>
      </c>
      <c r="G11" s="32">
        <v>0</v>
      </c>
      <c r="H11" s="33">
        <v>0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">
      <c r="A12" s="1"/>
      <c r="B12" s="36" t="s">
        <v>157</v>
      </c>
      <c r="C12" s="31" t="s">
        <v>151</v>
      </c>
      <c r="D12" s="32">
        <v>23</v>
      </c>
      <c r="E12" s="32">
        <v>0</v>
      </c>
      <c r="F12" s="32">
        <v>0</v>
      </c>
      <c r="G12" s="32">
        <v>0</v>
      </c>
      <c r="H12" s="33">
        <v>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">
      <c r="A13" s="1"/>
      <c r="B13" s="36" t="s">
        <v>158</v>
      </c>
      <c r="C13" s="31" t="s">
        <v>18</v>
      </c>
      <c r="D13" s="32">
        <v>23</v>
      </c>
      <c r="E13" s="32"/>
      <c r="F13" s="32"/>
      <c r="G13" s="32"/>
      <c r="H13" s="33">
        <v>0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x14ac:dyDescent="0.3">
      <c r="A14" s="1"/>
      <c r="B14" s="70" t="s">
        <v>134</v>
      </c>
      <c r="C14" s="31" t="s">
        <v>32</v>
      </c>
      <c r="D14" s="32">
        <v>31</v>
      </c>
      <c r="E14" s="32">
        <v>7</v>
      </c>
      <c r="F14" s="32">
        <v>0</v>
      </c>
      <c r="G14" s="32">
        <v>0</v>
      </c>
      <c r="H14" s="33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x14ac:dyDescent="0.3">
      <c r="A15" s="1"/>
      <c r="B15" s="34" t="s">
        <v>24</v>
      </c>
      <c r="C15" s="35" t="s">
        <v>21</v>
      </c>
      <c r="D15" s="32">
        <v>25</v>
      </c>
      <c r="E15" s="32">
        <v>10</v>
      </c>
      <c r="F15" s="32">
        <v>0</v>
      </c>
      <c r="G15" s="32">
        <v>0</v>
      </c>
      <c r="H15" s="33"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x14ac:dyDescent="0.3">
      <c r="A16" s="1"/>
      <c r="B16" s="70" t="s">
        <v>159</v>
      </c>
      <c r="C16" s="31" t="s">
        <v>25</v>
      </c>
      <c r="D16" s="32">
        <v>31</v>
      </c>
      <c r="E16" s="32">
        <v>7</v>
      </c>
      <c r="F16" s="32">
        <v>0</v>
      </c>
      <c r="G16" s="32">
        <v>0</v>
      </c>
      <c r="H16" s="33">
        <v>0</v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x14ac:dyDescent="0.35">
      <c r="A17" s="1"/>
      <c r="B17" s="30" t="s">
        <v>26</v>
      </c>
      <c r="C17" s="31" t="s">
        <v>21</v>
      </c>
      <c r="D17" s="32"/>
      <c r="E17" s="32"/>
      <c r="F17" s="32"/>
      <c r="G17" s="32"/>
      <c r="H17" s="33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outlineLevel="1" x14ac:dyDescent="0.3">
      <c r="A18" s="1"/>
      <c r="B18" s="34" t="s">
        <v>27</v>
      </c>
      <c r="C18" s="35" t="s">
        <v>169</v>
      </c>
      <c r="D18" s="32">
        <v>25</v>
      </c>
      <c r="E18" s="32">
        <v>7</v>
      </c>
      <c r="F18" s="32">
        <v>0</v>
      </c>
      <c r="G18" s="32">
        <v>0</v>
      </c>
      <c r="H18" s="33">
        <v>0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outlineLevel="1" x14ac:dyDescent="0.3">
      <c r="A19" s="1"/>
      <c r="B19" s="34" t="s">
        <v>28</v>
      </c>
      <c r="C19" s="35" t="s">
        <v>169</v>
      </c>
      <c r="D19" s="32">
        <v>25</v>
      </c>
      <c r="E19" s="32">
        <v>7</v>
      </c>
      <c r="F19" s="32">
        <v>0</v>
      </c>
      <c r="G19" s="32">
        <v>0</v>
      </c>
      <c r="H19" s="33">
        <v>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outlineLevel="1" x14ac:dyDescent="0.3">
      <c r="A20" s="1"/>
      <c r="B20" s="34" t="s">
        <v>160</v>
      </c>
      <c r="C20" s="35" t="s">
        <v>163</v>
      </c>
      <c r="D20" s="32" t="s">
        <v>163</v>
      </c>
      <c r="E20" s="32" t="s">
        <v>163</v>
      </c>
      <c r="F20" s="32" t="s">
        <v>163</v>
      </c>
      <c r="G20" s="32" t="s">
        <v>163</v>
      </c>
      <c r="H20" s="33">
        <v>1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30" t="s">
        <v>31</v>
      </c>
      <c r="C21" s="31" t="s">
        <v>32</v>
      </c>
      <c r="D21" s="32"/>
      <c r="E21" s="32"/>
      <c r="F21" s="32"/>
      <c r="G21" s="32"/>
      <c r="H21" s="33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">
      <c r="A22" s="1"/>
      <c r="B22" s="36" t="s">
        <v>33</v>
      </c>
      <c r="C22" s="31" t="s">
        <v>34</v>
      </c>
      <c r="D22" s="32">
        <v>23</v>
      </c>
      <c r="E22" s="32">
        <v>10</v>
      </c>
      <c r="F22" s="32">
        <v>0</v>
      </c>
      <c r="G22" s="32">
        <v>0</v>
      </c>
      <c r="H22" s="33"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">
      <c r="A23" s="1"/>
      <c r="B23" s="36" t="s">
        <v>35</v>
      </c>
      <c r="C23" s="31" t="s">
        <v>22</v>
      </c>
      <c r="D23" s="32">
        <v>32</v>
      </c>
      <c r="E23" s="32">
        <v>15</v>
      </c>
      <c r="F23" s="32">
        <v>0</v>
      </c>
      <c r="G23" s="32">
        <v>0</v>
      </c>
      <c r="H23" s="33">
        <v>0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">
      <c r="A24" s="1"/>
      <c r="B24" s="36" t="s">
        <v>165</v>
      </c>
      <c r="C24" s="31" t="s">
        <v>34</v>
      </c>
      <c r="D24" s="32">
        <v>32</v>
      </c>
      <c r="E24" s="32">
        <v>5</v>
      </c>
      <c r="F24" s="32">
        <v>0</v>
      </c>
      <c r="G24" s="32">
        <v>0</v>
      </c>
      <c r="H24" s="33">
        <v>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">
      <c r="A25" s="1"/>
      <c r="B25" s="36" t="s">
        <v>164</v>
      </c>
      <c r="C25" s="31"/>
      <c r="D25" s="32"/>
      <c r="E25" s="32"/>
      <c r="F25" s="32"/>
      <c r="G25" s="32"/>
      <c r="H25" s="33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x14ac:dyDescent="0.3">
      <c r="A26" s="1"/>
      <c r="B26" s="36" t="s">
        <v>166</v>
      </c>
      <c r="C26" s="31"/>
      <c r="D26" s="32"/>
      <c r="E26" s="32"/>
      <c r="F26" s="32"/>
      <c r="G26" s="32"/>
      <c r="H26" s="33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6" t="s">
        <v>167</v>
      </c>
      <c r="C27" s="31"/>
      <c r="D27" s="32"/>
      <c r="E27" s="32"/>
      <c r="F27" s="32"/>
      <c r="G27" s="32"/>
      <c r="H27" s="33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outlineLevel="1" x14ac:dyDescent="0.3">
      <c r="A28" s="1"/>
      <c r="B28" s="34" t="s">
        <v>38</v>
      </c>
      <c r="C28" s="31" t="s">
        <v>32</v>
      </c>
      <c r="D28" s="32">
        <v>35</v>
      </c>
      <c r="E28" s="32">
        <v>5</v>
      </c>
      <c r="F28" s="32">
        <v>0</v>
      </c>
      <c r="G28" s="32">
        <v>0</v>
      </c>
      <c r="H28" s="33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x14ac:dyDescent="0.35">
      <c r="A29" s="1"/>
      <c r="B29" s="30" t="s">
        <v>39</v>
      </c>
      <c r="C29" s="35" t="s">
        <v>151</v>
      </c>
      <c r="D29" s="32"/>
      <c r="E29" s="32"/>
      <c r="F29" s="32"/>
      <c r="G29" s="32"/>
      <c r="H29" s="33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34" t="s">
        <v>171</v>
      </c>
      <c r="C30" s="35" t="s">
        <v>151</v>
      </c>
      <c r="D30" s="32">
        <v>29</v>
      </c>
      <c r="E30" s="32">
        <v>7</v>
      </c>
      <c r="F30" s="32">
        <v>0</v>
      </c>
      <c r="G30" s="32">
        <v>0</v>
      </c>
      <c r="H30" s="33"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">
      <c r="A31" s="1"/>
      <c r="B31" s="34" t="s">
        <v>161</v>
      </c>
      <c r="C31" s="35" t="s">
        <v>151</v>
      </c>
      <c r="D31" s="32"/>
      <c r="E31" s="32"/>
      <c r="F31" s="32"/>
      <c r="G31" s="32"/>
      <c r="H31" s="33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3">
      <c r="A32" s="1"/>
      <c r="B32" s="34" t="s">
        <v>168</v>
      </c>
      <c r="C32" s="35" t="s">
        <v>151</v>
      </c>
      <c r="D32" s="32"/>
      <c r="E32" s="32"/>
      <c r="F32" s="32"/>
      <c r="G32" s="32"/>
      <c r="H32" s="33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3">
      <c r="A33" s="1"/>
      <c r="B33" s="34" t="s">
        <v>170</v>
      </c>
      <c r="C33" s="35" t="s">
        <v>151</v>
      </c>
      <c r="D33" s="32"/>
      <c r="E33" s="32"/>
      <c r="F33" s="32"/>
      <c r="G33" s="32"/>
      <c r="H33" s="33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">
      <c r="A34" s="1"/>
      <c r="B34" s="34" t="s">
        <v>172</v>
      </c>
      <c r="C34" s="35" t="s">
        <v>162</v>
      </c>
      <c r="D34" s="32"/>
      <c r="E34" s="32"/>
      <c r="F34" s="32"/>
      <c r="G34" s="32"/>
      <c r="H34" s="33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5">
      <c r="A35" s="1"/>
      <c r="B35" s="37" t="s">
        <v>42</v>
      </c>
      <c r="C35" s="35" t="s">
        <v>43</v>
      </c>
      <c r="D35" s="32"/>
      <c r="E35" s="32"/>
      <c r="F35" s="32"/>
      <c r="G35" s="32"/>
      <c r="H35" s="33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outlineLevel="1" x14ac:dyDescent="0.3">
      <c r="A36" s="1"/>
      <c r="B36" s="34" t="s">
        <v>44</v>
      </c>
      <c r="C36" s="35" t="s">
        <v>45</v>
      </c>
      <c r="D36" s="32">
        <v>23</v>
      </c>
      <c r="E36" s="32">
        <v>7</v>
      </c>
      <c r="F36" s="32">
        <v>23</v>
      </c>
      <c r="G36" s="32">
        <v>0</v>
      </c>
      <c r="H36" s="33">
        <v>0.5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outlineLevel="1" x14ac:dyDescent="0.3">
      <c r="A37" s="1"/>
      <c r="B37" s="34" t="s">
        <v>46</v>
      </c>
      <c r="C37" s="35" t="s">
        <v>47</v>
      </c>
      <c r="D37" s="32">
        <v>41</v>
      </c>
      <c r="E37" s="32">
        <v>6</v>
      </c>
      <c r="F37" s="32">
        <v>0</v>
      </c>
      <c r="G37" s="32">
        <v>0</v>
      </c>
      <c r="H37" s="33"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outlineLevel="1" x14ac:dyDescent="0.3">
      <c r="A38" s="1"/>
      <c r="B38" s="34" t="s">
        <v>48</v>
      </c>
      <c r="C38" s="35" t="s">
        <v>47</v>
      </c>
      <c r="D38" s="32">
        <v>41</v>
      </c>
      <c r="E38" s="32">
        <v>6</v>
      </c>
      <c r="F38" s="32">
        <v>0</v>
      </c>
      <c r="G38" s="32">
        <v>0</v>
      </c>
      <c r="H38" s="33"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outlineLevel="1" x14ac:dyDescent="0.3">
      <c r="A39" s="1"/>
      <c r="B39" s="34" t="s">
        <v>49</v>
      </c>
      <c r="C39" s="35" t="s">
        <v>45</v>
      </c>
      <c r="D39" s="32">
        <v>41</v>
      </c>
      <c r="E39" s="32">
        <v>6</v>
      </c>
      <c r="F39" s="32">
        <v>0</v>
      </c>
      <c r="G39" s="32">
        <v>0</v>
      </c>
      <c r="H39" s="33"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outlineLevel="1" x14ac:dyDescent="0.3">
      <c r="A40" s="1"/>
      <c r="B40" s="34" t="s">
        <v>50</v>
      </c>
      <c r="C40" s="35" t="s">
        <v>18</v>
      </c>
      <c r="D40" s="32">
        <v>45</v>
      </c>
      <c r="E40" s="32">
        <v>10</v>
      </c>
      <c r="F40" s="32">
        <v>0</v>
      </c>
      <c r="G40" s="32">
        <v>0</v>
      </c>
      <c r="H40" s="33">
        <v>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s="4" customFormat="1" x14ac:dyDescent="0.35">
      <c r="A41" s="1"/>
      <c r="B41" s="30" t="s">
        <v>51</v>
      </c>
      <c r="C41" s="31" t="s">
        <v>18</v>
      </c>
      <c r="D41" s="32">
        <v>55</v>
      </c>
      <c r="E41" s="32">
        <v>1</v>
      </c>
      <c r="F41" s="32">
        <v>55</v>
      </c>
      <c r="G41" s="32">
        <v>1</v>
      </c>
      <c r="H41" s="33">
        <v>0</v>
      </c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</row>
    <row r="42" spans="1:68" s="4" customFormat="1" x14ac:dyDescent="0.35">
      <c r="A42" s="1"/>
      <c r="B42" s="30" t="s">
        <v>52</v>
      </c>
      <c r="C42" s="31" t="s">
        <v>53</v>
      </c>
      <c r="D42" s="32"/>
      <c r="E42" s="32"/>
      <c r="F42" s="32"/>
      <c r="G42" s="32"/>
      <c r="H42" s="33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</row>
    <row r="43" spans="1:68" s="4" customFormat="1" x14ac:dyDescent="0.3">
      <c r="A43" s="1"/>
      <c r="B43" s="36" t="s">
        <v>54</v>
      </c>
      <c r="C43" s="31" t="s">
        <v>53</v>
      </c>
      <c r="D43" s="32" t="s">
        <v>55</v>
      </c>
      <c r="E43" s="32" t="s">
        <v>55</v>
      </c>
      <c r="F43" s="32">
        <v>0</v>
      </c>
      <c r="G43" s="32">
        <v>0</v>
      </c>
      <c r="H43" s="33">
        <v>0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</row>
    <row r="44" spans="1:68" s="4" customFormat="1" x14ac:dyDescent="0.3">
      <c r="A44" s="1"/>
      <c r="B44" s="36" t="s">
        <v>56</v>
      </c>
      <c r="C44" s="31" t="s">
        <v>45</v>
      </c>
      <c r="D44" s="32" t="s">
        <v>55</v>
      </c>
      <c r="E44" s="32" t="s">
        <v>55</v>
      </c>
      <c r="F44" s="32">
        <v>0</v>
      </c>
      <c r="G44" s="32">
        <v>0</v>
      </c>
      <c r="H44" s="33">
        <v>0</v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9" spans="3:8" x14ac:dyDescent="0.35">
      <c r="C49" s="3">
        <v>0</v>
      </c>
      <c r="D49" s="4">
        <v>0</v>
      </c>
      <c r="E49" s="4">
        <v>0</v>
      </c>
      <c r="F49" s="4">
        <v>0</v>
      </c>
      <c r="G49" s="4">
        <v>0</v>
      </c>
      <c r="H49" s="5">
        <v>0</v>
      </c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5:BP45 I30:BP42 I46:BO53 I21:BP28 I7:BP17">
    <cfRule type="expression" dxfId="420" priority="2">
      <formula>PercentComplete</formula>
    </cfRule>
    <cfRule type="expression" dxfId="419" priority="3">
      <formula>PercentCompleteBeyond</formula>
    </cfRule>
    <cfRule type="expression" dxfId="418" priority="4">
      <formula>Actual</formula>
    </cfRule>
    <cfRule type="expression" dxfId="417" priority="5">
      <formula>ActualBeyond</formula>
    </cfRule>
    <cfRule type="expression" dxfId="416" priority="6">
      <formula>Plan</formula>
    </cfRule>
    <cfRule type="expression" dxfId="415" priority="7">
      <formula>I$4=period_selected</formula>
    </cfRule>
    <cfRule type="expression" dxfId="414" priority="8">
      <formula>MOD(COLUMN(),2)</formula>
    </cfRule>
    <cfRule type="expression" dxfId="413" priority="9">
      <formula>MOD(COLUMN(),2)=0</formula>
    </cfRule>
  </conditionalFormatting>
  <conditionalFormatting sqref="I4:BP4">
    <cfRule type="expression" dxfId="412" priority="10">
      <formula>I$4=period_selected</formula>
    </cfRule>
  </conditionalFormatting>
  <conditionalFormatting sqref="I5:BP6 I44:BP44 I29:BP29">
    <cfRule type="expression" dxfId="411" priority="11">
      <formula>PercentComplete</formula>
    </cfRule>
    <cfRule type="expression" dxfId="410" priority="12">
      <formula>PercentCompleteBeyond</formula>
    </cfRule>
    <cfRule type="expression" dxfId="409" priority="13">
      <formula>Actual</formula>
    </cfRule>
    <cfRule type="expression" dxfId="408" priority="14">
      <formula>ActualBeyond</formula>
    </cfRule>
    <cfRule type="expression" dxfId="407" priority="15">
      <formula>Plan</formula>
    </cfRule>
    <cfRule type="expression" dxfId="406" priority="16">
      <formula>I$4=period_selected</formula>
    </cfRule>
    <cfRule type="expression" dxfId="405" priority="17">
      <formula>MOD(COLUMN(),2)</formula>
    </cfRule>
    <cfRule type="expression" dxfId="404" priority="18">
      <formula>MOD(COLUMN(),2)=0</formula>
    </cfRule>
  </conditionalFormatting>
  <conditionalFormatting sqref="I43:BP43">
    <cfRule type="expression" dxfId="403" priority="19">
      <formula>PercentComplete</formula>
    </cfRule>
    <cfRule type="expression" dxfId="402" priority="20">
      <formula>PercentCompleteBeyond</formula>
    </cfRule>
    <cfRule type="expression" dxfId="401" priority="21">
      <formula>Actual</formula>
    </cfRule>
    <cfRule type="expression" dxfId="400" priority="22">
      <formula>ActualBeyond</formula>
    </cfRule>
    <cfRule type="expression" dxfId="399" priority="23">
      <formula>Plan</formula>
    </cfRule>
    <cfRule type="expression" dxfId="398" priority="24">
      <formula>I$4=period_selected</formula>
    </cfRule>
    <cfRule type="expression" dxfId="397" priority="25">
      <formula>MOD(COLUMN(),2)</formula>
    </cfRule>
    <cfRule type="expression" dxfId="396" priority="26">
      <formula>MOD(COLUMN(),2)=0</formula>
    </cfRule>
  </conditionalFormatting>
  <conditionalFormatting sqref="I18:BP18">
    <cfRule type="expression" dxfId="395" priority="35">
      <formula>PercentComplete</formula>
    </cfRule>
    <cfRule type="expression" dxfId="394" priority="36">
      <formula>PercentCompleteBeyond</formula>
    </cfRule>
    <cfRule type="expression" dxfId="393" priority="37">
      <formula>Actual</formula>
    </cfRule>
    <cfRule type="expression" dxfId="392" priority="38">
      <formula>ActualBeyond</formula>
    </cfRule>
    <cfRule type="expression" dxfId="391" priority="39">
      <formula>Plan</formula>
    </cfRule>
    <cfRule type="expression" dxfId="390" priority="40">
      <formula>I$4=period_selected</formula>
    </cfRule>
    <cfRule type="expression" dxfId="389" priority="41">
      <formula>MOD(COLUMN(),2)</formula>
    </cfRule>
    <cfRule type="expression" dxfId="388" priority="42">
      <formula>MOD(COLUMN(),2)=0</formula>
    </cfRule>
  </conditionalFormatting>
  <conditionalFormatting sqref="I19:BP20">
    <cfRule type="expression" dxfId="387" priority="43">
      <formula>PercentComplete</formula>
    </cfRule>
    <cfRule type="expression" dxfId="386" priority="44">
      <formula>PercentCompleteBeyond</formula>
    </cfRule>
    <cfRule type="expression" dxfId="385" priority="45">
      <formula>Actual</formula>
    </cfRule>
    <cfRule type="expression" dxfId="384" priority="46">
      <formula>ActualBeyond</formula>
    </cfRule>
    <cfRule type="expression" dxfId="383" priority="47">
      <formula>Plan</formula>
    </cfRule>
    <cfRule type="expression" dxfId="382" priority="48">
      <formula>I$4=period_selected</formula>
    </cfRule>
    <cfRule type="expression" dxfId="381" priority="49">
      <formula>MOD(COLUMN(),2)</formula>
    </cfRule>
    <cfRule type="expression" dxfId="380" priority="50">
      <formula>MOD(COLUMN(),2)=0</formula>
    </cfRule>
  </conditionalFormatting>
  <conditionalFormatting sqref="H5:H61">
    <cfRule type="cellIs" dxfId="379" priority="95" operator="equal">
      <formula>isblank</formula>
    </cfRule>
    <cfRule type="colorScale" priority="96">
      <colorScale>
        <cfvo type="min"/>
        <cfvo type="percentile" val="50"/>
        <cfvo type="max"/>
        <color rgb="FF0070C0"/>
        <color rgb="FFFFEB84"/>
        <color rgb="FF70AD47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57</v>
      </c>
      <c r="C1" s="7"/>
      <c r="D1" s="8"/>
      <c r="E1" s="8"/>
      <c r="F1" s="8"/>
      <c r="G1" s="8"/>
      <c r="H1" s="8"/>
    </row>
    <row r="2" spans="1:68" ht="21" customHeight="1" x14ac:dyDescent="0.3">
      <c r="B2" s="201">
        <f ca="1">NOW()</f>
        <v>43192.990386921294</v>
      </c>
      <c r="C2" s="201"/>
      <c r="D2" s="201"/>
      <c r="E2" s="201"/>
      <c r="F2" s="201"/>
      <c r="G2" s="201"/>
      <c r="H2" s="9" t="s">
        <v>1</v>
      </c>
      <c r="I2" s="10">
        <f ca="1">DAY(NOW())+31</f>
        <v>33</v>
      </c>
      <c r="K2" s="11"/>
      <c r="L2" s="202" t="s">
        <v>2</v>
      </c>
      <c r="M2" s="202"/>
      <c r="N2" s="202"/>
      <c r="O2" s="202"/>
      <c r="P2" s="202"/>
      <c r="Q2" s="12"/>
      <c r="R2" s="202" t="s">
        <v>3</v>
      </c>
      <c r="S2" s="202"/>
      <c r="T2" s="202"/>
      <c r="U2" s="202"/>
      <c r="V2" s="13"/>
      <c r="W2" s="202" t="s">
        <v>4</v>
      </c>
      <c r="X2" s="202"/>
      <c r="Y2" s="202"/>
      <c r="Z2" s="202"/>
      <c r="AA2" s="14"/>
      <c r="AB2" s="202" t="s">
        <v>5</v>
      </c>
      <c r="AC2" s="202"/>
      <c r="AD2" s="202"/>
      <c r="AE2" s="202"/>
      <c r="AF2" s="202"/>
      <c r="AG2" s="202"/>
      <c r="AH2" s="202"/>
      <c r="AI2" s="15"/>
      <c r="AJ2" s="196" t="s">
        <v>6</v>
      </c>
      <c r="AK2" s="196"/>
      <c r="AL2" s="196"/>
      <c r="AM2" s="196"/>
      <c r="AN2" s="196"/>
      <c r="AO2" s="196"/>
      <c r="AP2" s="196"/>
      <c r="AQ2" s="196"/>
    </row>
    <row r="3" spans="1:68" s="16" customFormat="1" ht="39.9" customHeight="1" x14ac:dyDescent="0.3">
      <c r="B3" s="197" t="s">
        <v>7</v>
      </c>
      <c r="C3" s="198" t="s">
        <v>8</v>
      </c>
      <c r="D3" s="199" t="s">
        <v>9</v>
      </c>
      <c r="E3" s="199" t="s">
        <v>10</v>
      </c>
      <c r="F3" s="199" t="s">
        <v>11</v>
      </c>
      <c r="G3" s="199" t="s">
        <v>12</v>
      </c>
      <c r="H3" s="200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197"/>
      <c r="C4" s="198"/>
      <c r="D4" s="199"/>
      <c r="E4" s="199"/>
      <c r="F4" s="199"/>
      <c r="G4" s="199"/>
      <c r="H4" s="200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8" t="str">
        <f>IF(SUMPRODUCT(--(NOT(ISERR(SEARCH({"T","Ba"},'CDR Project Planner'!$C5))))),'CDR Project Planner'!B5,"")</f>
        <v>PDR</v>
      </c>
      <c r="C5" s="39" t="str">
        <f>IF(SUMPRODUCT(--(NOT(ISERR(SEARCH({"T","Ba"},'CDR Project Planner'!$C5))))),'CDR Project Planner'!C5,"")</f>
        <v>T</v>
      </c>
      <c r="D5" s="39">
        <f>IF(SUMPRODUCT(--(NOT(ISERR(SEARCH({"T","Ba"},'CDR Project Planner'!$C5))))),'CDR Project Planner'!D5,"")</f>
        <v>22</v>
      </c>
      <c r="E5" s="39">
        <f>IF(SUMPRODUCT(--(NOT(ISERR(SEARCH({"T","Ba"},'CDR Project Planner'!$C5))))),'CDR Project Planner'!E5,"")</f>
        <v>1</v>
      </c>
      <c r="F5" s="39">
        <f>IF(SUMPRODUCT(--(NOT(ISERR(SEARCH({"T","Ba"},'CDR Project Planner'!$C5))))),'CDR Project Planner'!F5,"")</f>
        <v>22</v>
      </c>
      <c r="G5" s="39">
        <f>IF(SUMPRODUCT(--(NOT(ISERR(SEARCH({"T","Ba"},'CDR Project Planner'!$C5))))),'CDR Project Planner'!G5,"")</f>
        <v>1</v>
      </c>
      <c r="H5" s="40">
        <f>IF(SUMPRODUCT(--(NOT(ISERR(SEARCH({"T","Ba"},'CDR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5">
      <c r="B6" s="41" t="str">
        <f>IF(SUMPRODUCT(--(NOT(ISERR(SEARCH({"T","Ba"},'CDR Project Planner'!$C6))))),'CDR Project Planner'!B6,"")</f>
        <v>System</v>
      </c>
      <c r="C6" s="35" t="str">
        <f>IF(SUMPRODUCT(--(NOT(ISERR(SEARCH({"T","Ba"},'CDR Project Planner'!$C6))))),'CDR Project Planner'!C6,"")</f>
        <v>P &amp; Br &amp; C &amp; Ba</v>
      </c>
      <c r="D6" s="35"/>
      <c r="E6" s="35"/>
      <c r="F6" s="35"/>
      <c r="G6" s="35"/>
      <c r="H6" s="40">
        <f>IF(SUMPRODUCT(--(NOT(ISERR(SEARCH({"T","Ba"},'CDR Project Planner'!$C6))))),'CDR Project Planner'!H6,"")</f>
        <v>0</v>
      </c>
    </row>
    <row r="7" spans="1:68" s="4" customFormat="1" ht="14.4" outlineLevel="1" x14ac:dyDescent="0.3">
      <c r="A7" s="1"/>
      <c r="B7" s="34" t="str">
        <f>IF(SUMPRODUCT(--(NOT(ISERR(SEARCH({"T","Ba"},'CDR Project Planner'!$C7))))),'CDR Project Planner'!B7,"")</f>
        <v/>
      </c>
      <c r="C7" s="35" t="str">
        <f>IF(SUMPRODUCT(--(NOT(ISERR(SEARCH({"T","Ba"},'CDR Project Planner'!$C7))))),'CDR Project Planner'!C7,"")</f>
        <v/>
      </c>
      <c r="D7" s="35" t="str">
        <f>IF(SUMPRODUCT(--(NOT(ISERR(SEARCH({"T","Ba"},'CDR Project Planner'!$C7))))),'CDR Project Planner'!D7,"")</f>
        <v/>
      </c>
      <c r="E7" s="35" t="str">
        <f>IF(SUMPRODUCT(--(NOT(ISERR(SEARCH({"T","Ba"},'CDR Project Planner'!$C7))))),'CDR Project Planner'!E7,"")</f>
        <v/>
      </c>
      <c r="F7" s="35" t="str">
        <f>IF(SUMPRODUCT(--(NOT(ISERR(SEARCH({"T","Ba"},'CDR Project Planner'!$C7))))),'CDR Project Planner'!F7,"")</f>
        <v/>
      </c>
      <c r="G7" s="35" t="str">
        <f>IF(SUMPRODUCT(--(NOT(ISERR(SEARCH({"T","Ba"},'CDR Project Planner'!$C7))))),'CDR Project Planner'!G7,"")</f>
        <v/>
      </c>
      <c r="H7" s="40" t="str">
        <f>IF(SUMPRODUCT(--(NOT(ISERR(SEARCH({"T","Ba"},'CDR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34" t="str">
        <f>IF(SUMPRODUCT(--(NOT(ISERR(SEARCH({"T","Ba"},'CDR Project Planner'!$C8))))),'CDR Project Planner'!B8,"")</f>
        <v/>
      </c>
      <c r="C8" s="35" t="str">
        <f>IF(SUMPRODUCT(--(NOT(ISERR(SEARCH({"T","Ba"},'CDR Project Planner'!$C8))))),'CDR Project Planner'!C8,"")</f>
        <v/>
      </c>
      <c r="D8" s="35" t="str">
        <f>IF(SUMPRODUCT(--(NOT(ISERR(SEARCH({"T","Ba"},'CDR Project Planner'!$C8))))),'CDR Project Planner'!D8,"")</f>
        <v/>
      </c>
      <c r="E8" s="35" t="str">
        <f>IF(SUMPRODUCT(--(NOT(ISERR(SEARCH({"T","Ba"},'CDR Project Planner'!$C8))))),'CDR Project Planner'!E8,"")</f>
        <v/>
      </c>
      <c r="F8" s="35" t="str">
        <f>IF(SUMPRODUCT(--(NOT(ISERR(SEARCH({"T","Ba"},'CDR Project Planner'!$C8))))),'CDR Project Planner'!F8,"")</f>
        <v/>
      </c>
      <c r="G8" s="35" t="str">
        <f>IF(SUMPRODUCT(--(NOT(ISERR(SEARCH({"T","Ba"},'CDR Project Planner'!$C8))))),'CDR Project Planner'!G8,"")</f>
        <v/>
      </c>
      <c r="H8" s="40" t="str">
        <f>IF(SUMPRODUCT(--(NOT(ISERR(SEARCH({"T","Ba"},'CDR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4" t="str">
        <f>IF(SUMPRODUCT(--(NOT(ISERR(SEARCH({"T","Ba"},'CDR Project Planner'!$C9))))),'CDR Project Planner'!B9,"")</f>
        <v/>
      </c>
      <c r="C9" s="35" t="str">
        <f>IF(SUMPRODUCT(--(NOT(ISERR(SEARCH({"T","Ba"},'CDR Project Planner'!$C9))))),'CDR Project Planner'!C9,"")</f>
        <v/>
      </c>
      <c r="D9" s="35" t="str">
        <f>IF(SUMPRODUCT(--(NOT(ISERR(SEARCH({"T","Ba"},'CDR Project Planner'!$C9))))),'CDR Project Planner'!D9,"")</f>
        <v/>
      </c>
      <c r="E9" s="35" t="str">
        <f>IF(SUMPRODUCT(--(NOT(ISERR(SEARCH({"T","Ba"},'CDR Project Planner'!$C9))))),'CDR Project Planner'!E9,"")</f>
        <v/>
      </c>
      <c r="F9" s="35" t="str">
        <f>IF(SUMPRODUCT(--(NOT(ISERR(SEARCH({"T","Ba"},'CDR Project Planner'!$C9))))),'CDR Project Planner'!F9,"")</f>
        <v/>
      </c>
      <c r="G9" s="35" t="str">
        <f>IF(SUMPRODUCT(--(NOT(ISERR(SEARCH({"T","Ba"},'CDR Project Planner'!$C9))))),'CDR Project Planner'!G9,"")</f>
        <v/>
      </c>
      <c r="H9" s="40" t="str">
        <f>IF(SUMPRODUCT(--(NOT(ISERR(SEARCH({"T","Ba"},'CDR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44" t="str">
        <f>IF(SUMPRODUCT(--(NOT(ISERR(SEARCH({"T","Ba"},'CDR Project Planner'!$C10))))),'CDR Project Planner'!B10,"")</f>
        <v>Unit Tests - GUI mapping</v>
      </c>
      <c r="C10" s="35" t="str">
        <f>IF(SUMPRODUCT(--(NOT(ISERR(SEARCH({"T","Ba"},'CDR Project Planner'!$C10))))),'CDR Project Planner'!C10,"")</f>
        <v>Ba</v>
      </c>
      <c r="D10" s="35">
        <f>IF(SUMPRODUCT(--(NOT(ISERR(SEARCH({"T","Ba"},'CDR Project Planner'!$C10))))),'CDR Project Planner'!D10,"")</f>
        <v>23</v>
      </c>
      <c r="E10" s="35">
        <f>IF(SUMPRODUCT(--(NOT(ISERR(SEARCH({"T","Ba"},'CDR Project Planner'!$C10))))),'CDR Project Planner'!E10,"")</f>
        <v>5</v>
      </c>
      <c r="F10" s="35">
        <f>IF(SUMPRODUCT(--(NOT(ISERR(SEARCH({"T","Ba"},'CDR Project Planner'!$C10))))),'CDR Project Planner'!F10,"")</f>
        <v>0</v>
      </c>
      <c r="G10" s="35">
        <f>IF(SUMPRODUCT(--(NOT(ISERR(SEARCH({"T","Ba"},'CDR Project Planner'!$C10))))),'CDR Project Planner'!G10,"")</f>
        <v>0</v>
      </c>
      <c r="H10" s="40">
        <f>IF(SUMPRODUCT(--(NOT(ISERR(SEARCH({"T","Ba"},'CDR Project Planner'!$C10))))),'CDR Project Planner'!H10,"")</f>
        <v>0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44" t="str">
        <f>IF(SUMPRODUCT(--(NOT(ISERR(SEARCH({"T","Ba"},'CDR Project Planner'!#REF!))))),'CDR Project Planner'!#REF!,"")</f>
        <v/>
      </c>
      <c r="C11" s="35" t="str">
        <f>IF(SUMPRODUCT(--(NOT(ISERR(SEARCH({"T","Ba"},'CDR Project Planner'!#REF!))))),'CDR Project Planner'!#REF!,"")</f>
        <v/>
      </c>
      <c r="D11" s="35" t="str">
        <f>IF(SUMPRODUCT(--(NOT(ISERR(SEARCH({"T","Ba"},'CDR Project Planner'!#REF!))))),'CDR Project Planner'!#REF!,"")</f>
        <v/>
      </c>
      <c r="E11" s="35" t="str">
        <f>IF(SUMPRODUCT(--(NOT(ISERR(SEARCH({"T","Ba"},'CDR Project Planner'!#REF!))))),'CDR Project Planner'!#REF!,"")</f>
        <v/>
      </c>
      <c r="F11" s="35" t="str">
        <f>IF(SUMPRODUCT(--(NOT(ISERR(SEARCH({"T","Ba"},'CDR Project Planner'!#REF!))))),'CDR Project Planner'!#REF!,"")</f>
        <v/>
      </c>
      <c r="G11" s="35" t="str">
        <f>IF(SUMPRODUCT(--(NOT(ISERR(SEARCH({"T","Ba"},'CDR Project Planner'!#REF!))))),'CDR Project Planner'!#REF!,"")</f>
        <v/>
      </c>
      <c r="H11" s="40" t="str">
        <f>IF(SUMPRODUCT(--(NOT(ISERR(SEARCH({"T","Ba"},'CDR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44" t="str">
        <f>IF(SUMPRODUCT(--(NOT(ISERR(SEARCH({"T","Ba"},'CDR Project Planner'!$C11))))),'CDR Project Planner'!B11,"")</f>
        <v>Unit Tests - Motors</v>
      </c>
      <c r="C12" s="35" t="str">
        <f>IF(SUMPRODUCT(--(NOT(ISERR(SEARCH({"T","Ba"},'CDR Project Planner'!$C11))))),'CDR Project Planner'!C11,"")</f>
        <v>Ba</v>
      </c>
      <c r="D12" s="35">
        <f>IF(SUMPRODUCT(--(NOT(ISERR(SEARCH({"T","Ba"},'CDR Project Planner'!$C11))))),'CDR Project Planner'!D11,"")</f>
        <v>23</v>
      </c>
      <c r="E12" s="35">
        <f>IF(SUMPRODUCT(--(NOT(ISERR(SEARCH({"T","Ba"},'CDR Project Planner'!$C11))))),'CDR Project Planner'!E11,"")</f>
        <v>10</v>
      </c>
      <c r="F12" s="35">
        <f>IF(SUMPRODUCT(--(NOT(ISERR(SEARCH({"T","Ba"},'CDR Project Planner'!$C11))))),'CDR Project Planner'!F11,"")</f>
        <v>0</v>
      </c>
      <c r="G12" s="35">
        <f>IF(SUMPRODUCT(--(NOT(ISERR(SEARCH({"T","Ba"},'CDR Project Planner'!$C11))))),'CDR Project Planner'!G11,"")</f>
        <v>0</v>
      </c>
      <c r="H12" s="40">
        <f>IF(SUMPRODUCT(--(NOT(ISERR(SEARCH({"T","Ba"},'CDR Project Planner'!$C11))))),'CDR Project Planner'!H11,"")</f>
        <v>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42" t="str">
        <f>IF(SUMPRODUCT(--(NOT(ISERR(SEARCH({"T","Ba"},'CDR Project Planner'!$C14))))),'CDR Project Planner'!B14,"")</f>
        <v/>
      </c>
      <c r="C13" s="35" t="str">
        <f>IF(SUMPRODUCT(--(NOT(ISERR(SEARCH({"T","Ba"},'CDR Project Planner'!$C14))))),'CDR Project Planner'!C14,"")</f>
        <v/>
      </c>
      <c r="D13" s="35" t="str">
        <f>IF(SUMPRODUCT(--(NOT(ISERR(SEARCH({"T","Ba"},'CDR Project Planner'!$C14))))),'CDR Project Planner'!D14,"")</f>
        <v/>
      </c>
      <c r="E13" s="35" t="str">
        <f>IF(SUMPRODUCT(--(NOT(ISERR(SEARCH({"T","Ba"},'CDR Project Planner'!$C14))))),'CDR Project Planner'!E14,"")</f>
        <v/>
      </c>
      <c r="F13" s="35" t="str">
        <f>IF(SUMPRODUCT(--(NOT(ISERR(SEARCH({"T","Ba"},'CDR Project Planner'!$C14))))),'CDR Project Planner'!F14,"")</f>
        <v/>
      </c>
      <c r="G13" s="35" t="str">
        <f>IF(SUMPRODUCT(--(NOT(ISERR(SEARCH({"T","Ba"},'CDR Project Planner'!$C14))))),'CDR Project Planner'!G14,"")</f>
        <v/>
      </c>
      <c r="H13" s="40" t="str">
        <f>IF(SUMPRODUCT(--(NOT(ISERR(SEARCH({"T","Ba"},'CDR Project Planner'!$C14))))),'CDR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2" t="str">
        <f>IF(SUMPRODUCT(--(NOT(ISERR(SEARCH({"T","Ba"},'CDR Project Planner'!$C16))))),'CDR Project Planner'!B16,"")</f>
        <v xml:space="preserve">   Calibration - Ultrasonic sensors</v>
      </c>
      <c r="C14" s="35" t="str">
        <f>IF(SUMPRODUCT(--(NOT(ISERR(SEARCH({"T","Ba"},'CDR Project Planner'!$C16))))),'CDR Project Planner'!C16,"")</f>
        <v>Ba &amp; Br &amp; P</v>
      </c>
      <c r="D14" s="35">
        <f>IF(SUMPRODUCT(--(NOT(ISERR(SEARCH({"T","Ba"},'CDR Project Planner'!$C16))))),'CDR Project Planner'!D16,"")</f>
        <v>31</v>
      </c>
      <c r="E14" s="35">
        <f>IF(SUMPRODUCT(--(NOT(ISERR(SEARCH({"T","Ba"},'CDR Project Planner'!$C16))))),'CDR Project Planner'!E16,"")</f>
        <v>7</v>
      </c>
      <c r="F14" s="35">
        <f>IF(SUMPRODUCT(--(NOT(ISERR(SEARCH({"T","Ba"},'CDR Project Planner'!$C16))))),'CDR Project Planner'!F16,"")</f>
        <v>0</v>
      </c>
      <c r="G14" s="35">
        <f>IF(SUMPRODUCT(--(NOT(ISERR(SEARCH({"T","Ba"},'CDR Project Planner'!$C16))))),'CDR Project Planner'!G16,"")</f>
        <v>0</v>
      </c>
      <c r="H14" s="40">
        <f>IF(SUMPRODUCT(--(NOT(ISERR(SEARCH({"T","Ba"},'CDR Project Planner'!$C16))))),'CDR Project Planner'!H16,"")</f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4" t="str">
        <f>IF(SUMPRODUCT(--(NOT(ISERR(SEARCH({"T","Ba"},'CDR Project Planner'!$C17))))),'CDR Project Planner'!B17,"")</f>
        <v/>
      </c>
      <c r="C15" s="35" t="str">
        <f>IF(SUMPRODUCT(--(NOT(ISERR(SEARCH({"T","Ba"},'CDR Project Planner'!$C17))))),'CDR Project Planner'!C17,"")</f>
        <v/>
      </c>
      <c r="D15" s="35" t="str">
        <f>IF(SUMPRODUCT(--(NOT(ISERR(SEARCH({"T","Ba"},'CDR Project Planner'!$C17))))),'CDR Project Planner'!D17,"")</f>
        <v/>
      </c>
      <c r="E15" s="35" t="str">
        <f>IF(SUMPRODUCT(--(NOT(ISERR(SEARCH({"T","Ba"},'CDR Project Planner'!$C17))))),'CDR Project Planner'!E17,"")</f>
        <v/>
      </c>
      <c r="F15" s="35" t="str">
        <f>IF(SUMPRODUCT(--(NOT(ISERR(SEARCH({"T","Ba"},'CDR Project Planner'!$C17))))),'CDR Project Planner'!F17,"")</f>
        <v/>
      </c>
      <c r="G15" s="35" t="str">
        <f>IF(SUMPRODUCT(--(NOT(ISERR(SEARCH({"T","Ba"},'CDR Project Planner'!$C17))))),'CDR Project Planner'!G17,"")</f>
        <v/>
      </c>
      <c r="H15" s="40" t="str">
        <f>IF(SUMPRODUCT(--(NOT(ISERR(SEARCH({"T","Ba"},'CDR Project Planner'!$C17))))),'CDR Project Planner'!H17,"")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4" t="str">
        <f>IF(SUMPRODUCT(--(NOT(ISERR(SEARCH({"T","Ba"},'CDR Project Planner'!$C18))))),'CDR Project Planner'!B18,"")</f>
        <v/>
      </c>
      <c r="C16" s="35" t="str">
        <f>IF(SUMPRODUCT(--(NOT(ISERR(SEARCH({"T","Ba"},'CDR Project Planner'!$C18))))),'CDR Project Planner'!C18,"")</f>
        <v/>
      </c>
      <c r="D16" s="35" t="str">
        <f>IF(SUMPRODUCT(--(NOT(ISERR(SEARCH({"T","Ba"},'CDR Project Planner'!$C18))))),'CDR Project Planner'!D18,"")</f>
        <v/>
      </c>
      <c r="E16" s="35" t="str">
        <f>IF(SUMPRODUCT(--(NOT(ISERR(SEARCH({"T","Ba"},'CDR Project Planner'!$C18))))),'CDR Project Planner'!E18,"")</f>
        <v/>
      </c>
      <c r="F16" s="35" t="str">
        <f>IF(SUMPRODUCT(--(NOT(ISERR(SEARCH({"T","Ba"},'CDR Project Planner'!$C18))))),'CDR Project Planner'!F18,"")</f>
        <v/>
      </c>
      <c r="G16" s="35" t="str">
        <f>IF(SUMPRODUCT(--(NOT(ISERR(SEARCH({"T","Ba"},'CDR Project Planner'!$C18))))),'CDR Project Planner'!G18,"")</f>
        <v/>
      </c>
      <c r="H16" s="40" t="str">
        <f>IF(SUMPRODUCT(--(NOT(ISERR(SEARCH({"T","Ba"},'CDR Project Planner'!$C18))))),'CDR Project Planner'!H18,"")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4" t="str">
        <f>IF(SUMPRODUCT(--(NOT(ISERR(SEARCH({"T","Ba"},'CDR Project Planner'!$C19))))),'CDR Project Planner'!B19,"")</f>
        <v/>
      </c>
      <c r="C17" s="35" t="str">
        <f>IF(SUMPRODUCT(--(NOT(ISERR(SEARCH({"T","Ba"},'CDR Project Planner'!$C19))))),'CDR Project Planner'!C19,"")</f>
        <v/>
      </c>
      <c r="D17" s="35" t="str">
        <f>IF(SUMPRODUCT(--(NOT(ISERR(SEARCH({"T","Ba"},'CDR Project Planner'!$C19))))),'CDR Project Planner'!D19,"")</f>
        <v/>
      </c>
      <c r="E17" s="35" t="str">
        <f>IF(SUMPRODUCT(--(NOT(ISERR(SEARCH({"T","Ba"},'CDR Project Planner'!$C19))))),'CDR Project Planner'!E19,"")</f>
        <v/>
      </c>
      <c r="F17" s="35" t="str">
        <f>IF(SUMPRODUCT(--(NOT(ISERR(SEARCH({"T","Ba"},'CDR Project Planner'!$C19))))),'CDR Project Planner'!F19,"")</f>
        <v/>
      </c>
      <c r="G17" s="35" t="str">
        <f>IF(SUMPRODUCT(--(NOT(ISERR(SEARCH({"T","Ba"},'CDR Project Planner'!$C19))))),'CDR Project Planner'!G19,"")</f>
        <v/>
      </c>
      <c r="H17" s="40" t="str">
        <f>IF(SUMPRODUCT(--(NOT(ISERR(SEARCH({"T","Ba"},'CDR Project Planner'!$C19))))),'CDR Project Planner'!H19,"")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4" t="str">
        <f>IF(SUMPRODUCT(--(NOT(ISERR(SEARCH({"T","Ba"},'CDR Project Planner'!#REF!))))),'CDR Project Planner'!#REF!,"")</f>
        <v/>
      </c>
      <c r="C18" s="35" t="str">
        <f>IF(SUMPRODUCT(--(NOT(ISERR(SEARCH({"T","Ba"},'CDR Project Planner'!#REF!))))),'CDR Project Planner'!#REF!,"")</f>
        <v/>
      </c>
      <c r="D18" s="35" t="str">
        <f>IF(SUMPRODUCT(--(NOT(ISERR(SEARCH({"T","Ba"},'CDR Project Planner'!#REF!))))),'CDR Project Planner'!#REF!,"")</f>
        <v/>
      </c>
      <c r="E18" s="35" t="str">
        <f>IF(SUMPRODUCT(--(NOT(ISERR(SEARCH({"T","Ba"},'CDR Project Planner'!#REF!))))),'CDR Project Planner'!#REF!,"")</f>
        <v/>
      </c>
      <c r="F18" s="35" t="str">
        <f>IF(SUMPRODUCT(--(NOT(ISERR(SEARCH({"T","Ba"},'CDR Project Planner'!#REF!))))),'CDR Project Planner'!#REF!,"")</f>
        <v/>
      </c>
      <c r="G18" s="35" t="str">
        <f>IF(SUMPRODUCT(--(NOT(ISERR(SEARCH({"T","Ba"},'CDR Project Planner'!#REF!))))),'CDR Project Planner'!#REF!,"")</f>
        <v/>
      </c>
      <c r="H18" s="40" t="str">
        <f>IF(SUMPRODUCT(--(NOT(ISERR(SEARCH({"T","Ba"},'CDR Project Planner'!#REF!))))),'CDR Project Planner'!#REF!,"")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4" t="str">
        <f>IF(SUMPRODUCT(--(NOT(ISERR(SEARCH({"T","Ba"},'CDR Project Planner'!#REF!))))),'CDR Project Planner'!#REF!,"")</f>
        <v/>
      </c>
      <c r="C19" s="35" t="str">
        <f>IF(SUMPRODUCT(--(NOT(ISERR(SEARCH({"T","Ba"},'CDR Project Planner'!#REF!))))),'CDR Project Planner'!#REF!,"")</f>
        <v/>
      </c>
      <c r="D19" s="35" t="str">
        <f>IF(SUMPRODUCT(--(NOT(ISERR(SEARCH({"T","Ba"},'CDR Project Planner'!#REF!))))),'CDR Project Planner'!#REF!,"")</f>
        <v/>
      </c>
      <c r="E19" s="35" t="str">
        <f>IF(SUMPRODUCT(--(NOT(ISERR(SEARCH({"T","Ba"},'CDR Project Planner'!#REF!))))),'CDR Project Planner'!#REF!,"")</f>
        <v/>
      </c>
      <c r="F19" s="35" t="str">
        <f>IF(SUMPRODUCT(--(NOT(ISERR(SEARCH({"T","Ba"},'CDR Project Planner'!#REF!))))),'CDR Project Planner'!#REF!,"")</f>
        <v/>
      </c>
      <c r="G19" s="35" t="str">
        <f>IF(SUMPRODUCT(--(NOT(ISERR(SEARCH({"T","Ba"},'CDR Project Planner'!#REF!))))),'CDR Project Planner'!#REF!,"")</f>
        <v/>
      </c>
      <c r="H19" s="45" t="str">
        <f>IF(SUMPRODUCT(--(NOT(ISERR(SEARCH({"T","Ba"},'CDR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4" t="str">
        <f>IF(SUMPRODUCT(--(NOT(ISERR(SEARCH({"T","Ba"},'CDR Project Planner'!#REF!))))),'CDR Project Planner'!#REF!,"")</f>
        <v/>
      </c>
      <c r="C20" s="35" t="str">
        <f>IF(SUMPRODUCT(--(NOT(ISERR(SEARCH({"T","Ba"},'CDR Project Planner'!#REF!))))),'CDR Project Planner'!#REF!,"")</f>
        <v/>
      </c>
      <c r="D20" s="35" t="str">
        <f>IF(SUMPRODUCT(--(NOT(ISERR(SEARCH({"T","Ba"},'CDR Project Planner'!#REF!))))),'CDR Project Planner'!#REF!,"")</f>
        <v/>
      </c>
      <c r="E20" s="35" t="str">
        <f>IF(SUMPRODUCT(--(NOT(ISERR(SEARCH({"T","Ba"},'CDR Project Planner'!#REF!))))),'CDR Project Planner'!#REF!,"")</f>
        <v/>
      </c>
      <c r="F20" s="35" t="str">
        <f>IF(SUMPRODUCT(--(NOT(ISERR(SEARCH({"T","Ba"},'CDR Project Planner'!#REF!))))),'CDR Project Planner'!#REF!,"")</f>
        <v/>
      </c>
      <c r="G20" s="35" t="str">
        <f>IF(SUMPRODUCT(--(NOT(ISERR(SEARCH({"T","Ba"},'CDR Project Planner'!#REF!))))),'CDR Project Planner'!#REF!,"")</f>
        <v/>
      </c>
      <c r="H20" s="45" t="str">
        <f>IF(SUMPRODUCT(--(NOT(ISERR(SEARCH({"T","Ba"},'CDR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4" t="str">
        <f>IF(SUMPRODUCT(--(NOT(ISERR(SEARCH({"T","Ba"},'CDR Project Planner'!$C21))))),'CDR Project Planner'!B21,"")</f>
        <v/>
      </c>
      <c r="C21" s="35" t="str">
        <f>IF(SUMPRODUCT(--(NOT(ISERR(SEARCH({"T","Ba"},'CDR Project Planner'!$C21))))),'CDR Project Planner'!C21,"")</f>
        <v/>
      </c>
      <c r="D21" s="35" t="str">
        <f>IF(SUMPRODUCT(--(NOT(ISERR(SEARCH({"T","Ba"},'CDR Project Planner'!$C21))))),'CDR Project Planner'!D21,"")</f>
        <v/>
      </c>
      <c r="E21" s="35" t="str">
        <f>IF(SUMPRODUCT(--(NOT(ISERR(SEARCH({"T","Ba"},'CDR Project Planner'!$C21))))),'CDR Project Planner'!E21,"")</f>
        <v/>
      </c>
      <c r="F21" s="35" t="str">
        <f>IF(SUMPRODUCT(--(NOT(ISERR(SEARCH({"T","Ba"},'CDR Project Planner'!$C21))))),'CDR Project Planner'!F21,"")</f>
        <v/>
      </c>
      <c r="G21" s="35" t="str">
        <f>IF(SUMPRODUCT(--(NOT(ISERR(SEARCH({"T","Ba"},'CDR Project Planner'!$C21))))),'CDR Project Planner'!G21,"")</f>
        <v/>
      </c>
      <c r="H21" s="45" t="str">
        <f>IF(SUMPRODUCT(--(NOT(ISERR(SEARCH({"T","Ba"},'CDR Project Planner'!$C21))))),'CDR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4" t="str">
        <f>IF(SUMPRODUCT(--(NOT(ISERR(SEARCH({"T","Ba"},'CDR Project Planner'!$C22))))),'CDR Project Planner'!B22,"")</f>
        <v/>
      </c>
      <c r="C22" s="35" t="str">
        <f>IF(SUMPRODUCT(--(NOT(ISERR(SEARCH({"T","Ba"},'CDR Project Planner'!$C22))))),'CDR Project Planner'!C22,"")</f>
        <v/>
      </c>
      <c r="D22" s="35" t="str">
        <f>IF(SUMPRODUCT(--(NOT(ISERR(SEARCH({"T","Ba"},'CDR Project Planner'!$C22))))),'CDR Project Planner'!D22,"")</f>
        <v/>
      </c>
      <c r="E22" s="35" t="str">
        <f>IF(SUMPRODUCT(--(NOT(ISERR(SEARCH({"T","Ba"},'CDR Project Planner'!$C22))))),'CDR Project Planner'!E22,"")</f>
        <v/>
      </c>
      <c r="F22" s="35" t="str">
        <f>IF(SUMPRODUCT(--(NOT(ISERR(SEARCH({"T","Ba"},'CDR Project Planner'!$C22))))),'CDR Project Planner'!F22,"")</f>
        <v/>
      </c>
      <c r="G22" s="35" t="str">
        <f>IF(SUMPRODUCT(--(NOT(ISERR(SEARCH({"T","Ba"},'CDR Project Planner'!$C22))))),'CDR Project Planner'!G22,"")</f>
        <v/>
      </c>
      <c r="H22" s="45" t="str">
        <f>IF(SUMPRODUCT(--(NOT(ISERR(SEARCH({"T","Ba"},'CDR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4" t="str">
        <f>IF(SUMPRODUCT(--(NOT(ISERR(SEARCH({"T","Ba"},'CDR Project Planner'!$C23))))),'CDR Project Planner'!B23,"")</f>
        <v/>
      </c>
      <c r="C23" s="35" t="str">
        <f>IF(SUMPRODUCT(--(NOT(ISERR(SEARCH({"T","Ba"},'CDR Project Planner'!$C23))))),'CDR Project Planner'!C23,"")</f>
        <v/>
      </c>
      <c r="D23" s="35" t="str">
        <f>IF(SUMPRODUCT(--(NOT(ISERR(SEARCH({"T","Ba"},'CDR Project Planner'!$C23))))),'CDR Project Planner'!D23,"")</f>
        <v/>
      </c>
      <c r="E23" s="35" t="str">
        <f>IF(SUMPRODUCT(--(NOT(ISERR(SEARCH({"T","Ba"},'CDR Project Planner'!$C23))))),'CDR Project Planner'!E23,"")</f>
        <v/>
      </c>
      <c r="F23" s="35" t="str">
        <f>IF(SUMPRODUCT(--(NOT(ISERR(SEARCH({"T","Ba"},'CDR Project Planner'!$C23))))),'CDR Project Planner'!F23,"")</f>
        <v/>
      </c>
      <c r="G23" s="35" t="str">
        <f>IF(SUMPRODUCT(--(NOT(ISERR(SEARCH({"T","Ba"},'CDR Project Planner'!$C23))))),'CDR Project Planner'!G23,"")</f>
        <v/>
      </c>
      <c r="H23" s="45" t="str">
        <f>IF(SUMPRODUCT(--(NOT(ISERR(SEARCH({"T","Ba"},'CDR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4" t="str">
        <f>IF(SUMPRODUCT(--(NOT(ISERR(SEARCH({"T","Ba"},'CDR Project Planner'!$C24))))),'CDR Project Planner'!B24,"")</f>
        <v/>
      </c>
      <c r="C24" s="35" t="str">
        <f>IF(SUMPRODUCT(--(NOT(ISERR(SEARCH({"T","Ba"},'CDR Project Planner'!$C24))))),'CDR Project Planner'!C24,"")</f>
        <v/>
      </c>
      <c r="D24" s="35" t="str">
        <f>IF(SUMPRODUCT(--(NOT(ISERR(SEARCH({"T","Ba"},'CDR Project Planner'!$C24))))),'CDR Project Planner'!D24,"")</f>
        <v/>
      </c>
      <c r="E24" s="35" t="str">
        <f>IF(SUMPRODUCT(--(NOT(ISERR(SEARCH({"T","Ba"},'CDR Project Planner'!$C24))))),'CDR Project Planner'!E24,"")</f>
        <v/>
      </c>
      <c r="F24" s="35" t="str">
        <f>IF(SUMPRODUCT(--(NOT(ISERR(SEARCH({"T","Ba"},'CDR Project Planner'!$C24))))),'CDR Project Planner'!F24,"")</f>
        <v/>
      </c>
      <c r="G24" s="35" t="str">
        <f>IF(SUMPRODUCT(--(NOT(ISERR(SEARCH({"T","Ba"},'CDR Project Planner'!$C24))))),'CDR Project Planner'!G24,"")</f>
        <v/>
      </c>
      <c r="H24" s="45" t="str">
        <f>IF(SUMPRODUCT(--(NOT(ISERR(SEARCH({"T","Ba"},'CDR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4" t="str">
        <f>IF(SUMPRODUCT(--(NOT(ISERR(SEARCH({"T","Ba"},'CDR Project Planner'!#REF!))))),'CDR Project Planner'!#REF!,"")</f>
        <v/>
      </c>
      <c r="C25" s="35" t="str">
        <f>IF(SUMPRODUCT(--(NOT(ISERR(SEARCH({"T","Ba"},'CDR Project Planner'!#REF!))))),'CDR Project Planner'!#REF!,"")</f>
        <v/>
      </c>
      <c r="D25" s="35" t="str">
        <f>IF(SUMPRODUCT(--(NOT(ISERR(SEARCH({"T","Ba"},'CDR Project Planner'!#REF!))))),'CDR Project Planner'!#REF!,"")</f>
        <v/>
      </c>
      <c r="E25" s="35" t="str">
        <f>IF(SUMPRODUCT(--(NOT(ISERR(SEARCH({"T","Ba"},'CDR Project Planner'!#REF!))))),'CDR Project Planner'!#REF!,"")</f>
        <v/>
      </c>
      <c r="F25" s="35" t="str">
        <f>IF(SUMPRODUCT(--(NOT(ISERR(SEARCH({"T","Ba"},'CDR Project Planner'!#REF!))))),'CDR Project Planner'!#REF!,"")</f>
        <v/>
      </c>
      <c r="G25" s="35" t="str">
        <f>IF(SUMPRODUCT(--(NOT(ISERR(SEARCH({"T","Ba"},'CDR Project Planner'!#REF!))))),'CDR Project Planner'!#REF!,"")</f>
        <v/>
      </c>
      <c r="H25" s="45" t="str">
        <f>IF(SUMPRODUCT(--(NOT(ISERR(SEARCH({"T","Ba"},'CDR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34" t="str">
        <f>IF(SUMPRODUCT(--(NOT(ISERR(SEARCH({"T","Ba"},'CDR Project Planner'!$C28))))),'CDR Project Planner'!B28,"")</f>
        <v/>
      </c>
      <c r="C26" s="35" t="str">
        <f>IF(SUMPRODUCT(--(NOT(ISERR(SEARCH({"T","Ba"},'CDR Project Planner'!$C28))))),'CDR Project Planner'!C28,"")</f>
        <v/>
      </c>
      <c r="D26" s="35" t="str">
        <f>IF(SUMPRODUCT(--(NOT(ISERR(SEARCH({"T","Ba"},'CDR Project Planner'!$C28))))),'CDR Project Planner'!D28,"")</f>
        <v/>
      </c>
      <c r="E26" s="35" t="str">
        <f>IF(SUMPRODUCT(--(NOT(ISERR(SEARCH({"T","Ba"},'CDR Project Planner'!$C28))))),'CDR Project Planner'!E28,"")</f>
        <v/>
      </c>
      <c r="F26" s="35" t="str">
        <f>IF(SUMPRODUCT(--(NOT(ISERR(SEARCH({"T","Ba"},'CDR Project Planner'!$C28))))),'CDR Project Planner'!F28,"")</f>
        <v/>
      </c>
      <c r="G26" s="35" t="str">
        <f>IF(SUMPRODUCT(--(NOT(ISERR(SEARCH({"T","Ba"},'CDR Project Planner'!$C28))))),'CDR Project Planner'!G28,"")</f>
        <v/>
      </c>
      <c r="H26" s="45" t="str">
        <f>IF(SUMPRODUCT(--(NOT(ISERR(SEARCH({"T","Ba"},'CDR Project Planner'!$C28))))),'CDR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outlineLevel="1" x14ac:dyDescent="0.3">
      <c r="A27" s="1"/>
      <c r="B27" s="34" t="str">
        <f>IF(SUMPRODUCT(--(NOT(ISERR(SEARCH({"T","Ba"},'CDR Project Planner'!$C29))))),'CDR Project Planner'!B29,"")</f>
        <v/>
      </c>
      <c r="C27" s="35" t="str">
        <f>IF(SUMPRODUCT(--(NOT(ISERR(SEARCH({"T","Ba"},'CDR Project Planner'!$C29))))),'CDR Project Planner'!C29,"")</f>
        <v/>
      </c>
      <c r="D27" s="35" t="str">
        <f>IF(SUMPRODUCT(--(NOT(ISERR(SEARCH({"T","Ba"},'CDR Project Planner'!$C29))))),'CDR Project Planner'!D29,"")</f>
        <v/>
      </c>
      <c r="E27" s="35" t="str">
        <f>IF(SUMPRODUCT(--(NOT(ISERR(SEARCH({"T","Ba"},'CDR Project Planner'!$C29))))),'CDR Project Planner'!E29,"")</f>
        <v/>
      </c>
      <c r="F27" s="35" t="str">
        <f>IF(SUMPRODUCT(--(NOT(ISERR(SEARCH({"T","Ba"},'CDR Project Planner'!$C29))))),'CDR Project Planner'!F29,"")</f>
        <v/>
      </c>
      <c r="G27" s="35" t="str">
        <f>IF(SUMPRODUCT(--(NOT(ISERR(SEARCH({"T","Ba"},'CDR Project Planner'!$C29))))),'CDR Project Planner'!G29,"")</f>
        <v/>
      </c>
      <c r="H27" s="45" t="str">
        <f>IF(SUMPRODUCT(--(NOT(ISERR(SEARCH({"T","Ba"},'CDR Project Planner'!$C29))))),'CDR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4" t="str">
        <f>IF(SUMPRODUCT(--(NOT(ISERR(SEARCH({"T","Ba"},'CDR Project Planner'!#REF!))))),'CDR Project Planner'!#REF!,"")</f>
        <v/>
      </c>
      <c r="C28" s="35" t="str">
        <f>IF(SUMPRODUCT(--(NOT(ISERR(SEARCH({"T","Ba"},'CDR Project Planner'!#REF!))))),'CDR Project Planner'!#REF!,"")</f>
        <v/>
      </c>
      <c r="D28" s="35" t="str">
        <f>IF(SUMPRODUCT(--(NOT(ISERR(SEARCH({"T","Ba"},'CDR Project Planner'!#REF!))))),'CDR Project Planner'!#REF!,"")</f>
        <v/>
      </c>
      <c r="E28" s="35" t="str">
        <f>IF(SUMPRODUCT(--(NOT(ISERR(SEARCH({"T","Ba"},'CDR Project Planner'!#REF!))))),'CDR Project Planner'!#REF!,"")</f>
        <v/>
      </c>
      <c r="F28" s="35" t="str">
        <f>IF(SUMPRODUCT(--(NOT(ISERR(SEARCH({"T","Ba"},'CDR Project Planner'!#REF!))))),'CDR Project Planner'!#REF!,"")</f>
        <v/>
      </c>
      <c r="G28" s="35" t="str">
        <f>IF(SUMPRODUCT(--(NOT(ISERR(SEARCH({"T","Ba"},'CDR Project Planner'!#REF!))))),'CDR Project Planner'!#REF!,"")</f>
        <v/>
      </c>
      <c r="H28" s="45" t="str">
        <f>IF(SUMPRODUCT(--(NOT(ISERR(SEARCH({"T","Ba"},'CDR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x14ac:dyDescent="0.3">
      <c r="A29" s="1"/>
      <c r="B29" s="34" t="str">
        <f>IF(SUMPRODUCT(--(NOT(ISERR(SEARCH({"T","Ba"},'CDR Project Planner'!$C30))))),'CDR Project Planner'!B30,"")</f>
        <v/>
      </c>
      <c r="C29" s="35" t="str">
        <f>IF(SUMPRODUCT(--(NOT(ISERR(SEARCH({"T","Ba"},'CDR Project Planner'!$C30))))),'CDR Project Planner'!C30,"")</f>
        <v/>
      </c>
      <c r="D29" s="35" t="str">
        <f>IF(SUMPRODUCT(--(NOT(ISERR(SEARCH({"T","Ba"},'CDR Project Planner'!$C30))))),'CDR Project Planner'!D30,"")</f>
        <v/>
      </c>
      <c r="E29" s="35" t="str">
        <f>IF(SUMPRODUCT(--(NOT(ISERR(SEARCH({"T","Ba"},'CDR Project Planner'!$C30))))),'CDR Project Planner'!E30,"")</f>
        <v/>
      </c>
      <c r="F29" s="35" t="str">
        <f>IF(SUMPRODUCT(--(NOT(ISERR(SEARCH({"T","Ba"},'CDR Project Planner'!$C30))))),'CDR Project Planner'!F30,"")</f>
        <v/>
      </c>
      <c r="G29" s="35" t="str">
        <f>IF(SUMPRODUCT(--(NOT(ISERR(SEARCH({"T","Ba"},'CDR Project Planner'!$C30))))),'CDR Project Planner'!G30,"")</f>
        <v/>
      </c>
      <c r="H29" s="45" t="str">
        <f>IF(SUMPRODUCT(--(NOT(ISERR(SEARCH({"T","Ba"},'CDR Project Planner'!$C30))))),'CDR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41" t="str">
        <f>IF(SUMPRODUCT(--(NOT(ISERR(SEARCH({"T","Ba"},'CDR Project Planner'!$C35))))),'CDR Project Planner'!B35,"")</f>
        <v>Project Management</v>
      </c>
      <c r="C30" s="35" t="str">
        <f>IF(SUMPRODUCT(--(NOT(ISERR(SEARCH({"T","Ba"},'CDR Project Planner'!$C35))))),'CDR Project Planner'!C35,"")</f>
        <v>An &amp; T &amp; ?</v>
      </c>
      <c r="D30" s="35"/>
      <c r="E30" s="35"/>
      <c r="F30" s="35"/>
      <c r="G30" s="35"/>
      <c r="H30" s="40">
        <f>IF(SUMPRODUCT(--(NOT(ISERR(SEARCH({"T","Ba"},'CDR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4" t="str">
        <f>IF(SUMPRODUCT(--(NOT(ISERR(SEARCH({"T","Ba"},'CDR Project Planner'!$C36))))),'CDR Project Planner'!B36,"")</f>
        <v/>
      </c>
      <c r="C31" s="35" t="str">
        <f>IF(SUMPRODUCT(--(NOT(ISERR(SEARCH({"T","Ba"},'CDR Project Planner'!$C36))))),'CDR Project Planner'!C36,"")</f>
        <v/>
      </c>
      <c r="D31" s="35" t="str">
        <f>IF(SUMPRODUCT(--(NOT(ISERR(SEARCH({"T","Ba"},'CDR Project Planner'!$C36))))),'CDR Project Planner'!D36,"")</f>
        <v/>
      </c>
      <c r="E31" s="35" t="str">
        <f>IF(SUMPRODUCT(--(NOT(ISERR(SEARCH({"T","Ba"},'CDR Project Planner'!$C36))))),'CDR Project Planner'!E36,"")</f>
        <v/>
      </c>
      <c r="F31" s="35" t="str">
        <f>IF(SUMPRODUCT(--(NOT(ISERR(SEARCH({"T","Ba"},'CDR Project Planner'!$C36))))),'CDR Project Planner'!F36,"")</f>
        <v/>
      </c>
      <c r="G31" s="35" t="str">
        <f>IF(SUMPRODUCT(--(NOT(ISERR(SEARCH({"T","Ba"},'CDR Project Planner'!$C36))))),'CDR Project Planner'!G36,"")</f>
        <v/>
      </c>
      <c r="H31" s="40" t="str">
        <f>IF(SUMPRODUCT(--(NOT(ISERR(SEARCH({"T","Ba"},'CDR Project Planner'!$C36))))),'CDR Project Planner'!H36,"")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4" t="str">
        <f>IF(SUMPRODUCT(--(NOT(ISERR(SEARCH({"T","Ba"},'CDR Project Planner'!$C37))))),'CDR Project Planner'!B37,"")</f>
        <v/>
      </c>
      <c r="C32" s="35" t="str">
        <f>IF(SUMPRODUCT(--(NOT(ISERR(SEARCH({"T","Ba"},'CDR Project Planner'!$C37))))),'CDR Project Planner'!C37,"")</f>
        <v/>
      </c>
      <c r="D32" s="35" t="str">
        <f>IF(SUMPRODUCT(--(NOT(ISERR(SEARCH({"T","Ba"},'CDR Project Planner'!$C37))))),'CDR Project Planner'!D37,"")</f>
        <v/>
      </c>
      <c r="E32" s="35" t="str">
        <f>IF(SUMPRODUCT(--(NOT(ISERR(SEARCH({"T","Ba"},'CDR Project Planner'!$C37))))),'CDR Project Planner'!E37,"")</f>
        <v/>
      </c>
      <c r="F32" s="35" t="str">
        <f>IF(SUMPRODUCT(--(NOT(ISERR(SEARCH({"T","Ba"},'CDR Project Planner'!$C37))))),'CDR Project Planner'!F37,"")</f>
        <v/>
      </c>
      <c r="G32" s="35" t="str">
        <f>IF(SUMPRODUCT(--(NOT(ISERR(SEARCH({"T","Ba"},'CDR Project Planner'!$C37))))),'CDR Project Planner'!G37,"")</f>
        <v/>
      </c>
      <c r="H32" s="40" t="str">
        <f>IF(SUMPRODUCT(--(NOT(ISERR(SEARCH({"T","Ba"},'CDR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4" t="str">
        <f>IF(SUMPRODUCT(--(NOT(ISERR(SEARCH({"T","Ba"},'CDR Project Planner'!$C38))))),'CDR Project Planner'!B38,"")</f>
        <v/>
      </c>
      <c r="C33" s="35" t="str">
        <f>IF(SUMPRODUCT(--(NOT(ISERR(SEARCH({"T","Ba"},'CDR Project Planner'!$C38))))),'CDR Project Planner'!C38,"")</f>
        <v/>
      </c>
      <c r="D33" s="35" t="str">
        <f>IF(SUMPRODUCT(--(NOT(ISERR(SEARCH({"T","Ba"},'CDR Project Planner'!$C38))))),'CDR Project Planner'!D38,"")</f>
        <v/>
      </c>
      <c r="E33" s="35" t="str">
        <f>IF(SUMPRODUCT(--(NOT(ISERR(SEARCH({"T","Ba"},'CDR Project Planner'!$C38))))),'CDR Project Planner'!E38,"")</f>
        <v/>
      </c>
      <c r="F33" s="35" t="str">
        <f>IF(SUMPRODUCT(--(NOT(ISERR(SEARCH({"T","Ba"},'CDR Project Planner'!$C38))))),'CDR Project Planner'!F38,"")</f>
        <v/>
      </c>
      <c r="G33" s="35" t="str">
        <f>IF(SUMPRODUCT(--(NOT(ISERR(SEARCH({"T","Ba"},'CDR Project Planner'!$C38))))),'CDR Project Planner'!G38,"")</f>
        <v/>
      </c>
      <c r="H33" s="40" t="str">
        <f>IF(SUMPRODUCT(--(NOT(ISERR(SEARCH({"T","Ba"},'CDR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4" t="str">
        <f>IF(SUMPRODUCT(--(NOT(ISERR(SEARCH({"T","Ba"},'CDR Project Planner'!$C39))))),'CDR Project Planner'!B39,"")</f>
        <v/>
      </c>
      <c r="C34" s="35" t="str">
        <f>IF(SUMPRODUCT(--(NOT(ISERR(SEARCH({"T","Ba"},'CDR Project Planner'!$C39))))),'CDR Project Planner'!C39,"")</f>
        <v/>
      </c>
      <c r="D34" s="35" t="str">
        <f>IF(SUMPRODUCT(--(NOT(ISERR(SEARCH({"T","Ba"},'CDR Project Planner'!$C39))))),'CDR Project Planner'!D39,"")</f>
        <v/>
      </c>
      <c r="E34" s="35" t="str">
        <f>IF(SUMPRODUCT(--(NOT(ISERR(SEARCH({"T","Ba"},'CDR Project Planner'!$C39))))),'CDR Project Planner'!E39,"")</f>
        <v/>
      </c>
      <c r="F34" s="35" t="str">
        <f>IF(SUMPRODUCT(--(NOT(ISERR(SEARCH({"T","Ba"},'CDR Project Planner'!$C39))))),'CDR Project Planner'!F39,"")</f>
        <v/>
      </c>
      <c r="G34" s="35" t="str">
        <f>IF(SUMPRODUCT(--(NOT(ISERR(SEARCH({"T","Ba"},'CDR Project Planner'!$C39))))),'CDR Project Planner'!G39,"")</f>
        <v/>
      </c>
      <c r="H34" s="40" t="str">
        <f>IF(SUMPRODUCT(--(NOT(ISERR(SEARCH({"T","Ba"},'CDR Project Planner'!$C39))))),'CDR Project Planner'!H39,"")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2" t="str">
        <f>IF(SUMPRODUCT(--(NOT(ISERR(SEARCH({"T","Ba"},'CDR Project Planner'!$C40))))),'CDR Project Planner'!B40,"")</f>
        <v>CDR PowerPoint</v>
      </c>
      <c r="C35" s="35" t="str">
        <f>IF(SUMPRODUCT(--(NOT(ISERR(SEARCH({"T","Ba"},'CDR Project Planner'!$C40))))),'CDR Project Planner'!C40,"")</f>
        <v>T</v>
      </c>
      <c r="D35" s="35">
        <f>IF(SUMPRODUCT(--(NOT(ISERR(SEARCH({"T","Ba"},'CDR Project Planner'!$C40))))),'CDR Project Planner'!D40,"")</f>
        <v>45</v>
      </c>
      <c r="E35" s="35">
        <f>IF(SUMPRODUCT(--(NOT(ISERR(SEARCH({"T","Ba"},'CDR Project Planner'!$C40))))),'CDR Project Planner'!E40,"")</f>
        <v>10</v>
      </c>
      <c r="F35" s="35">
        <f>IF(SUMPRODUCT(--(NOT(ISERR(SEARCH({"T","Ba"},'CDR Project Planner'!$C40))))),'CDR Project Planner'!F40,"")</f>
        <v>0</v>
      </c>
      <c r="G35" s="35">
        <f>IF(SUMPRODUCT(--(NOT(ISERR(SEARCH({"T","Ba"},'CDR Project Planner'!$C40))))),'CDR Project Planner'!G40,"")</f>
        <v>0</v>
      </c>
      <c r="H35" s="40">
        <f>IF(SUMPRODUCT(--(NOT(ISERR(SEARCH({"T","Ba"},'CDR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8" t="str">
        <f>IF(SUMPRODUCT(--(NOT(ISERR(SEARCH({"T","Ba"},'CDR Project Planner'!$C41))))),'CDR Project Planner'!B41,"")</f>
        <v>CDR</v>
      </c>
      <c r="C36" s="39" t="str">
        <f>IF(SUMPRODUCT(--(NOT(ISERR(SEARCH({"T","Ba"},'CDR Project Planner'!$C41))))),'CDR Project Planner'!C41,"")</f>
        <v>T</v>
      </c>
      <c r="D36" s="39">
        <f>IF(SUMPRODUCT(--(NOT(ISERR(SEARCH({"T","Ba"},'CDR Project Planner'!$C41))))),'CDR Project Planner'!D41,"")</f>
        <v>55</v>
      </c>
      <c r="E36" s="39">
        <f>IF(SUMPRODUCT(--(NOT(ISERR(SEARCH({"T","Ba"},'CDR Project Planner'!$C41))))),'CDR Project Planner'!E41,"")</f>
        <v>1</v>
      </c>
      <c r="F36" s="39">
        <f>IF(SUMPRODUCT(--(NOT(ISERR(SEARCH({"T","Ba"},'CDR Project Planner'!$C41))))),'CDR Project Planner'!F41,"")</f>
        <v>55</v>
      </c>
      <c r="G36" s="39">
        <f>IF(SUMPRODUCT(--(NOT(ISERR(SEARCH({"T","Ba"},'CDR Project Planner'!$C41))))),'CDR Project Planner'!G41,"")</f>
        <v>1</v>
      </c>
      <c r="H36" s="40">
        <f>IF(SUMPRODUCT(--(NOT(ISERR(SEARCH({"T","Ba"},'CDR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4" t="str">
        <f>IF(SUMPRODUCT(--(NOT(ISERR(SEARCH({"T","Ba"},'CDR Project Planner'!$C42))))),'CDR Project Planner'!B42,"")</f>
        <v/>
      </c>
      <c r="C37" s="35" t="str">
        <f>IF(SUMPRODUCT(--(NOT(ISERR(SEARCH({"T","Ba"},'CDR Project Planner'!$C42))))),'CDR Project Planner'!C42,"")</f>
        <v/>
      </c>
      <c r="D37" s="35" t="str">
        <f>IF(SUMPRODUCT(--(NOT(ISERR(SEARCH({"T","Ba"},'CDR Project Planner'!$C42))))),'CDR Project Planner'!D42,"")</f>
        <v/>
      </c>
      <c r="E37" s="35" t="str">
        <f>IF(SUMPRODUCT(--(NOT(ISERR(SEARCH({"T","Ba"},'CDR Project Planner'!$C42))))),'CDR Project Planner'!E42,"")</f>
        <v/>
      </c>
      <c r="F37" s="35" t="str">
        <f>IF(SUMPRODUCT(--(NOT(ISERR(SEARCH({"T","Ba"},'CDR Project Planner'!$C42))))),'CDR Project Planner'!F42,"")</f>
        <v/>
      </c>
      <c r="G37" s="35" t="str">
        <f>IF(SUMPRODUCT(--(NOT(ISERR(SEARCH({"T","Ba"},'CDR Project Planner'!$C42))))),'CDR Project Planner'!G42,"")</f>
        <v/>
      </c>
      <c r="H37" s="40" t="str">
        <f>IF(SUMPRODUCT(--(NOT(ISERR(SEARCH({"T","Ba"},'CDR Project Planner'!$C42))))),'CDR Project Planner'!H42,"")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4" t="str">
        <f>IF(SUMPRODUCT(--(NOT(ISERR(SEARCH({"T","Ba"},'CDR Project Planner'!$C43))))),'CDR Project Planner'!B43,"")</f>
        <v/>
      </c>
      <c r="C38" s="35" t="str">
        <f>IF(SUMPRODUCT(--(NOT(ISERR(SEARCH({"T","Ba"},'CDR Project Planner'!$C43))))),'CDR Project Planner'!C43,"")</f>
        <v/>
      </c>
      <c r="D38" s="35" t="str">
        <f>IF(SUMPRODUCT(--(NOT(ISERR(SEARCH({"T","Ba"},'CDR Project Planner'!$C43))))),'CDR Project Planner'!D43,"")</f>
        <v/>
      </c>
      <c r="E38" s="35" t="str">
        <f>IF(SUMPRODUCT(--(NOT(ISERR(SEARCH({"T","Ba"},'CDR Project Planner'!$C43))))),'CDR Project Planner'!E43,"")</f>
        <v/>
      </c>
      <c r="F38" s="35" t="str">
        <f>IF(SUMPRODUCT(--(NOT(ISERR(SEARCH({"T","Ba"},'CDR Project Planner'!$C43))))),'CDR Project Planner'!F43,"")</f>
        <v/>
      </c>
      <c r="G38" s="35" t="str">
        <f>IF(SUMPRODUCT(--(NOT(ISERR(SEARCH({"T","Ba"},'CDR Project Planner'!$C43))))),'CDR Project Planner'!G43,"")</f>
        <v/>
      </c>
      <c r="H38" s="40" t="str">
        <f>IF(SUMPRODUCT(--(NOT(ISERR(SEARCH({"T","Ba"},'CDR Project Planner'!$C43))))),'CDR Project Planner'!H43,"")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4" t="str">
        <f>IF(SUMPRODUCT(--(NOT(ISERR(SEARCH({"T","Ba"},'CDR Project Planner'!$C44))))),'CDR Project Planner'!B44,"")</f>
        <v/>
      </c>
      <c r="C39" s="35" t="str">
        <f>IF(SUMPRODUCT(--(NOT(ISERR(SEARCH({"T","Ba"},'CDR Project Planner'!$C44))))),'CDR Project Planner'!C44,"")</f>
        <v/>
      </c>
      <c r="D39" s="35" t="str">
        <f>IF(SUMPRODUCT(--(NOT(ISERR(SEARCH({"T","Ba"},'CDR Project Planner'!$C44))))),'CDR Project Planner'!D44,"")</f>
        <v/>
      </c>
      <c r="E39" s="35" t="str">
        <f>IF(SUMPRODUCT(--(NOT(ISERR(SEARCH({"T","Ba"},'CDR Project Planner'!$C44))))),'CDR Project Planner'!E44,"")</f>
        <v/>
      </c>
      <c r="F39" s="35" t="str">
        <f>IF(SUMPRODUCT(--(NOT(ISERR(SEARCH({"T","Ba"},'CDR Project Planner'!$C44))))),'CDR Project Planner'!F44,"")</f>
        <v/>
      </c>
      <c r="G39" s="35" t="str">
        <f>IF(SUMPRODUCT(--(NOT(ISERR(SEARCH({"T","Ba"},'CDR Project Planner'!$C44))))),'CDR Project Planner'!G44,"")</f>
        <v/>
      </c>
      <c r="H39" s="40" t="str">
        <f>IF(SUMPRODUCT(--(NOT(ISERR(SEARCH({"T","Ba"},'CDR Project Planner'!$C44))))),'CDR Project Planner'!H44,"")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4" t="str">
        <f>IF(SUMPRODUCT(--(NOT(ISERR(SEARCH({"T","Ba"},'CDR Project Planner'!$C45))))),'CDR Project Planner'!B45,"")</f>
        <v/>
      </c>
      <c r="C40" s="35" t="str">
        <f>IF(SUMPRODUCT(--(NOT(ISERR(SEARCH({"T","Ba"},'CDR Project Planner'!$C45))))),'CDR Project Planner'!C45,"")</f>
        <v/>
      </c>
      <c r="D40" s="35" t="str">
        <f>IF(SUMPRODUCT(--(NOT(ISERR(SEARCH({"T","Ba"},'CDR Project Planner'!$C45))))),'CDR Project Planner'!D45,"")</f>
        <v/>
      </c>
      <c r="E40" s="35" t="str">
        <f>IF(SUMPRODUCT(--(NOT(ISERR(SEARCH({"T","Ba"},'CDR Project Planner'!$C45))))),'CDR Project Planner'!E45,"")</f>
        <v/>
      </c>
      <c r="F40" s="35" t="str">
        <f>IF(SUMPRODUCT(--(NOT(ISERR(SEARCH({"T","Ba"},'CDR Project Planner'!$C45))))),'CDR Project Planner'!F45,"")</f>
        <v/>
      </c>
      <c r="G40" s="35" t="str">
        <f>IF(SUMPRODUCT(--(NOT(ISERR(SEARCH({"T","Ba"},'CDR Project Planner'!$C45))))),'CDR Project Planner'!G45,"")</f>
        <v/>
      </c>
      <c r="H40" s="40" t="str">
        <f>IF(SUMPRODUCT(--(NOT(ISERR(SEARCH({"T","Ba"},'CDR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4" t="str">
        <f>IF(SUMPRODUCT(--(NOT(ISERR(SEARCH({"T","Ba"},'CDR Project Planner'!$C46))))),'CDR Project Planner'!B46,"")</f>
        <v/>
      </c>
      <c r="C41" s="35" t="str">
        <f>IF(SUMPRODUCT(--(NOT(ISERR(SEARCH({"T","Ba"},'CDR Project Planner'!$C46))))),'CDR Project Planner'!C46,"")</f>
        <v/>
      </c>
      <c r="D41" s="35" t="str">
        <f>IF(SUMPRODUCT(--(NOT(ISERR(SEARCH({"T","Ba"},'CDR Project Planner'!$C46))))),'CDR Project Planner'!D46,"")</f>
        <v/>
      </c>
      <c r="E41" s="35" t="str">
        <f>IF(SUMPRODUCT(--(NOT(ISERR(SEARCH({"T","Ba"},'CDR Project Planner'!$C46))))),'CDR Project Planner'!E46,"")</f>
        <v/>
      </c>
      <c r="F41" s="35" t="str">
        <f>IF(SUMPRODUCT(--(NOT(ISERR(SEARCH({"T","Ba"},'CDR Project Planner'!$C46))))),'CDR Project Planner'!F46,"")</f>
        <v/>
      </c>
      <c r="G41" s="35" t="str">
        <f>IF(SUMPRODUCT(--(NOT(ISERR(SEARCH({"T","Ba"},'CDR Project Planner'!$C46))))),'CDR Project Planner'!G46,"")</f>
        <v/>
      </c>
      <c r="H41" s="40" t="str">
        <f>IF(SUMPRODUCT(--(NOT(ISERR(SEARCH({"T","Ba"},'CDR Project Planner'!$C46))))),'CDR Project Planner'!H46,"")</f>
        <v/>
      </c>
    </row>
    <row r="42" spans="1:68" ht="30" customHeight="1" x14ac:dyDescent="0.3">
      <c r="B42" s="34" t="str">
        <f>IF(SUMPRODUCT(--(NOT(ISERR(SEARCH({"T","Ba"},'CDR Project Planner'!$C47))))),'CDR Project Planner'!B47,"")</f>
        <v/>
      </c>
      <c r="C42" s="35" t="str">
        <f>IF(SUMPRODUCT(--(NOT(ISERR(SEARCH({"T","Ba"},'CDR Project Planner'!$C47))))),'CDR Project Planner'!C47,"")</f>
        <v/>
      </c>
      <c r="D42" s="35" t="str">
        <f>IF(SUMPRODUCT(--(NOT(ISERR(SEARCH({"T","Ba"},'CDR Project Planner'!$C47))))),'CDR Project Planner'!D47,"")</f>
        <v/>
      </c>
      <c r="E42" s="35" t="str">
        <f>IF(SUMPRODUCT(--(NOT(ISERR(SEARCH({"T","Ba"},'CDR Project Planner'!$C47))))),'CDR Project Planner'!E47,"")</f>
        <v/>
      </c>
      <c r="F42" s="35" t="str">
        <f>IF(SUMPRODUCT(--(NOT(ISERR(SEARCH({"T","Ba"},'CDR Project Planner'!$C47))))),'CDR Project Planner'!F47,"")</f>
        <v/>
      </c>
      <c r="G42" s="35" t="str">
        <f>IF(SUMPRODUCT(--(NOT(ISERR(SEARCH({"T","Ba"},'CDR Project Planner'!$C47))))),'CDR Project Planner'!G47,"")</f>
        <v/>
      </c>
      <c r="H42" s="40" t="str">
        <f>IF(SUMPRODUCT(--(NOT(ISERR(SEARCH({"T","Ba"},'CDR Project Planner'!$C47))))),'CDR Project Planner'!H47,"")</f>
        <v/>
      </c>
    </row>
    <row r="43" spans="1:68" ht="30" customHeight="1" x14ac:dyDescent="0.3">
      <c r="B43" s="34" t="str">
        <f>IF(SUMPRODUCT(--(NOT(ISERR(SEARCH({"T","Ba"},'CDR Project Planner'!$C48))))),'CDR Project Planner'!B48,"")</f>
        <v/>
      </c>
      <c r="C43" s="35" t="str">
        <f>IF(SUMPRODUCT(--(NOT(ISERR(SEARCH({"T","Ba"},'CDR Project Planner'!$C48))))),'CDR Project Planner'!C48,"")</f>
        <v/>
      </c>
      <c r="D43" s="35" t="str">
        <f>IF(SUMPRODUCT(--(NOT(ISERR(SEARCH({"T","Ba"},'CDR Project Planner'!$C48))))),'CDR Project Planner'!D48,"")</f>
        <v/>
      </c>
      <c r="E43" s="35" t="str">
        <f>IF(SUMPRODUCT(--(NOT(ISERR(SEARCH({"T","Ba"},'CDR Project Planner'!$C48))))),'CDR Project Planner'!E48,"")</f>
        <v/>
      </c>
      <c r="F43" s="35" t="str">
        <f>IF(SUMPRODUCT(--(NOT(ISERR(SEARCH({"T","Ba"},'CDR Project Planner'!$C48))))),'CDR Project Planner'!F48,"")</f>
        <v/>
      </c>
      <c r="G43" s="35" t="str">
        <f>IF(SUMPRODUCT(--(NOT(ISERR(SEARCH({"T","Ba"},'CDR Project Planner'!$C48))))),'CDR Project Planner'!G48,"")</f>
        <v/>
      </c>
      <c r="H43" s="40" t="str">
        <f>IF(SUMPRODUCT(--(NOT(ISERR(SEARCH({"T","Ba"},'CDR Project Planner'!$C48))))),'CDR Project Planner'!H48,"")</f>
        <v/>
      </c>
    </row>
    <row r="44" spans="1:68" s="4" customFormat="1" ht="30" customHeight="1" x14ac:dyDescent="0.3">
      <c r="A44" s="1"/>
      <c r="B44" s="34" t="str">
        <f>IF(SUMPRODUCT(--(NOT(ISERR(SEARCH({"T","Ba"},'CDR Project Planner'!$C49))))),'CDR Project Planner'!B49,"")</f>
        <v/>
      </c>
      <c r="C44" s="35" t="str">
        <f>IF(SUMPRODUCT(--(NOT(ISERR(SEARCH({"T","Ba"},'CDR Project Planner'!$C49))))),'CDR Project Planner'!C49,"")</f>
        <v/>
      </c>
      <c r="D44" s="35" t="str">
        <f>IF(SUMPRODUCT(--(NOT(ISERR(SEARCH({"T","Ba"},'CDR Project Planner'!$C49))))),'CDR Project Planner'!D49,"")</f>
        <v/>
      </c>
      <c r="E44" s="35" t="str">
        <f>IF(SUMPRODUCT(--(NOT(ISERR(SEARCH({"T","Ba"},'CDR Project Planner'!$C49))))),'CDR Project Planner'!E49,"")</f>
        <v/>
      </c>
      <c r="F44" s="35" t="str">
        <f>IF(SUMPRODUCT(--(NOT(ISERR(SEARCH({"T","Ba"},'CDR Project Planner'!$C49))))),'CDR Project Planner'!F49,"")</f>
        <v/>
      </c>
      <c r="G44" s="35" t="str">
        <f>IF(SUMPRODUCT(--(NOT(ISERR(SEARCH({"T","Ba"},'CDR Project Planner'!$C49))))),'CDR Project Planner'!G49,"")</f>
        <v/>
      </c>
      <c r="H44" s="40" t="str">
        <f>IF(SUMPRODUCT(--(NOT(ISERR(SEARCH({"T","Ba"},'CDR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4" t="str">
        <f>IF(SUMPRODUCT(--(NOT(ISERR(SEARCH({"T","Ba"},'CDR Project Planner'!$C50))))),'CDR Project Planner'!B50,"")</f>
        <v/>
      </c>
      <c r="C45" s="35" t="str">
        <f>IF(SUMPRODUCT(--(NOT(ISERR(SEARCH({"T","Ba"},'CDR Project Planner'!$C50))))),'CDR Project Planner'!C50,"")</f>
        <v/>
      </c>
      <c r="D45" s="35" t="str">
        <f>IF(SUMPRODUCT(--(NOT(ISERR(SEARCH({"T","Ba"},'CDR Project Planner'!$C50))))),'CDR Project Planner'!D50,"")</f>
        <v/>
      </c>
      <c r="E45" s="35" t="str">
        <f>IF(SUMPRODUCT(--(NOT(ISERR(SEARCH({"T","Ba"},'CDR Project Planner'!$C50))))),'CDR Project Planner'!E50,"")</f>
        <v/>
      </c>
      <c r="F45" s="35" t="str">
        <f>IF(SUMPRODUCT(--(NOT(ISERR(SEARCH({"T","Ba"},'CDR Project Planner'!$C50))))),'CDR Project Planner'!F50,"")</f>
        <v/>
      </c>
      <c r="G45" s="35" t="str">
        <f>IF(SUMPRODUCT(--(NOT(ISERR(SEARCH({"T","Ba"},'CDR Project Planner'!$C50))))),'CDR Project Planner'!G50,"")</f>
        <v/>
      </c>
      <c r="H45" s="40" t="str">
        <f>IF(SUMPRODUCT(--(NOT(ISERR(SEARCH({"T","Ba"},'CDR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4" t="str">
        <f>IF(SUMPRODUCT(--(NOT(ISERR(SEARCH({"T","Ba"},'CDR Project Planner'!$C51))))),'CDR Project Planner'!B51,"")</f>
        <v/>
      </c>
      <c r="C46" s="35" t="str">
        <f>IF(SUMPRODUCT(--(NOT(ISERR(SEARCH({"T","Ba"},'CDR Project Planner'!$C51))))),'CDR Project Planner'!C51,"")</f>
        <v/>
      </c>
      <c r="D46" s="35" t="str">
        <f>IF(SUMPRODUCT(--(NOT(ISERR(SEARCH({"T","Ba"},'CDR Project Planner'!$C51))))),'CDR Project Planner'!D51,"")</f>
        <v/>
      </c>
      <c r="E46" s="35" t="str">
        <f>IF(SUMPRODUCT(--(NOT(ISERR(SEARCH({"T","Ba"},'CDR Project Planner'!$C51))))),'CDR Project Planner'!E51,"")</f>
        <v/>
      </c>
      <c r="F46" s="35" t="str">
        <f>IF(SUMPRODUCT(--(NOT(ISERR(SEARCH({"T","Ba"},'CDR Project Planner'!$C51))))),'CDR Project Planner'!F51,"")</f>
        <v/>
      </c>
      <c r="G46" s="35" t="str">
        <f>IF(SUMPRODUCT(--(NOT(ISERR(SEARCH({"T","Ba"},'CDR Project Planner'!$C51))))),'CDR Project Planner'!G51,"")</f>
        <v/>
      </c>
      <c r="H46" s="40" t="str">
        <f>IF(SUMPRODUCT(--(NOT(ISERR(SEARCH({"T","Ba"},'CDR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4" t="str">
        <f>IF(SUMPRODUCT(--(NOT(ISERR(SEARCH({"T","Ba"},'CDR Project Planner'!$C52))))),'CDR Project Planner'!B52,"")</f>
        <v/>
      </c>
      <c r="C47" s="35" t="str">
        <f>IF(SUMPRODUCT(--(NOT(ISERR(SEARCH({"T","Ba"},'CDR Project Planner'!$C52))))),'CDR Project Planner'!C52,"")</f>
        <v/>
      </c>
      <c r="D47" s="35" t="str">
        <f>IF(SUMPRODUCT(--(NOT(ISERR(SEARCH({"T","Ba"},'CDR Project Planner'!$C52))))),'CDR Project Planner'!D52,"")</f>
        <v/>
      </c>
      <c r="E47" s="35" t="str">
        <f>IF(SUMPRODUCT(--(NOT(ISERR(SEARCH({"T","Ba"},'CDR Project Planner'!$C52))))),'CDR Project Planner'!E52,"")</f>
        <v/>
      </c>
      <c r="F47" s="35" t="str">
        <f>IF(SUMPRODUCT(--(NOT(ISERR(SEARCH({"T","Ba"},'CDR Project Planner'!$C52))))),'CDR Project Planner'!F52,"")</f>
        <v/>
      </c>
      <c r="G47" s="35" t="str">
        <f>IF(SUMPRODUCT(--(NOT(ISERR(SEARCH({"T","Ba"},'CDR Project Planner'!$C52))))),'CDR Project Planner'!G52,"")</f>
        <v/>
      </c>
      <c r="H47" s="40" t="str">
        <f>IF(SUMPRODUCT(--(NOT(ISERR(SEARCH({"T","Ba"},'CDR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4" t="str">
        <f>IF(SUMPRODUCT(--(NOT(ISERR(SEARCH({"T","Ba"},'CDR Project Planner'!$C53))))),'CDR Project Planner'!B53,"")</f>
        <v/>
      </c>
      <c r="C48" s="35" t="str">
        <f>IF(SUMPRODUCT(--(NOT(ISERR(SEARCH({"T","Ba"},'CDR Project Planner'!$C53))))),'CDR Project Planner'!C53,"")</f>
        <v/>
      </c>
      <c r="D48" s="35" t="str">
        <f>IF(SUMPRODUCT(--(NOT(ISERR(SEARCH({"T","Ba"},'CDR Project Planner'!$C53))))),'CDR Project Planner'!D53,"")</f>
        <v/>
      </c>
      <c r="E48" s="35" t="str">
        <f>IF(SUMPRODUCT(--(NOT(ISERR(SEARCH({"T","Ba"},'CDR Project Planner'!$C53))))),'CDR Project Planner'!E53,"")</f>
        <v/>
      </c>
      <c r="F48" s="35" t="str">
        <f>IF(SUMPRODUCT(--(NOT(ISERR(SEARCH({"T","Ba"},'CDR Project Planner'!$C53))))),'CDR Project Planner'!F53,"")</f>
        <v/>
      </c>
      <c r="G48" s="35" t="str">
        <f>IF(SUMPRODUCT(--(NOT(ISERR(SEARCH({"T","Ba"},'CDR Project Planner'!$C53))))),'CDR Project Planner'!G53,"")</f>
        <v/>
      </c>
      <c r="H48" s="40" t="str">
        <f>IF(SUMPRODUCT(--(NOT(ISERR(SEARCH({"T","Ba"},'CDR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4" t="str">
        <f>IF(SUMPRODUCT(--(NOT(ISERR(SEARCH({"T","Ba"},'CDR Project Planner'!$C54))))),'CDR Project Planner'!B54,"")</f>
        <v/>
      </c>
      <c r="C49" s="35" t="str">
        <f>IF(SUMPRODUCT(--(NOT(ISERR(SEARCH({"T","Ba"},'CDR Project Planner'!$C54))))),'CDR Project Planner'!C54,"")</f>
        <v/>
      </c>
      <c r="D49" s="35" t="str">
        <f>IF(SUMPRODUCT(--(NOT(ISERR(SEARCH({"T","Ba"},'CDR Project Planner'!$C54))))),'CDR Project Planner'!D54,"")</f>
        <v/>
      </c>
      <c r="E49" s="35" t="str">
        <f>IF(SUMPRODUCT(--(NOT(ISERR(SEARCH({"T","Ba"},'CDR Project Planner'!$C54))))),'CDR Project Planner'!E54,"")</f>
        <v/>
      </c>
      <c r="F49" s="35" t="str">
        <f>IF(SUMPRODUCT(--(NOT(ISERR(SEARCH({"T","Ba"},'CDR Project Planner'!$C54))))),'CDR Project Planner'!F54,"")</f>
        <v/>
      </c>
      <c r="G49" s="35" t="str">
        <f>IF(SUMPRODUCT(--(NOT(ISERR(SEARCH({"T","Ba"},'CDR Project Planner'!$C54))))),'CDR Project Planner'!G54,"")</f>
        <v/>
      </c>
      <c r="H49" s="40" t="str">
        <f>IF(SUMPRODUCT(--(NOT(ISERR(SEARCH({"T","Ba"},'CDR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6" t="str">
        <f>IF(SUMPRODUCT(--(NOT(ISERR(SEARCH({"T","Ba"},'CDR Project Planner'!$C55))))),'CDR Project Planner'!B55,"")</f>
        <v/>
      </c>
      <c r="C50" s="36" t="str">
        <f>IF(SUMPRODUCT(--(NOT(ISERR(SEARCH({"T","Ba"},'CDR Project Planner'!$C55))))),'CDR Project Planner'!C55,"")</f>
        <v/>
      </c>
      <c r="D50" s="43" t="str">
        <f>IF(SUMPRODUCT(--(NOT(ISERR(SEARCH({"T","Ba"},'CDR Project Planner'!$C55))))),'CDR Project Planner'!D55,"")</f>
        <v/>
      </c>
      <c r="E50" s="43" t="str">
        <f>IF(SUMPRODUCT(--(NOT(ISERR(SEARCH({"T","Ba"},'CDR Project Planner'!$C55))))),'CDR Project Planner'!E55,"")</f>
        <v/>
      </c>
      <c r="F50" s="43" t="str">
        <f>IF(SUMPRODUCT(--(NOT(ISERR(SEARCH({"T","Ba"},'CDR Project Planner'!$C55))))),'CDR Project Planner'!F55,"")</f>
        <v/>
      </c>
      <c r="G50" s="43" t="str">
        <f>IF(SUMPRODUCT(--(NOT(ISERR(SEARCH({"T","Ba"},'CDR Project Planner'!$C55))))),'CDR Project Planner'!G55,"")</f>
        <v/>
      </c>
      <c r="H50" s="43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6" t="str">
        <f>IF(SUMPRODUCT(--(NOT(ISERR(SEARCH({"T","Ba"},'CDR Project Planner'!$C56))))),'CDR Project Planner'!B56,"")</f>
        <v/>
      </c>
      <c r="C51" s="36" t="str">
        <f>IF(SUMPRODUCT(--(NOT(ISERR(SEARCH({"T","Ba"},'CDR Project Planner'!$C56))))),'CDR Project Planner'!C56,"")</f>
        <v/>
      </c>
      <c r="D51" s="43" t="str">
        <f>IF(SUMPRODUCT(--(NOT(ISERR(SEARCH({"T","Ba"},'CDR Project Planner'!$C56))))),'CDR Project Planner'!D56,"")</f>
        <v/>
      </c>
      <c r="E51" s="43" t="str">
        <f>IF(SUMPRODUCT(--(NOT(ISERR(SEARCH({"T","Ba"},'CDR Project Planner'!$C56))))),'CDR Project Planner'!E56,"")</f>
        <v/>
      </c>
      <c r="F51" s="43" t="str">
        <f>IF(SUMPRODUCT(--(NOT(ISERR(SEARCH({"T","Ba"},'CDR Project Planner'!$C56))))),'CDR Project Planner'!F56,"")</f>
        <v/>
      </c>
      <c r="G51" s="43" t="str">
        <f>IF(SUMPRODUCT(--(NOT(ISERR(SEARCH({"T","Ba"},'CDR Project Planner'!$C56))))),'CDR Project Planner'!G56,"")</f>
        <v/>
      </c>
      <c r="H51" s="43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6" t="str">
        <f>IF(SUMPRODUCT(--(NOT(ISERR(SEARCH({"T","Ba"},'CDR Project Planner'!$C57))))),'CDR Project Planner'!B57,"")</f>
        <v/>
      </c>
      <c r="C52" s="36" t="str">
        <f>IF(SUMPRODUCT(--(NOT(ISERR(SEARCH({"T","Ba"},'CDR Project Planner'!$C57))))),'CDR Project Planner'!C57,"")</f>
        <v/>
      </c>
      <c r="D52" s="43" t="str">
        <f>IF(SUMPRODUCT(--(NOT(ISERR(SEARCH({"T","Ba"},'CDR Project Planner'!$C57))))),'CDR Project Planner'!D57,"")</f>
        <v/>
      </c>
      <c r="E52" s="43" t="str">
        <f>IF(SUMPRODUCT(--(NOT(ISERR(SEARCH({"T","Ba"},'CDR Project Planner'!$C57))))),'CDR Project Planner'!E57,"")</f>
        <v/>
      </c>
      <c r="F52" s="43" t="str">
        <f>IF(SUMPRODUCT(--(NOT(ISERR(SEARCH({"T","Ba"},'CDR Project Planner'!$C57))))),'CDR Project Planner'!F57,"")</f>
        <v/>
      </c>
      <c r="G52" s="43" t="str">
        <f>IF(SUMPRODUCT(--(NOT(ISERR(SEARCH({"T","Ba"},'CDR Project Planner'!$C57))))),'CDR Project Planner'!G57,"")</f>
        <v/>
      </c>
      <c r="H52" s="43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27:BP27 I43:BP43 I46:BP46 I49:BP49 I7:BP15 I30:BP37">
    <cfRule type="expression" dxfId="378" priority="2">
      <formula>PercentComplete</formula>
    </cfRule>
    <cfRule type="expression" dxfId="377" priority="3">
      <formula>PercentCompleteBeyond</formula>
    </cfRule>
    <cfRule type="expression" dxfId="376" priority="4">
      <formula>Actual</formula>
    </cfRule>
    <cfRule type="expression" dxfId="375" priority="5">
      <formula>ActualBeyond</formula>
    </cfRule>
    <cfRule type="expression" dxfId="374" priority="6">
      <formula>Plan</formula>
    </cfRule>
    <cfRule type="expression" dxfId="373" priority="7">
      <formula>I$4=period_selected</formula>
    </cfRule>
    <cfRule type="expression" dxfId="372" priority="8">
      <formula>MOD(COLUMN(),2)</formula>
    </cfRule>
    <cfRule type="expression" dxfId="371" priority="9">
      <formula>MOD(COLUMN(),2)=0</formula>
    </cfRule>
  </conditionalFormatting>
  <conditionalFormatting sqref="I4:BP4">
    <cfRule type="expression" dxfId="370" priority="10">
      <formula>I$4=period_selected</formula>
    </cfRule>
  </conditionalFormatting>
  <conditionalFormatting sqref="I5:BP6 I39:BP39 I21:BP26 I28:BP29 I42:BP42 I45:BP45 I48:BP48">
    <cfRule type="expression" dxfId="369" priority="11">
      <formula>PercentComplete</formula>
    </cfRule>
    <cfRule type="expression" dxfId="368" priority="12">
      <formula>PercentCompleteBeyond</formula>
    </cfRule>
    <cfRule type="expression" dxfId="367" priority="13">
      <formula>Actual</formula>
    </cfRule>
    <cfRule type="expression" dxfId="366" priority="14">
      <formula>ActualBeyond</formula>
    </cfRule>
    <cfRule type="expression" dxfId="365" priority="15">
      <formula>Plan</formula>
    </cfRule>
    <cfRule type="expression" dxfId="364" priority="16">
      <formula>I$4=period_selected</formula>
    </cfRule>
    <cfRule type="expression" dxfId="363" priority="17">
      <formula>MOD(COLUMN(),2)</formula>
    </cfRule>
    <cfRule type="expression" dxfId="362" priority="18">
      <formula>MOD(COLUMN(),2)=0</formula>
    </cfRule>
  </conditionalFormatting>
  <conditionalFormatting sqref="I38:BP38 I41:BP41 I44:BP44 I47:BP47">
    <cfRule type="expression" dxfId="361" priority="19">
      <formula>PercentComplete</formula>
    </cfRule>
    <cfRule type="expression" dxfId="360" priority="20">
      <formula>PercentCompleteBeyond</formula>
    </cfRule>
    <cfRule type="expression" dxfId="359" priority="21">
      <formula>Actual</formula>
    </cfRule>
    <cfRule type="expression" dxfId="358" priority="22">
      <formula>ActualBeyond</formula>
    </cfRule>
    <cfRule type="expression" dxfId="357" priority="23">
      <formula>Plan</formula>
    </cfRule>
    <cfRule type="expression" dxfId="356" priority="24">
      <formula>I$4=period_selected</formula>
    </cfRule>
    <cfRule type="expression" dxfId="355" priority="25">
      <formula>MOD(COLUMN(),2)</formula>
    </cfRule>
    <cfRule type="expression" dxfId="354" priority="26">
      <formula>MOD(COLUMN(),2)=0</formula>
    </cfRule>
  </conditionalFormatting>
  <conditionalFormatting sqref="I20:BP20">
    <cfRule type="expression" dxfId="353" priority="27">
      <formula>PercentComplete</formula>
    </cfRule>
    <cfRule type="expression" dxfId="352" priority="28">
      <formula>PercentCompleteBeyond</formula>
    </cfRule>
    <cfRule type="expression" dxfId="351" priority="29">
      <formula>Actual</formula>
    </cfRule>
    <cfRule type="expression" dxfId="350" priority="30">
      <formula>ActualBeyond</formula>
    </cfRule>
    <cfRule type="expression" dxfId="349" priority="31">
      <formula>Plan</formula>
    </cfRule>
    <cfRule type="expression" dxfId="348" priority="32">
      <formula>I$4=period_selected</formula>
    </cfRule>
    <cfRule type="expression" dxfId="347" priority="33">
      <formula>MOD(COLUMN(),2)</formula>
    </cfRule>
    <cfRule type="expression" dxfId="346" priority="34">
      <formula>MOD(COLUMN(),2)=0</formula>
    </cfRule>
  </conditionalFormatting>
  <conditionalFormatting sqref="I16:BP16 I18:BP19">
    <cfRule type="expression" dxfId="345" priority="35">
      <formula>PercentComplete</formula>
    </cfRule>
    <cfRule type="expression" dxfId="344" priority="36">
      <formula>PercentCompleteBeyond</formula>
    </cfRule>
    <cfRule type="expression" dxfId="343" priority="37">
      <formula>Actual</formula>
    </cfRule>
    <cfRule type="expression" dxfId="342" priority="38">
      <formula>ActualBeyond</formula>
    </cfRule>
    <cfRule type="expression" dxfId="341" priority="39">
      <formula>Plan</formula>
    </cfRule>
    <cfRule type="expression" dxfId="340" priority="40">
      <formula>I$4=period_selected</formula>
    </cfRule>
    <cfRule type="expression" dxfId="339" priority="41">
      <formula>MOD(COLUMN(),2)</formula>
    </cfRule>
    <cfRule type="expression" dxfId="338" priority="42">
      <formula>MOD(COLUMN(),2)=0</formula>
    </cfRule>
  </conditionalFormatting>
  <conditionalFormatting sqref="I17:BP17">
    <cfRule type="expression" dxfId="337" priority="43">
      <formula>PercentComplete</formula>
    </cfRule>
    <cfRule type="expression" dxfId="336" priority="44">
      <formula>PercentCompleteBeyond</formula>
    </cfRule>
    <cfRule type="expression" dxfId="335" priority="45">
      <formula>Actual</formula>
    </cfRule>
    <cfRule type="expression" dxfId="334" priority="46">
      <formula>ActualBeyond</formula>
    </cfRule>
    <cfRule type="expression" dxfId="333" priority="47">
      <formula>Plan</formula>
    </cfRule>
    <cfRule type="expression" dxfId="332" priority="48">
      <formula>I$4=period_selected</formula>
    </cfRule>
    <cfRule type="expression" dxfId="331" priority="49">
      <formula>MOD(COLUMN(),2)</formula>
    </cfRule>
    <cfRule type="expression" dxfId="330" priority="50">
      <formula>MOD(COLUMN(),2)=0</formula>
    </cfRule>
  </conditionalFormatting>
  <conditionalFormatting sqref="H53:H56">
    <cfRule type="cellIs" dxfId="329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328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58</v>
      </c>
      <c r="C1" s="7"/>
      <c r="D1" s="8"/>
      <c r="E1" s="8"/>
      <c r="F1" s="8"/>
      <c r="G1" s="8"/>
      <c r="H1" s="8"/>
    </row>
    <row r="2" spans="1:68" ht="21" customHeight="1" x14ac:dyDescent="0.3">
      <c r="B2" s="201">
        <f ca="1">NOW()</f>
        <v>43192.990386921294</v>
      </c>
      <c r="C2" s="201"/>
      <c r="D2" s="201"/>
      <c r="E2" s="201"/>
      <c r="F2" s="201"/>
      <c r="G2" s="201"/>
      <c r="H2" s="9" t="s">
        <v>1</v>
      </c>
      <c r="I2" s="10">
        <f ca="1">DAY(NOW())+31</f>
        <v>33</v>
      </c>
      <c r="K2" s="11"/>
      <c r="L2" s="202" t="s">
        <v>2</v>
      </c>
      <c r="M2" s="202"/>
      <c r="N2" s="202"/>
      <c r="O2" s="202"/>
      <c r="P2" s="202"/>
      <c r="Q2" s="12"/>
      <c r="R2" s="202" t="s">
        <v>3</v>
      </c>
      <c r="S2" s="202"/>
      <c r="T2" s="202"/>
      <c r="U2" s="202"/>
      <c r="V2" s="13"/>
      <c r="W2" s="202" t="s">
        <v>4</v>
      </c>
      <c r="X2" s="202"/>
      <c r="Y2" s="202"/>
      <c r="Z2" s="202"/>
      <c r="AA2" s="14"/>
      <c r="AB2" s="202" t="s">
        <v>5</v>
      </c>
      <c r="AC2" s="202"/>
      <c r="AD2" s="202"/>
      <c r="AE2" s="202"/>
      <c r="AF2" s="202"/>
      <c r="AG2" s="202"/>
      <c r="AH2" s="202"/>
      <c r="AI2" s="15"/>
      <c r="AJ2" s="196" t="s">
        <v>6</v>
      </c>
      <c r="AK2" s="196"/>
      <c r="AL2" s="196"/>
      <c r="AM2" s="196"/>
      <c r="AN2" s="196"/>
      <c r="AO2" s="196"/>
      <c r="AP2" s="196"/>
      <c r="AQ2" s="196"/>
    </row>
    <row r="3" spans="1:68" s="16" customFormat="1" ht="39.9" customHeight="1" x14ac:dyDescent="0.3">
      <c r="B3" s="197" t="s">
        <v>7</v>
      </c>
      <c r="C3" s="198" t="s">
        <v>8</v>
      </c>
      <c r="D3" s="199" t="s">
        <v>9</v>
      </c>
      <c r="E3" s="199" t="s">
        <v>10</v>
      </c>
      <c r="F3" s="199" t="s">
        <v>11</v>
      </c>
      <c r="G3" s="199" t="s">
        <v>12</v>
      </c>
      <c r="H3" s="200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197"/>
      <c r="C4" s="198"/>
      <c r="D4" s="199"/>
      <c r="E4" s="199"/>
      <c r="F4" s="199"/>
      <c r="G4" s="199"/>
      <c r="H4" s="200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8" t="str">
        <f>IF(SUMPRODUCT(--(NOT(ISERR(SEARCH({"T","Br"},'CDR Project Planner'!$C5))))),'CDR Project Planner'!B5,"")</f>
        <v>PDR</v>
      </c>
      <c r="C5" s="46" t="str">
        <f>IF(SUMPRODUCT(--(NOT(ISERR(SEARCH({"T","Br"},'CDR Project Planner'!$C5))))),'CDR Project Planner'!C5,"")</f>
        <v>T</v>
      </c>
      <c r="D5" s="46">
        <f>IF(SUMPRODUCT(--(NOT(ISERR(SEARCH({"T","Br"},'CDR Project Planner'!$C5))))),'CDR Project Planner'!D5,"")</f>
        <v>22</v>
      </c>
      <c r="E5" s="46">
        <f>IF(SUMPRODUCT(--(NOT(ISERR(SEARCH({"T","Br"},'CDR Project Planner'!$C5))))),'CDR Project Planner'!E5,"")</f>
        <v>1</v>
      </c>
      <c r="F5" s="46">
        <f>IF(SUMPRODUCT(--(NOT(ISERR(SEARCH({"T","Br"},'CDR Project Planner'!$C5))))),'CDR Project Planner'!F5,"")</f>
        <v>22</v>
      </c>
      <c r="G5" s="46">
        <f>IF(SUMPRODUCT(--(NOT(ISERR(SEARCH({"T","Br"},'CDR Project Planner'!$C5))))),'CDR Project Planner'!G5,"")</f>
        <v>1</v>
      </c>
      <c r="H5" s="40">
        <f>IF(SUMPRODUCT(--(NOT(ISERR(SEARCH({"T","Br"},'CDR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5">
      <c r="B6" s="41" t="str">
        <f>IF(SUMPRODUCT(--(NOT(ISERR(SEARCH({"T","Br"},'CDR Project Planner'!$C6))))),'CDR Project Planner'!B6,"")</f>
        <v>System</v>
      </c>
      <c r="C6" s="35" t="str">
        <f>IF(SUMPRODUCT(--(NOT(ISERR(SEARCH({"T","Br"},'CDR Project Planner'!$C6))))),'CDR Project Planner'!C6,"")</f>
        <v>P &amp; Br &amp; C &amp; Ba</v>
      </c>
      <c r="D6" s="35"/>
      <c r="E6" s="35"/>
      <c r="F6" s="35"/>
      <c r="G6" s="35"/>
      <c r="H6" s="40">
        <f>IF(SUMPRODUCT(--(NOT(ISERR(SEARCH({"T","Br"},'CDR Project Planner'!$C6))))),'CDR Project Planner'!H6,"")</f>
        <v>0</v>
      </c>
    </row>
    <row r="7" spans="1:68" s="4" customFormat="1" ht="14.4" outlineLevel="1" x14ac:dyDescent="0.3">
      <c r="A7" s="1"/>
      <c r="B7" s="44" t="str">
        <f>IF(SUMPRODUCT(--(NOT(ISERR(SEARCH({"T","Br"},'CDR Project Planner'!$C7))))),'CDR Project Planner'!B7,"")</f>
        <v>Unit Tests - VHDL - PWM (Duty Cycle)</v>
      </c>
      <c r="C7" s="35" t="str">
        <f>IF(SUMPRODUCT(--(NOT(ISERR(SEARCH({"T","Br"},'CDR Project Planner'!$C7))))),'CDR Project Planner'!C7,"")</f>
        <v>P &amp; Br</v>
      </c>
      <c r="D7" s="35">
        <f>IF(SUMPRODUCT(--(NOT(ISERR(SEARCH({"T","Br"},'CDR Project Planner'!$C7))))),'CDR Project Planner'!D7,"")</f>
        <v>23</v>
      </c>
      <c r="E7" s="35">
        <f>IF(SUMPRODUCT(--(NOT(ISERR(SEARCH({"T","Br"},'CDR Project Planner'!$C7))))),'CDR Project Planner'!E7,"")</f>
        <v>1</v>
      </c>
      <c r="F7" s="35">
        <f>IF(SUMPRODUCT(--(NOT(ISERR(SEARCH({"T","Br"},'CDR Project Planner'!$C7))))),'CDR Project Planner'!F7,"")</f>
        <v>0</v>
      </c>
      <c r="G7" s="35">
        <f>IF(SUMPRODUCT(--(NOT(ISERR(SEARCH({"T","Br"},'CDR Project Planner'!$C7))))),'CDR Project Planner'!G7,"")</f>
        <v>0</v>
      </c>
      <c r="H7" s="40">
        <f>IF(SUMPRODUCT(--(NOT(ISERR(SEARCH({"T","Br"},'CDR Project Planner'!$C7))))),'CDR Project Planner'!H7,"")</f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4" t="str">
        <f>IF(SUMPRODUCT(--(NOT(ISERR(SEARCH({"T","Br"},'CDR Project Planner'!$C8))))),'CDR Project Planner'!B8,"")</f>
        <v/>
      </c>
      <c r="C8" s="35" t="str">
        <f>IF(SUMPRODUCT(--(NOT(ISERR(SEARCH({"T","Br"},'CDR Project Planner'!$C8))))),'CDR Project Planner'!C8,"")</f>
        <v/>
      </c>
      <c r="D8" s="35" t="str">
        <f>IF(SUMPRODUCT(--(NOT(ISERR(SEARCH({"T","Br"},'CDR Project Planner'!$C8))))),'CDR Project Planner'!D8,"")</f>
        <v/>
      </c>
      <c r="E8" s="35" t="str">
        <f>IF(SUMPRODUCT(--(NOT(ISERR(SEARCH({"T","Br"},'CDR Project Planner'!$C8))))),'CDR Project Planner'!E8,"")</f>
        <v/>
      </c>
      <c r="F8" s="35" t="str">
        <f>IF(SUMPRODUCT(--(NOT(ISERR(SEARCH({"T","Br"},'CDR Project Planner'!$C8))))),'CDR Project Planner'!F8,"")</f>
        <v/>
      </c>
      <c r="G8" s="35" t="str">
        <f>IF(SUMPRODUCT(--(NOT(ISERR(SEARCH({"T","Br"},'CDR Project Planner'!$C8))))),'CDR Project Planner'!G8,"")</f>
        <v/>
      </c>
      <c r="H8" s="40" t="str">
        <f>IF(SUMPRODUCT(--(NOT(ISERR(SEARCH({"T","Br"},'CDR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44" t="str">
        <f>IF(SUMPRODUCT(--(NOT(ISERR(SEARCH({"T","Br"},'CDR Project Planner'!$C9))))),'CDR Project Planner'!B9,"")</f>
        <v>Unit Tests - VHDL &amp; C - Ultrasonic Interrupts</v>
      </c>
      <c r="C9" s="35" t="str">
        <f>IF(SUMPRODUCT(--(NOT(ISERR(SEARCH({"T","Br"},'CDR Project Planner'!$C9))))),'CDR Project Planner'!C9,"")</f>
        <v>P &amp; Br</v>
      </c>
      <c r="D9" s="35">
        <f>IF(SUMPRODUCT(--(NOT(ISERR(SEARCH({"T","Br"},'CDR Project Planner'!$C9))))),'CDR Project Planner'!D9,"")</f>
        <v>23</v>
      </c>
      <c r="E9" s="35">
        <f>IF(SUMPRODUCT(--(NOT(ISERR(SEARCH({"T","Br"},'CDR Project Planner'!$C9))))),'CDR Project Planner'!E9,"")</f>
        <v>2</v>
      </c>
      <c r="F9" s="35">
        <f>IF(SUMPRODUCT(--(NOT(ISERR(SEARCH({"T","Br"},'CDR Project Planner'!$C9))))),'CDR Project Planner'!F9,"")</f>
        <v>0</v>
      </c>
      <c r="G9" s="35">
        <f>IF(SUMPRODUCT(--(NOT(ISERR(SEARCH({"T","Br"},'CDR Project Planner'!$C9))))),'CDR Project Planner'!G9,"")</f>
        <v>0</v>
      </c>
      <c r="H9" s="40">
        <f>IF(SUMPRODUCT(--(NOT(ISERR(SEARCH({"T","Br"},'CDR Project Planner'!$C9))))),'CDR Project Planner'!H9,"")</f>
        <v>0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4" t="str">
        <f>IF(SUMPRODUCT(--(NOT(ISERR(SEARCH({"T","Br"},'CDR Project Planner'!$C10))))),'CDR Project Planner'!B10,"")</f>
        <v/>
      </c>
      <c r="C10" s="35" t="str">
        <f>IF(SUMPRODUCT(--(NOT(ISERR(SEARCH({"T","Br"},'CDR Project Planner'!$C10))))),'CDR Project Planner'!C10,"")</f>
        <v/>
      </c>
      <c r="D10" s="35" t="str">
        <f>IF(SUMPRODUCT(--(NOT(ISERR(SEARCH({"T","Br"},'CDR Project Planner'!$C10))))),'CDR Project Planner'!D10,"")</f>
        <v/>
      </c>
      <c r="E10" s="35" t="str">
        <f>IF(SUMPRODUCT(--(NOT(ISERR(SEARCH({"T","Br"},'CDR Project Planner'!$C10))))),'CDR Project Planner'!E10,"")</f>
        <v/>
      </c>
      <c r="F10" s="35" t="str">
        <f>IF(SUMPRODUCT(--(NOT(ISERR(SEARCH({"T","Br"},'CDR Project Planner'!$C10))))),'CDR Project Planner'!F10,"")</f>
        <v/>
      </c>
      <c r="G10" s="35" t="str">
        <f>IF(SUMPRODUCT(--(NOT(ISERR(SEARCH({"T","Br"},'CDR Project Planner'!$C10))))),'CDR Project Planner'!G10,"")</f>
        <v/>
      </c>
      <c r="H10" s="40" t="str">
        <f>IF(SUMPRODUCT(--(NOT(ISERR(SEARCH({"T","Br"},'CDR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4" t="str">
        <f>IF(SUMPRODUCT(--(NOT(ISERR(SEARCH({"T","Br"},'CDR Project Planner'!#REF!))))),'CDR Project Planner'!#REF!,"")</f>
        <v/>
      </c>
      <c r="C11" s="35" t="str">
        <f>IF(SUMPRODUCT(--(NOT(ISERR(SEARCH({"T","Br"},'CDR Project Planner'!#REF!))))),'CDR Project Planner'!#REF!,"")</f>
        <v/>
      </c>
      <c r="D11" s="35" t="str">
        <f>IF(SUMPRODUCT(--(NOT(ISERR(SEARCH({"T","Br"},'CDR Project Planner'!#REF!))))),'CDR Project Planner'!#REF!,"")</f>
        <v/>
      </c>
      <c r="E11" s="35" t="str">
        <f>IF(SUMPRODUCT(--(NOT(ISERR(SEARCH({"T","Br"},'CDR Project Planner'!#REF!))))),'CDR Project Planner'!#REF!,"")</f>
        <v/>
      </c>
      <c r="F11" s="35" t="str">
        <f>IF(SUMPRODUCT(--(NOT(ISERR(SEARCH({"T","Br"},'CDR Project Planner'!#REF!))))),'CDR Project Planner'!#REF!,"")</f>
        <v/>
      </c>
      <c r="G11" s="35" t="str">
        <f>IF(SUMPRODUCT(--(NOT(ISERR(SEARCH({"T","Br"},'CDR Project Planner'!#REF!))))),'CDR Project Planner'!#REF!,"")</f>
        <v/>
      </c>
      <c r="H11" s="40" t="str">
        <f>IF(SUMPRODUCT(--(NOT(ISERR(SEARCH({"T","Br"},'CDR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4" t="str">
        <f>IF(SUMPRODUCT(--(NOT(ISERR(SEARCH({"T","Br"},'CDR Project Planner'!$C11))))),'CDR Project Planner'!B11,"")</f>
        <v/>
      </c>
      <c r="C12" s="35" t="str">
        <f>IF(SUMPRODUCT(--(NOT(ISERR(SEARCH({"T","Br"},'CDR Project Planner'!$C11))))),'CDR Project Planner'!C11,"")</f>
        <v/>
      </c>
      <c r="D12" s="35" t="str">
        <f>IF(SUMPRODUCT(--(NOT(ISERR(SEARCH({"T","Br"},'CDR Project Planner'!$C11))))),'CDR Project Planner'!D11,"")</f>
        <v/>
      </c>
      <c r="E12" s="35" t="str">
        <f>IF(SUMPRODUCT(--(NOT(ISERR(SEARCH({"T","Br"},'CDR Project Planner'!$C11))))),'CDR Project Planner'!E11,"")</f>
        <v/>
      </c>
      <c r="F12" s="35" t="str">
        <f>IF(SUMPRODUCT(--(NOT(ISERR(SEARCH({"T","Br"},'CDR Project Planner'!$C11))))),'CDR Project Planner'!F11,"")</f>
        <v/>
      </c>
      <c r="G12" s="35" t="str">
        <f>IF(SUMPRODUCT(--(NOT(ISERR(SEARCH({"T","Br"},'CDR Project Planner'!$C11))))),'CDR Project Planner'!G11,"")</f>
        <v/>
      </c>
      <c r="H12" s="40" t="str">
        <f>IF(SUMPRODUCT(--(NOT(ISERR(SEARCH({"T","Br"},'CDR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4" t="str">
        <f>IF(SUMPRODUCT(--(NOT(ISERR(SEARCH({"T","Br"},'CDR Project Planner'!$C14))))),'CDR Project Planner'!B14,"")</f>
        <v/>
      </c>
      <c r="C13" s="35" t="str">
        <f>IF(SUMPRODUCT(--(NOT(ISERR(SEARCH({"T","Br"},'CDR Project Planner'!$C14))))),'CDR Project Planner'!C14,"")</f>
        <v/>
      </c>
      <c r="D13" s="35" t="str">
        <f>IF(SUMPRODUCT(--(NOT(ISERR(SEARCH({"T","Br"},'CDR Project Planner'!$C14))))),'CDR Project Planner'!D14,"")</f>
        <v/>
      </c>
      <c r="E13" s="35" t="str">
        <f>IF(SUMPRODUCT(--(NOT(ISERR(SEARCH({"T","Br"},'CDR Project Planner'!$C14))))),'CDR Project Planner'!E14,"")</f>
        <v/>
      </c>
      <c r="F13" s="35" t="str">
        <f>IF(SUMPRODUCT(--(NOT(ISERR(SEARCH({"T","Br"},'CDR Project Planner'!$C14))))),'CDR Project Planner'!F14,"")</f>
        <v/>
      </c>
      <c r="G13" s="35" t="str">
        <f>IF(SUMPRODUCT(--(NOT(ISERR(SEARCH({"T","Br"},'CDR Project Planner'!$C14))))),'CDR Project Planner'!G14,"")</f>
        <v/>
      </c>
      <c r="H13" s="40" t="str">
        <f>IF(SUMPRODUCT(--(NOT(ISERR(SEARCH({"T","Br"},'CDR Project Planner'!$C14))))),'CDR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4" t="str">
        <f>IF(SUMPRODUCT(--(NOT(ISERR(SEARCH({"T","Br"},'CDR Project Planner'!$C15))))),'CDR Project Planner'!B15,"")</f>
        <v>Calibration - VHDL side</v>
      </c>
      <c r="C14" s="35" t="str">
        <f>IF(SUMPRODUCT(--(NOT(ISERR(SEARCH({"T","Br"},'CDR Project Planner'!$C15))))),'CDR Project Planner'!C15,"")</f>
        <v>P &amp; Br</v>
      </c>
      <c r="D14" s="35">
        <f>IF(SUMPRODUCT(--(NOT(ISERR(SEARCH({"T","Br"},'CDR Project Planner'!$C15))))),'CDR Project Planner'!D15,"")</f>
        <v>25</v>
      </c>
      <c r="E14" s="35">
        <f>IF(SUMPRODUCT(--(NOT(ISERR(SEARCH({"T","Br"},'CDR Project Planner'!$C15))))),'CDR Project Planner'!E15,"")</f>
        <v>10</v>
      </c>
      <c r="F14" s="35">
        <f>IF(SUMPRODUCT(--(NOT(ISERR(SEARCH({"T","Br"},'CDR Project Planner'!$C15))))),'CDR Project Planner'!F15,"")</f>
        <v>0</v>
      </c>
      <c r="G14" s="35">
        <f>IF(SUMPRODUCT(--(NOT(ISERR(SEARCH({"T","Br"},'CDR Project Planner'!$C15))))),'CDR Project Planner'!G15,"")</f>
        <v>0</v>
      </c>
      <c r="H14" s="47">
        <f>IF(SUMPRODUCT(--(NOT(ISERR(SEARCH({"T","Br"},'CDR Project Planner'!$C15))))),'CDR Project Planner'!H15,"")</f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42" t="str">
        <f>IF(SUMPRODUCT(--(NOT(ISERR(SEARCH({"T","Br"},'CDR Project Planner'!$C16))))),'CDR Project Planner'!B16,"")</f>
        <v xml:space="preserve">   Calibration - Ultrasonic sensors</v>
      </c>
      <c r="C15" s="35" t="str">
        <f>IF(SUMPRODUCT(--(NOT(ISERR(SEARCH({"T","Br"},'CDR Project Planner'!$C16))))),'CDR Project Planner'!C16,"")</f>
        <v>Ba &amp; Br &amp; P</v>
      </c>
      <c r="D15" s="35">
        <f>IF(SUMPRODUCT(--(NOT(ISERR(SEARCH({"T","Br"},'CDR Project Planner'!$C16))))),'CDR Project Planner'!D16,"")</f>
        <v>31</v>
      </c>
      <c r="E15" s="35">
        <f>IF(SUMPRODUCT(--(NOT(ISERR(SEARCH({"T","Br"},'CDR Project Planner'!$C16))))),'CDR Project Planner'!E16,"")</f>
        <v>7</v>
      </c>
      <c r="F15" s="35">
        <f>IF(SUMPRODUCT(--(NOT(ISERR(SEARCH({"T","Br"},'CDR Project Planner'!$C16))))),'CDR Project Planner'!F16,"")</f>
        <v>0</v>
      </c>
      <c r="G15" s="35">
        <f>IF(SUMPRODUCT(--(NOT(ISERR(SEARCH({"T","Br"},'CDR Project Planner'!$C16))))),'CDR Project Planner'!G16,"")</f>
        <v>0</v>
      </c>
      <c r="H15" s="47">
        <f>IF(SUMPRODUCT(--(NOT(ISERR(SEARCH({"T","Br"},'CDR Project Planner'!$C16))))),'CDR Project Planner'!H16,"")</f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5">
      <c r="A16" s="1"/>
      <c r="B16" s="48" t="str">
        <f>IF(SUMPRODUCT(--(NOT(ISERR(SEARCH({"T","Br"},'CDR Project Planner'!$C17))))),'CDR Project Planner'!B17,"")</f>
        <v>VHDL</v>
      </c>
      <c r="C16" s="35" t="str">
        <f>IF(SUMPRODUCT(--(NOT(ISERR(SEARCH({"T","Br"},'CDR Project Planner'!$C17))))),'CDR Project Planner'!C17,"")</f>
        <v>P &amp; Br</v>
      </c>
      <c r="D16" s="35"/>
      <c r="E16" s="35"/>
      <c r="F16" s="35"/>
      <c r="G16" s="35"/>
      <c r="H16" s="47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44" t="str">
        <f>IF(SUMPRODUCT(--(NOT(ISERR(SEARCH({"T","Br"},'CDR Project Planner'!$C18))))),'CDR Project Planner'!B18,"")</f>
        <v/>
      </c>
      <c r="C17" s="35" t="str">
        <f>IF(SUMPRODUCT(--(NOT(ISERR(SEARCH({"T","Br"},'CDR Project Planner'!$C18))))),'CDR Project Planner'!C18,"")</f>
        <v/>
      </c>
      <c r="D17" s="35" t="str">
        <f>IF(SUMPRODUCT(--(NOT(ISERR(SEARCH({"T","Br"},'CDR Project Planner'!$C18))))),'CDR Project Planner'!D18,"")</f>
        <v/>
      </c>
      <c r="E17" s="35" t="str">
        <f>IF(SUMPRODUCT(--(NOT(ISERR(SEARCH({"T","Br"},'CDR Project Planner'!$C18))))),'CDR Project Planner'!E18,"")</f>
        <v/>
      </c>
      <c r="F17" s="35" t="str">
        <f>IF(SUMPRODUCT(--(NOT(ISERR(SEARCH({"T","Br"},'CDR Project Planner'!$C18))))),'CDR Project Planner'!F18,"")</f>
        <v/>
      </c>
      <c r="G17" s="35" t="str">
        <f>IF(SUMPRODUCT(--(NOT(ISERR(SEARCH({"T","Br"},'CDR Project Planner'!$C18))))),'CDR Project Planner'!G18,"")</f>
        <v/>
      </c>
      <c r="H17" s="47" t="str">
        <f>IF(SUMPRODUCT(--(NOT(ISERR(SEARCH({"T","Br"},'CDR Project Planner'!$C18))))),'CDR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44" t="str">
        <f>IF(SUMPRODUCT(--(NOT(ISERR(SEARCH({"T","Br"},'CDR Project Planner'!$C19))))),'CDR Project Planner'!B19,"")</f>
        <v/>
      </c>
      <c r="C18" s="35" t="str">
        <f>IF(SUMPRODUCT(--(NOT(ISERR(SEARCH({"T","Br"},'CDR Project Planner'!$C19))))),'CDR Project Planner'!C19,"")</f>
        <v/>
      </c>
      <c r="D18" s="35" t="str">
        <f>IF(SUMPRODUCT(--(NOT(ISERR(SEARCH({"T","Br"},'CDR Project Planner'!$C19))))),'CDR Project Planner'!D19,"")</f>
        <v/>
      </c>
      <c r="E18" s="35" t="str">
        <f>IF(SUMPRODUCT(--(NOT(ISERR(SEARCH({"T","Br"},'CDR Project Planner'!$C19))))),'CDR Project Planner'!E19,"")</f>
        <v/>
      </c>
      <c r="F18" s="35" t="str">
        <f>IF(SUMPRODUCT(--(NOT(ISERR(SEARCH({"T","Br"},'CDR Project Planner'!$C19))))),'CDR Project Planner'!F19,"")</f>
        <v/>
      </c>
      <c r="G18" s="35" t="str">
        <f>IF(SUMPRODUCT(--(NOT(ISERR(SEARCH({"T","Br"},'CDR Project Planner'!$C19))))),'CDR Project Planner'!G19,"")</f>
        <v/>
      </c>
      <c r="H18" s="47" t="str">
        <f>IF(SUMPRODUCT(--(NOT(ISERR(SEARCH({"T","Br"},'CDR Project Planner'!$C19))))),'CDR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44" t="str">
        <f>IF(SUMPRODUCT(--(NOT(ISERR(SEARCH({"T","Br"},'CDR Project Planner'!#REF!))))),'CDR Project Planner'!#REF!,"")</f>
        <v/>
      </c>
      <c r="C19" s="35" t="str">
        <f>IF(SUMPRODUCT(--(NOT(ISERR(SEARCH({"T","Br"},'CDR Project Planner'!#REF!))))),'CDR Project Planner'!#REF!,"")</f>
        <v/>
      </c>
      <c r="D19" s="35" t="str">
        <f>IF(SUMPRODUCT(--(NOT(ISERR(SEARCH({"T","Br"},'CDR Project Planner'!#REF!))))),'CDR Project Planner'!#REF!,"")</f>
        <v/>
      </c>
      <c r="E19" s="35" t="str">
        <f>IF(SUMPRODUCT(--(NOT(ISERR(SEARCH({"T","Br"},'CDR Project Planner'!#REF!))))),'CDR Project Planner'!#REF!,"")</f>
        <v/>
      </c>
      <c r="F19" s="35" t="str">
        <f>IF(SUMPRODUCT(--(NOT(ISERR(SEARCH({"T","Br"},'CDR Project Planner'!#REF!))))),'CDR Project Planner'!#REF!,"")</f>
        <v/>
      </c>
      <c r="G19" s="35" t="str">
        <f>IF(SUMPRODUCT(--(NOT(ISERR(SEARCH({"T","Br"},'CDR Project Planner'!#REF!))))),'CDR Project Planner'!#REF!,"")</f>
        <v/>
      </c>
      <c r="H19" s="47" t="str">
        <f>IF(SUMPRODUCT(--(NOT(ISERR(SEARCH({"T","Br"},'CDR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44" t="str">
        <f>IF(SUMPRODUCT(--(NOT(ISERR(SEARCH({"T","Br"},'CDR Project Planner'!#REF!))))),'CDR Project Planner'!#REF!,"")</f>
        <v/>
      </c>
      <c r="C20" s="35" t="str">
        <f>IF(SUMPRODUCT(--(NOT(ISERR(SEARCH({"T","Br"},'CDR Project Planner'!#REF!))))),'CDR Project Planner'!#REF!,"")</f>
        <v/>
      </c>
      <c r="D20" s="35" t="str">
        <f>IF(SUMPRODUCT(--(NOT(ISERR(SEARCH({"T","Br"},'CDR Project Planner'!#REF!))))),'CDR Project Planner'!#REF!,"")</f>
        <v/>
      </c>
      <c r="E20" s="35" t="str">
        <f>IF(SUMPRODUCT(--(NOT(ISERR(SEARCH({"T","Br"},'CDR Project Planner'!#REF!))))),'CDR Project Planner'!#REF!,"")</f>
        <v/>
      </c>
      <c r="F20" s="35" t="str">
        <f>IF(SUMPRODUCT(--(NOT(ISERR(SEARCH({"T","Br"},'CDR Project Planner'!#REF!))))),'CDR Project Planner'!#REF!,"")</f>
        <v/>
      </c>
      <c r="G20" s="35" t="str">
        <f>IF(SUMPRODUCT(--(NOT(ISERR(SEARCH({"T","Br"},'CDR Project Planner'!#REF!))))),'CDR Project Planner'!#REF!,"")</f>
        <v/>
      </c>
      <c r="H20" s="47" t="str">
        <f>IF(SUMPRODUCT(--(NOT(ISERR(SEARCH({"T","Br"},'CDR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42" t="str">
        <f>IF(SUMPRODUCT(--(NOT(ISERR(SEARCH({"T","Br"},'CDR Project Planner'!$C21))))),'CDR Project Planner'!B21,"")</f>
        <v/>
      </c>
      <c r="C21" s="35" t="str">
        <f>IF(SUMPRODUCT(--(NOT(ISERR(SEARCH({"T","Br"},'CDR Project Planner'!$C21))))),'CDR Project Planner'!C21,"")</f>
        <v/>
      </c>
      <c r="D21" s="35" t="str">
        <f>IF(SUMPRODUCT(--(NOT(ISERR(SEARCH({"T","Br"},'CDR Project Planner'!$C21))))),'CDR Project Planner'!D21,"")</f>
        <v/>
      </c>
      <c r="E21" s="35" t="str">
        <f>IF(SUMPRODUCT(--(NOT(ISERR(SEARCH({"T","Br"},'CDR Project Planner'!$C21))))),'CDR Project Planner'!E21,"")</f>
        <v/>
      </c>
      <c r="F21" s="35" t="str">
        <f>IF(SUMPRODUCT(--(NOT(ISERR(SEARCH({"T","Br"},'CDR Project Planner'!$C21))))),'CDR Project Planner'!F21,"")</f>
        <v/>
      </c>
      <c r="G21" s="35" t="str">
        <f>IF(SUMPRODUCT(--(NOT(ISERR(SEARCH({"T","Br"},'CDR Project Planner'!$C21))))),'CDR Project Planner'!G21,"")</f>
        <v/>
      </c>
      <c r="H21" s="47" t="str">
        <f>IF(SUMPRODUCT(--(NOT(ISERR(SEARCH({"T","Br"},'CDR Project Planner'!$C21))))),'CDR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42" t="str">
        <f>IF(SUMPRODUCT(--(NOT(ISERR(SEARCH({"T","Br"},'CDR Project Planner'!$C22))))),'CDR Project Planner'!B22,"")</f>
        <v/>
      </c>
      <c r="C22" s="35" t="str">
        <f>IF(SUMPRODUCT(--(NOT(ISERR(SEARCH({"T","Br"},'CDR Project Planner'!$C22))))),'CDR Project Planner'!C22,"")</f>
        <v/>
      </c>
      <c r="D22" s="35" t="str">
        <f>IF(SUMPRODUCT(--(NOT(ISERR(SEARCH({"T","Br"},'CDR Project Planner'!$C22))))),'CDR Project Planner'!D22,"")</f>
        <v/>
      </c>
      <c r="E22" s="35" t="str">
        <f>IF(SUMPRODUCT(--(NOT(ISERR(SEARCH({"T","Br"},'CDR Project Planner'!$C22))))),'CDR Project Planner'!E22,"")</f>
        <v/>
      </c>
      <c r="F22" s="35" t="str">
        <f>IF(SUMPRODUCT(--(NOT(ISERR(SEARCH({"T","Br"},'CDR Project Planner'!$C22))))),'CDR Project Planner'!F22,"")</f>
        <v/>
      </c>
      <c r="G22" s="35" t="str">
        <f>IF(SUMPRODUCT(--(NOT(ISERR(SEARCH({"T","Br"},'CDR Project Planner'!$C22))))),'CDR Project Planner'!G22,"")</f>
        <v/>
      </c>
      <c r="H22" s="47" t="str">
        <f>IF(SUMPRODUCT(--(NOT(ISERR(SEARCH({"T","Br"},'CDR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42" t="str">
        <f>IF(SUMPRODUCT(--(NOT(ISERR(SEARCH({"T","Br"},'CDR Project Planner'!$C23))))),'CDR Project Planner'!B23,"")</f>
        <v/>
      </c>
      <c r="C23" s="35" t="str">
        <f>IF(SUMPRODUCT(--(NOT(ISERR(SEARCH({"T","Br"},'CDR Project Planner'!$C23))))),'CDR Project Planner'!C23,"")</f>
        <v/>
      </c>
      <c r="D23" s="35" t="str">
        <f>IF(SUMPRODUCT(--(NOT(ISERR(SEARCH({"T","Br"},'CDR Project Planner'!$C23))))),'CDR Project Planner'!D23,"")</f>
        <v/>
      </c>
      <c r="E23" s="35" t="str">
        <f>IF(SUMPRODUCT(--(NOT(ISERR(SEARCH({"T","Br"},'CDR Project Planner'!$C23))))),'CDR Project Planner'!E23,"")</f>
        <v/>
      </c>
      <c r="F23" s="35" t="str">
        <f>IF(SUMPRODUCT(--(NOT(ISERR(SEARCH({"T","Br"},'CDR Project Planner'!$C23))))),'CDR Project Planner'!F23,"")</f>
        <v/>
      </c>
      <c r="G23" s="35" t="str">
        <f>IF(SUMPRODUCT(--(NOT(ISERR(SEARCH({"T","Br"},'CDR Project Planner'!$C23))))),'CDR Project Planner'!G23,"")</f>
        <v/>
      </c>
      <c r="H23" s="47" t="str">
        <f>IF(SUMPRODUCT(--(NOT(ISERR(SEARCH({"T","Br"},'CDR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42" t="str">
        <f>IF(SUMPRODUCT(--(NOT(ISERR(SEARCH({"T","Br"},'CDR Project Planner'!$C24))))),'CDR Project Planner'!B24,"")</f>
        <v/>
      </c>
      <c r="C24" s="35" t="str">
        <f>IF(SUMPRODUCT(--(NOT(ISERR(SEARCH({"T","Br"},'CDR Project Planner'!$C24))))),'CDR Project Planner'!C24,"")</f>
        <v/>
      </c>
      <c r="D24" s="35" t="str">
        <f>IF(SUMPRODUCT(--(NOT(ISERR(SEARCH({"T","Br"},'CDR Project Planner'!$C24))))),'CDR Project Planner'!D24,"")</f>
        <v/>
      </c>
      <c r="E24" s="35" t="str">
        <f>IF(SUMPRODUCT(--(NOT(ISERR(SEARCH({"T","Br"},'CDR Project Planner'!$C24))))),'CDR Project Planner'!E24,"")</f>
        <v/>
      </c>
      <c r="F24" s="35" t="str">
        <f>IF(SUMPRODUCT(--(NOT(ISERR(SEARCH({"T","Br"},'CDR Project Planner'!$C24))))),'CDR Project Planner'!F24,"")</f>
        <v/>
      </c>
      <c r="G24" s="35" t="str">
        <f>IF(SUMPRODUCT(--(NOT(ISERR(SEARCH({"T","Br"},'CDR Project Planner'!$C24))))),'CDR Project Planner'!G24,"")</f>
        <v/>
      </c>
      <c r="H24" s="47" t="str">
        <f>IF(SUMPRODUCT(--(NOT(ISERR(SEARCH({"T","Br"},'CDR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42" t="str">
        <f>IF(SUMPRODUCT(--(NOT(ISERR(SEARCH({"T","Br"},'CDR Project Planner'!#REF!))))),'CDR Project Planner'!#REF!,"")</f>
        <v/>
      </c>
      <c r="C25" s="35" t="str">
        <f>IF(SUMPRODUCT(--(NOT(ISERR(SEARCH({"T","Br"},'CDR Project Planner'!#REF!))))),'CDR Project Planner'!#REF!,"")</f>
        <v/>
      </c>
      <c r="D25" s="35" t="str">
        <f>IF(SUMPRODUCT(--(NOT(ISERR(SEARCH({"T","Br"},'CDR Project Planner'!#REF!))))),'CDR Project Planner'!#REF!,"")</f>
        <v/>
      </c>
      <c r="E25" s="35" t="str">
        <f>IF(SUMPRODUCT(--(NOT(ISERR(SEARCH({"T","Br"},'CDR Project Planner'!#REF!))))),'CDR Project Planner'!#REF!,"")</f>
        <v/>
      </c>
      <c r="F25" s="35" t="str">
        <f>IF(SUMPRODUCT(--(NOT(ISERR(SEARCH({"T","Br"},'CDR Project Planner'!#REF!))))),'CDR Project Planner'!#REF!,"")</f>
        <v/>
      </c>
      <c r="G25" s="35" t="str">
        <f>IF(SUMPRODUCT(--(NOT(ISERR(SEARCH({"T","Br"},'CDR Project Planner'!#REF!))))),'CDR Project Planner'!#REF!,"")</f>
        <v/>
      </c>
      <c r="H25" s="47" t="str">
        <f>IF(SUMPRODUCT(--(NOT(ISERR(SEARCH({"T","Br"},'CDR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42" t="str">
        <f>IF(SUMPRODUCT(--(NOT(ISERR(SEARCH({"T","Br"},'CDR Project Planner'!$C28))))),'CDR Project Planner'!B28,"")</f>
        <v/>
      </c>
      <c r="C26" s="35" t="str">
        <f>IF(SUMPRODUCT(--(NOT(ISERR(SEARCH({"T","Br"},'CDR Project Planner'!$C28))))),'CDR Project Planner'!C28,"")</f>
        <v/>
      </c>
      <c r="D26" s="35" t="str">
        <f>IF(SUMPRODUCT(--(NOT(ISERR(SEARCH({"T","Br"},'CDR Project Planner'!$C28))))),'CDR Project Planner'!D28,"")</f>
        <v/>
      </c>
      <c r="E26" s="35" t="str">
        <f>IF(SUMPRODUCT(--(NOT(ISERR(SEARCH({"T","Br"},'CDR Project Planner'!$C28))))),'CDR Project Planner'!E28,"")</f>
        <v/>
      </c>
      <c r="F26" s="35" t="str">
        <f>IF(SUMPRODUCT(--(NOT(ISERR(SEARCH({"T","Br"},'CDR Project Planner'!$C28))))),'CDR Project Planner'!F28,"")</f>
        <v/>
      </c>
      <c r="G26" s="35" t="str">
        <f>IF(SUMPRODUCT(--(NOT(ISERR(SEARCH({"T","Br"},'CDR Project Planner'!$C28))))),'CDR Project Planner'!G28,"")</f>
        <v/>
      </c>
      <c r="H26" s="47" t="str">
        <f>IF(SUMPRODUCT(--(NOT(ISERR(SEARCH({"T","Br"},'CDR Project Planner'!$C28))))),'CDR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41" t="str">
        <f>IF(SUMPRODUCT(--(NOT(ISERR(SEARCH({"T","Br"},'CDR Project Planner'!$C29))))),'CDR Project Planner'!B29,"")</f>
        <v>C Development</v>
      </c>
      <c r="C27" s="35" t="str">
        <f>IF(SUMPRODUCT(--(NOT(ISERR(SEARCH({"T","Br"},'CDR Project Planner'!$C29))))),'CDR Project Planner'!C29,"")</f>
        <v>Br</v>
      </c>
      <c r="D27" s="35"/>
      <c r="E27" s="35"/>
      <c r="F27" s="35"/>
      <c r="G27" s="35"/>
      <c r="H27" s="40">
        <f>IF(SUMPRODUCT(--(NOT(ISERR(SEARCH({"T","Br"},'CDR Project Planner'!$C29))))),'CDR Project Planner'!H29,"")</f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42" t="str">
        <f>IF(SUMPRODUCT(--(NOT(ISERR(SEARCH({"T","Br"},'CDR Project Planner'!#REF!))))),'CDR Project Planner'!#REF!,"")</f>
        <v/>
      </c>
      <c r="C28" s="35" t="str">
        <f>IF(SUMPRODUCT(--(NOT(ISERR(SEARCH({"T","Br"},'CDR Project Planner'!#REF!))))),'CDR Project Planner'!#REF!,"")</f>
        <v/>
      </c>
      <c r="D28" s="35" t="str">
        <f>IF(SUMPRODUCT(--(NOT(ISERR(SEARCH({"T","Br"},'CDR Project Planner'!#REF!))))),'CDR Project Planner'!#REF!,"")</f>
        <v/>
      </c>
      <c r="E28" s="35" t="str">
        <f>IF(SUMPRODUCT(--(NOT(ISERR(SEARCH({"T","Br"},'CDR Project Planner'!#REF!))))),'CDR Project Planner'!#REF!,"")</f>
        <v/>
      </c>
      <c r="F28" s="35" t="str">
        <f>IF(SUMPRODUCT(--(NOT(ISERR(SEARCH({"T","Br"},'CDR Project Planner'!#REF!))))),'CDR Project Planner'!#REF!,"")</f>
        <v/>
      </c>
      <c r="G28" s="35" t="str">
        <f>IF(SUMPRODUCT(--(NOT(ISERR(SEARCH({"T","Br"},'CDR Project Planner'!#REF!))))),'CDR Project Planner'!#REF!,"")</f>
        <v/>
      </c>
      <c r="H28" s="40" t="str">
        <f>IF(SUMPRODUCT(--(NOT(ISERR(SEARCH({"T","Br"},'CDR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42" t="str">
        <f>IF(SUMPRODUCT(--(NOT(ISERR(SEARCH({"T","Br"},'CDR Project Planner'!$C30))))),'CDR Project Planner'!B30,"")</f>
        <v>Write code for Ultrasonic Sensors</v>
      </c>
      <c r="C29" s="35" t="str">
        <f>IF(SUMPRODUCT(--(NOT(ISERR(SEARCH({"T","Br"},'CDR Project Planner'!$C30))))),'CDR Project Planner'!C30,"")</f>
        <v>Br</v>
      </c>
      <c r="D29" s="35">
        <f>IF(SUMPRODUCT(--(NOT(ISERR(SEARCH({"T","Br"},'CDR Project Planner'!$C30))))),'CDR Project Planner'!D30,"")</f>
        <v>29</v>
      </c>
      <c r="E29" s="35">
        <f>IF(SUMPRODUCT(--(NOT(ISERR(SEARCH({"T","Br"},'CDR Project Planner'!$C30))))),'CDR Project Planner'!E30,"")</f>
        <v>7</v>
      </c>
      <c r="F29" s="35">
        <f>IF(SUMPRODUCT(--(NOT(ISERR(SEARCH({"T","Br"},'CDR Project Planner'!$C30))))),'CDR Project Planner'!F30,"")</f>
        <v>0</v>
      </c>
      <c r="G29" s="35">
        <f>IF(SUMPRODUCT(--(NOT(ISERR(SEARCH({"T","Br"},'CDR Project Planner'!$C30))))),'CDR Project Planner'!G30,"")</f>
        <v>0</v>
      </c>
      <c r="H29" s="40">
        <f>IF(SUMPRODUCT(--(NOT(ISERR(SEARCH({"T","Br"},'CDR Project Planner'!$C30))))),'CDR Project Planner'!H30,"")</f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41" t="str">
        <f>IF(SUMPRODUCT(--(NOT(ISERR(SEARCH({"T","Br"},'CDR Project Planner'!$C35))))),'CDR Project Planner'!B35,"")</f>
        <v>Project Management</v>
      </c>
      <c r="C30" s="35" t="str">
        <f>IF(SUMPRODUCT(--(NOT(ISERR(SEARCH({"T","Br"},'CDR Project Planner'!$C35))))),'CDR Project Planner'!C35,"")</f>
        <v>An &amp; T &amp; ?</v>
      </c>
      <c r="D30" s="35"/>
      <c r="E30" s="35"/>
      <c r="F30" s="35"/>
      <c r="G30" s="35"/>
      <c r="H30" s="40">
        <f>IF(SUMPRODUCT(--(NOT(ISERR(SEARCH({"T","Br"},'CDR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4" t="str">
        <f>IF(SUMPRODUCT(--(NOT(ISERR(SEARCH({"T","Br"},'CDR Project Planner'!$C36))))),'CDR Project Planner'!B36,"")</f>
        <v/>
      </c>
      <c r="C31" s="35" t="str">
        <f>IF(SUMPRODUCT(--(NOT(ISERR(SEARCH({"T","Br"},'CDR Project Planner'!$C36))))),'CDR Project Planner'!C36,"")</f>
        <v/>
      </c>
      <c r="D31" s="35" t="str">
        <f>IF(SUMPRODUCT(--(NOT(ISERR(SEARCH({"T","Br"},'CDR Project Planner'!$C36))))),'CDR Project Planner'!D36,"")</f>
        <v/>
      </c>
      <c r="E31" s="35" t="str">
        <f>IF(SUMPRODUCT(--(NOT(ISERR(SEARCH({"T","Br"},'CDR Project Planner'!$C36))))),'CDR Project Planner'!E36,"")</f>
        <v/>
      </c>
      <c r="F31" s="35" t="str">
        <f>IF(SUMPRODUCT(--(NOT(ISERR(SEARCH({"T","Br"},'CDR Project Planner'!$C36))))),'CDR Project Planner'!F36,"")</f>
        <v/>
      </c>
      <c r="G31" s="35" t="str">
        <f>IF(SUMPRODUCT(--(NOT(ISERR(SEARCH({"T","Br"},'CDR Project Planner'!$C36))))),'CDR Project Planner'!G36,"")</f>
        <v/>
      </c>
      <c r="H31" s="40" t="str">
        <f>IF(SUMPRODUCT(--(NOT(ISERR(SEARCH({"T","Br"},'CDR Project Planner'!$C36))))),'CDR Project Planner'!H36,"")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4" t="str">
        <f>IF(SUMPRODUCT(--(NOT(ISERR(SEARCH({"T","Br"},'CDR Project Planner'!$C37))))),'CDR Project Planner'!B37,"")</f>
        <v/>
      </c>
      <c r="C32" s="35" t="str">
        <f>IF(SUMPRODUCT(--(NOT(ISERR(SEARCH({"T","Br"},'CDR Project Planner'!$C37))))),'CDR Project Planner'!C37,"")</f>
        <v/>
      </c>
      <c r="D32" s="35" t="str">
        <f>IF(SUMPRODUCT(--(NOT(ISERR(SEARCH({"T","Br"},'CDR Project Planner'!$C37))))),'CDR Project Planner'!D37,"")</f>
        <v/>
      </c>
      <c r="E32" s="35" t="str">
        <f>IF(SUMPRODUCT(--(NOT(ISERR(SEARCH({"T","Br"},'CDR Project Planner'!$C37))))),'CDR Project Planner'!E37,"")</f>
        <v/>
      </c>
      <c r="F32" s="35" t="str">
        <f>IF(SUMPRODUCT(--(NOT(ISERR(SEARCH({"T","Br"},'CDR Project Planner'!$C37))))),'CDR Project Planner'!F37,"")</f>
        <v/>
      </c>
      <c r="G32" s="35" t="str">
        <f>IF(SUMPRODUCT(--(NOT(ISERR(SEARCH({"T","Br"},'CDR Project Planner'!$C37))))),'CDR Project Planner'!G37,"")</f>
        <v/>
      </c>
      <c r="H32" s="40" t="str">
        <f>IF(SUMPRODUCT(--(NOT(ISERR(SEARCH({"T","Br"},'CDR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4" t="str">
        <f>IF(SUMPRODUCT(--(NOT(ISERR(SEARCH({"T","Br"},'CDR Project Planner'!$C38))))),'CDR Project Planner'!B38,"")</f>
        <v/>
      </c>
      <c r="C33" s="35" t="str">
        <f>IF(SUMPRODUCT(--(NOT(ISERR(SEARCH({"T","Br"},'CDR Project Planner'!$C38))))),'CDR Project Planner'!C38,"")</f>
        <v/>
      </c>
      <c r="D33" s="35" t="str">
        <f>IF(SUMPRODUCT(--(NOT(ISERR(SEARCH({"T","Br"},'CDR Project Planner'!$C38))))),'CDR Project Planner'!D38,"")</f>
        <v/>
      </c>
      <c r="E33" s="35" t="str">
        <f>IF(SUMPRODUCT(--(NOT(ISERR(SEARCH({"T","Br"},'CDR Project Planner'!$C38))))),'CDR Project Planner'!E38,"")</f>
        <v/>
      </c>
      <c r="F33" s="35" t="str">
        <f>IF(SUMPRODUCT(--(NOT(ISERR(SEARCH({"T","Br"},'CDR Project Planner'!$C38))))),'CDR Project Planner'!F38,"")</f>
        <v/>
      </c>
      <c r="G33" s="35" t="str">
        <f>IF(SUMPRODUCT(--(NOT(ISERR(SEARCH({"T","Br"},'CDR Project Planner'!$C38))))),'CDR Project Planner'!G38,"")</f>
        <v/>
      </c>
      <c r="H33" s="40" t="str">
        <f>IF(SUMPRODUCT(--(NOT(ISERR(SEARCH({"T","Br"},'CDR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4" t="str">
        <f>IF(SUMPRODUCT(--(NOT(ISERR(SEARCH({"T","Br"},'CDR Project Planner'!$C39))))),'CDR Project Planner'!B39,"")</f>
        <v/>
      </c>
      <c r="C34" s="35" t="str">
        <f>IF(SUMPRODUCT(--(NOT(ISERR(SEARCH({"T","Br"},'CDR Project Planner'!$C39))))),'CDR Project Planner'!C39,"")</f>
        <v/>
      </c>
      <c r="D34" s="35" t="str">
        <f>IF(SUMPRODUCT(--(NOT(ISERR(SEARCH({"T","Br"},'CDR Project Planner'!$C39))))),'CDR Project Planner'!D39,"")</f>
        <v/>
      </c>
      <c r="E34" s="35" t="str">
        <f>IF(SUMPRODUCT(--(NOT(ISERR(SEARCH({"T","Br"},'CDR Project Planner'!$C39))))),'CDR Project Planner'!E39,"")</f>
        <v/>
      </c>
      <c r="F34" s="35" t="str">
        <f>IF(SUMPRODUCT(--(NOT(ISERR(SEARCH({"T","Br"},'CDR Project Planner'!$C39))))),'CDR Project Planner'!F39,"")</f>
        <v/>
      </c>
      <c r="G34" s="35" t="str">
        <f>IF(SUMPRODUCT(--(NOT(ISERR(SEARCH({"T","Br"},'CDR Project Planner'!$C39))))),'CDR Project Planner'!G39,"")</f>
        <v/>
      </c>
      <c r="H34" s="40" t="str">
        <f>IF(SUMPRODUCT(--(NOT(ISERR(SEARCH({"T","Br"},'CDR Project Planner'!$C39))))),'CDR Project Planner'!H39,"")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2" t="str">
        <f>IF(SUMPRODUCT(--(NOT(ISERR(SEARCH({"T","Br"},'CDR Project Planner'!$C40))))),'CDR Project Planner'!B40,"")</f>
        <v>CDR PowerPoint</v>
      </c>
      <c r="C35" s="35" t="str">
        <f>IF(SUMPRODUCT(--(NOT(ISERR(SEARCH({"T","Br"},'CDR Project Planner'!$C40))))),'CDR Project Planner'!C40,"")</f>
        <v>T</v>
      </c>
      <c r="D35" s="35">
        <f>IF(SUMPRODUCT(--(NOT(ISERR(SEARCH({"T","Br"},'CDR Project Planner'!$C40))))),'CDR Project Planner'!D40,"")</f>
        <v>45</v>
      </c>
      <c r="E35" s="35">
        <f>IF(SUMPRODUCT(--(NOT(ISERR(SEARCH({"T","Br"},'CDR Project Planner'!$C40))))),'CDR Project Planner'!E40,"")</f>
        <v>10</v>
      </c>
      <c r="F35" s="35">
        <f>IF(SUMPRODUCT(--(NOT(ISERR(SEARCH({"T","Br"},'CDR Project Planner'!$C40))))),'CDR Project Planner'!F40,"")</f>
        <v>0</v>
      </c>
      <c r="G35" s="35">
        <f>IF(SUMPRODUCT(--(NOT(ISERR(SEARCH({"T","Br"},'CDR Project Planner'!$C40))))),'CDR Project Planner'!G40,"")</f>
        <v>0</v>
      </c>
      <c r="H35" s="40">
        <f>IF(SUMPRODUCT(--(NOT(ISERR(SEARCH({"T","Br"},'CDR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8" t="str">
        <f>IF(SUMPRODUCT(--(NOT(ISERR(SEARCH({"T","Br"},'CDR Project Planner'!$C41))))),'CDR Project Planner'!B41,"")</f>
        <v>CDR</v>
      </c>
      <c r="C36" s="39" t="str">
        <f>IF(SUMPRODUCT(--(NOT(ISERR(SEARCH({"T","Br"},'CDR Project Planner'!$C41))))),'CDR Project Planner'!C41,"")</f>
        <v>T</v>
      </c>
      <c r="D36" s="39">
        <f>IF(SUMPRODUCT(--(NOT(ISERR(SEARCH({"T","Br"},'CDR Project Planner'!$C41))))),'CDR Project Planner'!D41,"")</f>
        <v>55</v>
      </c>
      <c r="E36" s="39">
        <f>IF(SUMPRODUCT(--(NOT(ISERR(SEARCH({"T","Br"},'CDR Project Planner'!$C41))))),'CDR Project Planner'!E41,"")</f>
        <v>1</v>
      </c>
      <c r="F36" s="39">
        <f>IF(SUMPRODUCT(--(NOT(ISERR(SEARCH({"T","Br"},'CDR Project Planner'!$C41))))),'CDR Project Planner'!F41,"")</f>
        <v>55</v>
      </c>
      <c r="G36" s="39">
        <f>IF(SUMPRODUCT(--(NOT(ISERR(SEARCH({"T","Br"},'CDR Project Planner'!$C41))))),'CDR Project Planner'!G41,"")</f>
        <v>1</v>
      </c>
      <c r="H36" s="40">
        <f>IF(SUMPRODUCT(--(NOT(ISERR(SEARCH({"T","Br"},'CDR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4" t="str">
        <f>IF(SUMPRODUCT(--(NOT(ISERR(SEARCH({"T","Br"},'CDR Project Planner'!$C42))))),'CDR Project Planner'!B42,"")</f>
        <v/>
      </c>
      <c r="C37" s="35" t="str">
        <f>IF(SUMPRODUCT(--(NOT(ISERR(SEARCH({"T","Br"},'CDR Project Planner'!$C42))))),'CDR Project Planner'!C42,"")</f>
        <v/>
      </c>
      <c r="D37" s="35" t="str">
        <f>IF(SUMPRODUCT(--(NOT(ISERR(SEARCH({"T","Br"},'CDR Project Planner'!$C42))))),'CDR Project Planner'!D42,"")</f>
        <v/>
      </c>
      <c r="E37" s="35" t="str">
        <f>IF(SUMPRODUCT(--(NOT(ISERR(SEARCH({"T","Br"},'CDR Project Planner'!$C42))))),'CDR Project Planner'!E42,"")</f>
        <v/>
      </c>
      <c r="F37" s="35" t="str">
        <f>IF(SUMPRODUCT(--(NOT(ISERR(SEARCH({"T","Br"},'CDR Project Planner'!$C42))))),'CDR Project Planner'!F42,"")</f>
        <v/>
      </c>
      <c r="G37" s="35" t="str">
        <f>IF(SUMPRODUCT(--(NOT(ISERR(SEARCH({"T","Br"},'CDR Project Planner'!$C42))))),'CDR Project Planner'!G42,"")</f>
        <v/>
      </c>
      <c r="H37" s="40" t="str">
        <f>IF(SUMPRODUCT(--(NOT(ISERR(SEARCH({"T","Br"},'CDR Project Planner'!$C42))))),'CDR Project Planner'!H42,"")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4" t="str">
        <f>IF(SUMPRODUCT(--(NOT(ISERR(SEARCH({"T","Br"},'CDR Project Planner'!$C43))))),'CDR Project Planner'!B43,"")</f>
        <v/>
      </c>
      <c r="C38" s="35" t="str">
        <f>IF(SUMPRODUCT(--(NOT(ISERR(SEARCH({"T","Br"},'CDR Project Planner'!$C43))))),'CDR Project Planner'!C43,"")</f>
        <v/>
      </c>
      <c r="D38" s="35" t="str">
        <f>IF(SUMPRODUCT(--(NOT(ISERR(SEARCH({"T","Br"},'CDR Project Planner'!$C43))))),'CDR Project Planner'!D43,"")</f>
        <v/>
      </c>
      <c r="E38" s="35" t="str">
        <f>IF(SUMPRODUCT(--(NOT(ISERR(SEARCH({"T","Br"},'CDR Project Planner'!$C43))))),'CDR Project Planner'!E43,"")</f>
        <v/>
      </c>
      <c r="F38" s="35" t="str">
        <f>IF(SUMPRODUCT(--(NOT(ISERR(SEARCH({"T","Br"},'CDR Project Planner'!$C43))))),'CDR Project Planner'!F43,"")</f>
        <v/>
      </c>
      <c r="G38" s="35" t="str">
        <f>IF(SUMPRODUCT(--(NOT(ISERR(SEARCH({"T","Br"},'CDR Project Planner'!$C43))))),'CDR Project Planner'!G43,"")</f>
        <v/>
      </c>
      <c r="H38" s="40" t="str">
        <f>IF(SUMPRODUCT(--(NOT(ISERR(SEARCH({"T","Br"},'CDR Project Planner'!$C43))))),'CDR Project Planner'!H43,"")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4" t="str">
        <f>IF(SUMPRODUCT(--(NOT(ISERR(SEARCH({"T","Br"},'CDR Project Planner'!$C44))))),'CDR Project Planner'!B44,"")</f>
        <v/>
      </c>
      <c r="C39" s="35" t="str">
        <f>IF(SUMPRODUCT(--(NOT(ISERR(SEARCH({"T","Br"},'CDR Project Planner'!$C44))))),'CDR Project Planner'!C44,"")</f>
        <v/>
      </c>
      <c r="D39" s="35" t="str">
        <f>IF(SUMPRODUCT(--(NOT(ISERR(SEARCH({"T","Br"},'CDR Project Planner'!$C44))))),'CDR Project Planner'!D44,"")</f>
        <v/>
      </c>
      <c r="E39" s="35" t="str">
        <f>IF(SUMPRODUCT(--(NOT(ISERR(SEARCH({"T","Br"},'CDR Project Planner'!$C44))))),'CDR Project Planner'!E44,"")</f>
        <v/>
      </c>
      <c r="F39" s="35" t="str">
        <f>IF(SUMPRODUCT(--(NOT(ISERR(SEARCH({"T","Br"},'CDR Project Planner'!$C44))))),'CDR Project Planner'!F44,"")</f>
        <v/>
      </c>
      <c r="G39" s="35" t="str">
        <f>IF(SUMPRODUCT(--(NOT(ISERR(SEARCH({"T","Br"},'CDR Project Planner'!$C44))))),'CDR Project Planner'!G44,"")</f>
        <v/>
      </c>
      <c r="H39" s="40" t="str">
        <f>IF(SUMPRODUCT(--(NOT(ISERR(SEARCH({"T","Br"},'CDR Project Planner'!$C44))))),'CDR Project Planner'!H44,"")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4" t="str">
        <f>IF(SUMPRODUCT(--(NOT(ISERR(SEARCH({"T","Br"},'CDR Project Planner'!$C45))))),'CDR Project Planner'!B45,"")</f>
        <v/>
      </c>
      <c r="C40" s="35" t="str">
        <f>IF(SUMPRODUCT(--(NOT(ISERR(SEARCH({"T","Br"},'CDR Project Planner'!$C45))))),'CDR Project Planner'!C45,"")</f>
        <v/>
      </c>
      <c r="D40" s="35" t="str">
        <f>IF(SUMPRODUCT(--(NOT(ISERR(SEARCH({"T","Br"},'CDR Project Planner'!$C45))))),'CDR Project Planner'!D45,"")</f>
        <v/>
      </c>
      <c r="E40" s="35" t="str">
        <f>IF(SUMPRODUCT(--(NOT(ISERR(SEARCH({"T","Br"},'CDR Project Planner'!$C45))))),'CDR Project Planner'!E45,"")</f>
        <v/>
      </c>
      <c r="F40" s="35" t="str">
        <f>IF(SUMPRODUCT(--(NOT(ISERR(SEARCH({"T","Br"},'CDR Project Planner'!$C45))))),'CDR Project Planner'!F45,"")</f>
        <v/>
      </c>
      <c r="G40" s="35" t="str">
        <f>IF(SUMPRODUCT(--(NOT(ISERR(SEARCH({"T","Br"},'CDR Project Planner'!$C45))))),'CDR Project Planner'!G45,"")</f>
        <v/>
      </c>
      <c r="H40" s="40" t="str">
        <f>IF(SUMPRODUCT(--(NOT(ISERR(SEARCH({"T","Br"},'CDR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4" t="str">
        <f>IF(SUMPRODUCT(--(NOT(ISERR(SEARCH({"T","Br"},'CDR Project Planner'!$C46))))),'CDR Project Planner'!B46,"")</f>
        <v/>
      </c>
      <c r="C41" s="35" t="str">
        <f>IF(SUMPRODUCT(--(NOT(ISERR(SEARCH({"T","Br"},'CDR Project Planner'!$C46))))),'CDR Project Planner'!C46,"")</f>
        <v/>
      </c>
      <c r="D41" s="35" t="str">
        <f>IF(SUMPRODUCT(--(NOT(ISERR(SEARCH({"T","Br"},'CDR Project Planner'!$C46))))),'CDR Project Planner'!D46,"")</f>
        <v/>
      </c>
      <c r="E41" s="35" t="str">
        <f>IF(SUMPRODUCT(--(NOT(ISERR(SEARCH({"T","Br"},'CDR Project Planner'!$C46))))),'CDR Project Planner'!E46,"")</f>
        <v/>
      </c>
      <c r="F41" s="35" t="str">
        <f>IF(SUMPRODUCT(--(NOT(ISERR(SEARCH({"T","Br"},'CDR Project Planner'!$C46))))),'CDR Project Planner'!F46,"")</f>
        <v/>
      </c>
      <c r="G41" s="35" t="str">
        <f>IF(SUMPRODUCT(--(NOT(ISERR(SEARCH({"T","Br"},'CDR Project Planner'!$C46))))),'CDR Project Planner'!G46,"")</f>
        <v/>
      </c>
      <c r="H41" s="40" t="str">
        <f>IF(SUMPRODUCT(--(NOT(ISERR(SEARCH({"T","Br"},'CDR Project Planner'!$C46))))),'CDR Project Planner'!H46,"")</f>
        <v/>
      </c>
    </row>
    <row r="42" spans="1:68" ht="30" customHeight="1" x14ac:dyDescent="0.3">
      <c r="B42" s="34" t="str">
        <f>IF(SUMPRODUCT(--(NOT(ISERR(SEARCH({"T","Br"},'CDR Project Planner'!$C47))))),'CDR Project Planner'!B47,"")</f>
        <v/>
      </c>
      <c r="C42" s="35" t="str">
        <f>IF(SUMPRODUCT(--(NOT(ISERR(SEARCH({"T","Br"},'CDR Project Planner'!$C47))))),'CDR Project Planner'!C47,"")</f>
        <v/>
      </c>
      <c r="D42" s="35" t="str">
        <f>IF(SUMPRODUCT(--(NOT(ISERR(SEARCH({"T","Br"},'CDR Project Planner'!$C47))))),'CDR Project Planner'!D47,"")</f>
        <v/>
      </c>
      <c r="E42" s="35" t="str">
        <f>IF(SUMPRODUCT(--(NOT(ISERR(SEARCH({"T","Br"},'CDR Project Planner'!$C47))))),'CDR Project Planner'!E47,"")</f>
        <v/>
      </c>
      <c r="F42" s="35" t="str">
        <f>IF(SUMPRODUCT(--(NOT(ISERR(SEARCH({"T","Br"},'CDR Project Planner'!$C47))))),'CDR Project Planner'!F47,"")</f>
        <v/>
      </c>
      <c r="G42" s="35" t="str">
        <f>IF(SUMPRODUCT(--(NOT(ISERR(SEARCH({"T","Br"},'CDR Project Planner'!$C47))))),'CDR Project Planner'!G47,"")</f>
        <v/>
      </c>
      <c r="H42" s="40" t="str">
        <f>IF(SUMPRODUCT(--(NOT(ISERR(SEARCH({"T","Br"},'CDR Project Planner'!$C47))))),'CDR Project Planner'!H47,"")</f>
        <v/>
      </c>
    </row>
    <row r="43" spans="1:68" ht="30" customHeight="1" x14ac:dyDescent="0.3">
      <c r="B43" s="34" t="str">
        <f>IF(SUMPRODUCT(--(NOT(ISERR(SEARCH({"T","Br"},'CDR Project Planner'!$C48))))),'CDR Project Planner'!B48,"")</f>
        <v/>
      </c>
      <c r="C43" s="35" t="str">
        <f>IF(SUMPRODUCT(--(NOT(ISERR(SEARCH({"T","Br"},'CDR Project Planner'!$C48))))),'CDR Project Planner'!C48,"")</f>
        <v/>
      </c>
      <c r="D43" s="35" t="str">
        <f>IF(SUMPRODUCT(--(NOT(ISERR(SEARCH({"T","Br"},'CDR Project Planner'!$C48))))),'CDR Project Planner'!D48,"")</f>
        <v/>
      </c>
      <c r="E43" s="35" t="str">
        <f>IF(SUMPRODUCT(--(NOT(ISERR(SEARCH({"T","Br"},'CDR Project Planner'!$C48))))),'CDR Project Planner'!E48,"")</f>
        <v/>
      </c>
      <c r="F43" s="35" t="str">
        <f>IF(SUMPRODUCT(--(NOT(ISERR(SEARCH({"T","Br"},'CDR Project Planner'!$C48))))),'CDR Project Planner'!F48,"")</f>
        <v/>
      </c>
      <c r="G43" s="35" t="str">
        <f>IF(SUMPRODUCT(--(NOT(ISERR(SEARCH({"T","Br"},'CDR Project Planner'!$C48))))),'CDR Project Planner'!G48,"")</f>
        <v/>
      </c>
      <c r="H43" s="40" t="str">
        <f>IF(SUMPRODUCT(--(NOT(ISERR(SEARCH({"T","Br"},'CDR Project Planner'!$C48))))),'CDR Project Planner'!H48,"")</f>
        <v/>
      </c>
    </row>
    <row r="44" spans="1:68" s="4" customFormat="1" ht="30" customHeight="1" x14ac:dyDescent="0.3">
      <c r="A44" s="1"/>
      <c r="B44" s="34" t="str">
        <f>IF(SUMPRODUCT(--(NOT(ISERR(SEARCH({"T","Br"},'CDR Project Planner'!$C49))))),'CDR Project Planner'!B49,"")</f>
        <v/>
      </c>
      <c r="C44" s="35" t="str">
        <f>IF(SUMPRODUCT(--(NOT(ISERR(SEARCH({"T","Br"},'CDR Project Planner'!$C49))))),'CDR Project Planner'!C49,"")</f>
        <v/>
      </c>
      <c r="D44" s="35" t="str">
        <f>IF(SUMPRODUCT(--(NOT(ISERR(SEARCH({"T","Br"},'CDR Project Planner'!$C49))))),'CDR Project Planner'!D49,"")</f>
        <v/>
      </c>
      <c r="E44" s="35" t="str">
        <f>IF(SUMPRODUCT(--(NOT(ISERR(SEARCH({"T","Br"},'CDR Project Planner'!$C49))))),'CDR Project Planner'!E49,"")</f>
        <v/>
      </c>
      <c r="F44" s="35" t="str">
        <f>IF(SUMPRODUCT(--(NOT(ISERR(SEARCH({"T","Br"},'CDR Project Planner'!$C49))))),'CDR Project Planner'!F49,"")</f>
        <v/>
      </c>
      <c r="G44" s="35" t="str">
        <f>IF(SUMPRODUCT(--(NOT(ISERR(SEARCH({"T","Br"},'CDR Project Planner'!$C49))))),'CDR Project Planner'!G49,"")</f>
        <v/>
      </c>
      <c r="H44" s="40" t="str">
        <f>IF(SUMPRODUCT(--(NOT(ISERR(SEARCH({"T","Br"},'CDR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4" t="str">
        <f>IF(SUMPRODUCT(--(NOT(ISERR(SEARCH({"T","Br"},'CDR Project Planner'!$C50))))),'CDR Project Planner'!B50,"")</f>
        <v/>
      </c>
      <c r="C45" s="35" t="str">
        <f>IF(SUMPRODUCT(--(NOT(ISERR(SEARCH({"T","Br"},'CDR Project Planner'!$C50))))),'CDR Project Planner'!C50,"")</f>
        <v/>
      </c>
      <c r="D45" s="35" t="str">
        <f>IF(SUMPRODUCT(--(NOT(ISERR(SEARCH({"T","Br"},'CDR Project Planner'!$C50))))),'CDR Project Planner'!D50,"")</f>
        <v/>
      </c>
      <c r="E45" s="35" t="str">
        <f>IF(SUMPRODUCT(--(NOT(ISERR(SEARCH({"T","Br"},'CDR Project Planner'!$C50))))),'CDR Project Planner'!E50,"")</f>
        <v/>
      </c>
      <c r="F45" s="35" t="str">
        <f>IF(SUMPRODUCT(--(NOT(ISERR(SEARCH({"T","Br"},'CDR Project Planner'!$C50))))),'CDR Project Planner'!F50,"")</f>
        <v/>
      </c>
      <c r="G45" s="35" t="str">
        <f>IF(SUMPRODUCT(--(NOT(ISERR(SEARCH({"T","Br"},'CDR Project Planner'!$C50))))),'CDR Project Planner'!G50,"")</f>
        <v/>
      </c>
      <c r="H45" s="40" t="str">
        <f>IF(SUMPRODUCT(--(NOT(ISERR(SEARCH({"T","Br"},'CDR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4" t="str">
        <f>IF(SUMPRODUCT(--(NOT(ISERR(SEARCH({"T","Br"},'CDR Project Planner'!$C51))))),'CDR Project Planner'!B51,"")</f>
        <v/>
      </c>
      <c r="C46" s="35" t="str">
        <f>IF(SUMPRODUCT(--(NOT(ISERR(SEARCH({"T","Br"},'CDR Project Planner'!$C51))))),'CDR Project Planner'!C51,"")</f>
        <v/>
      </c>
      <c r="D46" s="35" t="str">
        <f>IF(SUMPRODUCT(--(NOT(ISERR(SEARCH({"T","Br"},'CDR Project Planner'!$C51))))),'CDR Project Planner'!D51,"")</f>
        <v/>
      </c>
      <c r="E46" s="35" t="str">
        <f>IF(SUMPRODUCT(--(NOT(ISERR(SEARCH({"T","Br"},'CDR Project Planner'!$C51))))),'CDR Project Planner'!E51,"")</f>
        <v/>
      </c>
      <c r="F46" s="35" t="str">
        <f>IF(SUMPRODUCT(--(NOT(ISERR(SEARCH({"T","Br"},'CDR Project Planner'!$C51))))),'CDR Project Planner'!F51,"")</f>
        <v/>
      </c>
      <c r="G46" s="35" t="str">
        <f>IF(SUMPRODUCT(--(NOT(ISERR(SEARCH({"T","Br"},'CDR Project Planner'!$C51))))),'CDR Project Planner'!G51,"")</f>
        <v/>
      </c>
      <c r="H46" s="40" t="str">
        <f>IF(SUMPRODUCT(--(NOT(ISERR(SEARCH({"T","Br"},'CDR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4" t="str">
        <f>IF(SUMPRODUCT(--(NOT(ISERR(SEARCH({"T","Br"},'CDR Project Planner'!$C52))))),'CDR Project Planner'!B52,"")</f>
        <v/>
      </c>
      <c r="C47" s="35" t="str">
        <f>IF(SUMPRODUCT(--(NOT(ISERR(SEARCH({"T","Br"},'CDR Project Planner'!$C52))))),'CDR Project Planner'!C52,"")</f>
        <v/>
      </c>
      <c r="D47" s="35" t="str">
        <f>IF(SUMPRODUCT(--(NOT(ISERR(SEARCH({"T","Br"},'CDR Project Planner'!$C52))))),'CDR Project Planner'!D52,"")</f>
        <v/>
      </c>
      <c r="E47" s="35" t="str">
        <f>IF(SUMPRODUCT(--(NOT(ISERR(SEARCH({"T","Br"},'CDR Project Planner'!$C52))))),'CDR Project Planner'!E52,"")</f>
        <v/>
      </c>
      <c r="F47" s="35" t="str">
        <f>IF(SUMPRODUCT(--(NOT(ISERR(SEARCH({"T","Br"},'CDR Project Planner'!$C52))))),'CDR Project Planner'!F52,"")</f>
        <v/>
      </c>
      <c r="G47" s="35" t="str">
        <f>IF(SUMPRODUCT(--(NOT(ISERR(SEARCH({"T","Br"},'CDR Project Planner'!$C52))))),'CDR Project Planner'!G52,"")</f>
        <v/>
      </c>
      <c r="H47" s="40" t="str">
        <f>IF(SUMPRODUCT(--(NOT(ISERR(SEARCH({"T","Br"},'CDR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4" t="str">
        <f>IF(SUMPRODUCT(--(NOT(ISERR(SEARCH({"T","Br"},'CDR Project Planner'!$C53))))),'CDR Project Planner'!B53,"")</f>
        <v/>
      </c>
      <c r="C48" s="35" t="str">
        <f>IF(SUMPRODUCT(--(NOT(ISERR(SEARCH({"T","Br"},'CDR Project Planner'!$C53))))),'CDR Project Planner'!C53,"")</f>
        <v/>
      </c>
      <c r="D48" s="35" t="str">
        <f>IF(SUMPRODUCT(--(NOT(ISERR(SEARCH({"T","Br"},'CDR Project Planner'!$C53))))),'CDR Project Planner'!D53,"")</f>
        <v/>
      </c>
      <c r="E48" s="35" t="str">
        <f>IF(SUMPRODUCT(--(NOT(ISERR(SEARCH({"T","Br"},'CDR Project Planner'!$C53))))),'CDR Project Planner'!E53,"")</f>
        <v/>
      </c>
      <c r="F48" s="35" t="str">
        <f>IF(SUMPRODUCT(--(NOT(ISERR(SEARCH({"T","Br"},'CDR Project Planner'!$C53))))),'CDR Project Planner'!F53,"")</f>
        <v/>
      </c>
      <c r="G48" s="35" t="str">
        <f>IF(SUMPRODUCT(--(NOT(ISERR(SEARCH({"T","Br"},'CDR Project Planner'!$C53))))),'CDR Project Planner'!G53,"")</f>
        <v/>
      </c>
      <c r="H48" s="40" t="str">
        <f>IF(SUMPRODUCT(--(NOT(ISERR(SEARCH({"T","Br"},'CDR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4" t="str">
        <f>IF(SUMPRODUCT(--(NOT(ISERR(SEARCH({"T","Br"},'CDR Project Planner'!$C54))))),'CDR Project Planner'!B54,"")</f>
        <v/>
      </c>
      <c r="C49" s="35" t="str">
        <f>IF(SUMPRODUCT(--(NOT(ISERR(SEARCH({"T","Br"},'CDR Project Planner'!$C54))))),'CDR Project Planner'!C54,"")</f>
        <v/>
      </c>
      <c r="D49" s="35" t="str">
        <f>IF(SUMPRODUCT(--(NOT(ISERR(SEARCH({"T","Br"},'CDR Project Planner'!$C54))))),'CDR Project Planner'!D54,"")</f>
        <v/>
      </c>
      <c r="E49" s="35" t="str">
        <f>IF(SUMPRODUCT(--(NOT(ISERR(SEARCH({"T","Br"},'CDR Project Planner'!$C54))))),'CDR Project Planner'!E54,"")</f>
        <v/>
      </c>
      <c r="F49" s="35" t="str">
        <f>IF(SUMPRODUCT(--(NOT(ISERR(SEARCH({"T","Br"},'CDR Project Planner'!$C54))))),'CDR Project Planner'!F54,"")</f>
        <v/>
      </c>
      <c r="G49" s="35" t="str">
        <f>IF(SUMPRODUCT(--(NOT(ISERR(SEARCH({"T","Br"},'CDR Project Planner'!$C54))))),'CDR Project Planner'!G54,"")</f>
        <v/>
      </c>
      <c r="H49" s="40" t="str">
        <f>IF(SUMPRODUCT(--(NOT(ISERR(SEARCH({"T","Br"},'CDR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6" t="str">
        <f>IF(SUMPRODUCT(--(NOT(ISERR(SEARCH({"T","Ba"},'CDR Project Planner'!$C55))))),'CDR Project Planner'!B55,"")</f>
        <v/>
      </c>
      <c r="C50" s="36" t="str">
        <f>IF(SUMPRODUCT(--(NOT(ISERR(SEARCH({"T","Ba"},'CDR Project Planner'!$C55))))),'CDR Project Planner'!C55,"")</f>
        <v/>
      </c>
      <c r="D50" s="43" t="str">
        <f>IF(SUMPRODUCT(--(NOT(ISERR(SEARCH({"T","Ba"},'CDR Project Planner'!$C55))))),'CDR Project Planner'!D55,"")</f>
        <v/>
      </c>
      <c r="E50" s="43" t="str">
        <f>IF(SUMPRODUCT(--(NOT(ISERR(SEARCH({"T","Ba"},'CDR Project Planner'!$C55))))),'CDR Project Planner'!E55,"")</f>
        <v/>
      </c>
      <c r="F50" s="43" t="str">
        <f>IF(SUMPRODUCT(--(NOT(ISERR(SEARCH({"T","Ba"},'CDR Project Planner'!$C55))))),'CDR Project Planner'!F55,"")</f>
        <v/>
      </c>
      <c r="G50" s="43" t="str">
        <f>IF(SUMPRODUCT(--(NOT(ISERR(SEARCH({"T","Ba"},'CDR Project Planner'!$C55))))),'CDR Project Planner'!G55,"")</f>
        <v/>
      </c>
      <c r="H50" s="43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6" t="str">
        <f>IF(SUMPRODUCT(--(NOT(ISERR(SEARCH({"T","Ba"},'CDR Project Planner'!$C56))))),'CDR Project Planner'!B56,"")</f>
        <v/>
      </c>
      <c r="C51" s="36" t="str">
        <f>IF(SUMPRODUCT(--(NOT(ISERR(SEARCH({"T","Ba"},'CDR Project Planner'!$C56))))),'CDR Project Planner'!C56,"")</f>
        <v/>
      </c>
      <c r="D51" s="43" t="str">
        <f>IF(SUMPRODUCT(--(NOT(ISERR(SEARCH({"T","Ba"},'CDR Project Planner'!$C56))))),'CDR Project Planner'!D56,"")</f>
        <v/>
      </c>
      <c r="E51" s="43" t="str">
        <f>IF(SUMPRODUCT(--(NOT(ISERR(SEARCH({"T","Ba"},'CDR Project Planner'!$C56))))),'CDR Project Planner'!E56,"")</f>
        <v/>
      </c>
      <c r="F51" s="43" t="str">
        <f>IF(SUMPRODUCT(--(NOT(ISERR(SEARCH({"T","Ba"},'CDR Project Planner'!$C56))))),'CDR Project Planner'!F56,"")</f>
        <v/>
      </c>
      <c r="G51" s="43" t="str">
        <f>IF(SUMPRODUCT(--(NOT(ISERR(SEARCH({"T","Ba"},'CDR Project Planner'!$C56))))),'CDR Project Planner'!G56,"")</f>
        <v/>
      </c>
      <c r="H51" s="43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6" t="str">
        <f>IF(SUMPRODUCT(--(NOT(ISERR(SEARCH({"T","Ba"},'CDR Project Planner'!$C57))))),'CDR Project Planner'!B57,"")</f>
        <v/>
      </c>
      <c r="C52" s="36" t="str">
        <f>IF(SUMPRODUCT(--(NOT(ISERR(SEARCH({"T","Ba"},'CDR Project Planner'!$C57))))),'CDR Project Planner'!C57,"")</f>
        <v/>
      </c>
      <c r="D52" s="43" t="str">
        <f>IF(SUMPRODUCT(--(NOT(ISERR(SEARCH({"T","Ba"},'CDR Project Planner'!$C57))))),'CDR Project Planner'!D57,"")</f>
        <v/>
      </c>
      <c r="E52" s="43" t="str">
        <f>IF(SUMPRODUCT(--(NOT(ISERR(SEARCH({"T","Ba"},'CDR Project Planner'!$C57))))),'CDR Project Planner'!E57,"")</f>
        <v/>
      </c>
      <c r="F52" s="43" t="str">
        <f>IF(SUMPRODUCT(--(NOT(ISERR(SEARCH({"T","Ba"},'CDR Project Planner'!$C57))))),'CDR Project Planner'!F57,"")</f>
        <v/>
      </c>
      <c r="G52" s="43" t="str">
        <f>IF(SUMPRODUCT(--(NOT(ISERR(SEARCH({"T","Ba"},'CDR Project Planner'!$C57))))),'CDR Project Planner'!G57,"")</f>
        <v/>
      </c>
      <c r="H52" s="43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327" priority="2">
      <formula>PercentComplete</formula>
    </cfRule>
    <cfRule type="expression" dxfId="326" priority="3">
      <formula>PercentCompleteBeyond</formula>
    </cfRule>
    <cfRule type="expression" dxfId="325" priority="4">
      <formula>Actual</formula>
    </cfRule>
    <cfRule type="expression" dxfId="324" priority="5">
      <formula>ActualBeyond</formula>
    </cfRule>
    <cfRule type="expression" dxfId="323" priority="6">
      <formula>Plan</formula>
    </cfRule>
    <cfRule type="expression" dxfId="322" priority="7">
      <formula>I$4=period_selected</formula>
    </cfRule>
    <cfRule type="expression" dxfId="321" priority="8">
      <formula>MOD(COLUMN(),2)</formula>
    </cfRule>
    <cfRule type="expression" dxfId="320" priority="9">
      <formula>MOD(COLUMN(),2)=0</formula>
    </cfRule>
  </conditionalFormatting>
  <conditionalFormatting sqref="I4:BP4">
    <cfRule type="expression" dxfId="319" priority="10">
      <formula>I$4=period_selected</formula>
    </cfRule>
  </conditionalFormatting>
  <conditionalFormatting sqref="I5:BP6 I39:BP39 I21:BP28 I42:BP42 I45:BP45 I48:BP48">
    <cfRule type="expression" dxfId="318" priority="11">
      <formula>PercentComplete</formula>
    </cfRule>
    <cfRule type="expression" dxfId="317" priority="12">
      <formula>PercentCompleteBeyond</formula>
    </cfRule>
    <cfRule type="expression" dxfId="316" priority="13">
      <formula>Actual</formula>
    </cfRule>
    <cfRule type="expression" dxfId="315" priority="14">
      <formula>ActualBeyond</formula>
    </cfRule>
    <cfRule type="expression" dxfId="314" priority="15">
      <formula>Plan</formula>
    </cfRule>
    <cfRule type="expression" dxfId="313" priority="16">
      <formula>I$4=period_selected</formula>
    </cfRule>
    <cfRule type="expression" dxfId="312" priority="17">
      <formula>MOD(COLUMN(),2)</formula>
    </cfRule>
    <cfRule type="expression" dxfId="311" priority="18">
      <formula>MOD(COLUMN(),2)=0</formula>
    </cfRule>
  </conditionalFormatting>
  <conditionalFormatting sqref="I38:BP38 I41:BP41 I44:BP44 I47:BP47">
    <cfRule type="expression" dxfId="310" priority="19">
      <formula>PercentComplete</formula>
    </cfRule>
    <cfRule type="expression" dxfId="309" priority="20">
      <formula>PercentCompleteBeyond</formula>
    </cfRule>
    <cfRule type="expression" dxfId="308" priority="21">
      <formula>Actual</formula>
    </cfRule>
    <cfRule type="expression" dxfId="307" priority="22">
      <formula>ActualBeyond</formula>
    </cfRule>
    <cfRule type="expression" dxfId="306" priority="23">
      <formula>Plan</formula>
    </cfRule>
    <cfRule type="expression" dxfId="305" priority="24">
      <formula>I$4=period_selected</formula>
    </cfRule>
    <cfRule type="expression" dxfId="304" priority="25">
      <formula>MOD(COLUMN(),2)</formula>
    </cfRule>
    <cfRule type="expression" dxfId="303" priority="26">
      <formula>MOD(COLUMN(),2)=0</formula>
    </cfRule>
  </conditionalFormatting>
  <conditionalFormatting sqref="I20:BP20">
    <cfRule type="expression" dxfId="302" priority="27">
      <formula>PercentComplete</formula>
    </cfRule>
    <cfRule type="expression" dxfId="301" priority="28">
      <formula>PercentCompleteBeyond</formula>
    </cfRule>
    <cfRule type="expression" dxfId="300" priority="29">
      <formula>Actual</formula>
    </cfRule>
    <cfRule type="expression" dxfId="299" priority="30">
      <formula>ActualBeyond</formula>
    </cfRule>
    <cfRule type="expression" dxfId="298" priority="31">
      <formula>Plan</formula>
    </cfRule>
    <cfRule type="expression" dxfId="297" priority="32">
      <formula>I$4=period_selected</formula>
    </cfRule>
    <cfRule type="expression" dxfId="296" priority="33">
      <formula>MOD(COLUMN(),2)</formula>
    </cfRule>
    <cfRule type="expression" dxfId="295" priority="34">
      <formula>MOD(COLUMN(),2)=0</formula>
    </cfRule>
  </conditionalFormatting>
  <conditionalFormatting sqref="I16:BP16 I18:BP19">
    <cfRule type="expression" dxfId="294" priority="35">
      <formula>PercentComplete</formula>
    </cfRule>
    <cfRule type="expression" dxfId="293" priority="36">
      <formula>PercentCompleteBeyond</formula>
    </cfRule>
    <cfRule type="expression" dxfId="292" priority="37">
      <formula>Actual</formula>
    </cfRule>
    <cfRule type="expression" dxfId="291" priority="38">
      <formula>ActualBeyond</formula>
    </cfRule>
    <cfRule type="expression" dxfId="290" priority="39">
      <formula>Plan</formula>
    </cfRule>
    <cfRule type="expression" dxfId="289" priority="40">
      <formula>I$4=period_selected</formula>
    </cfRule>
    <cfRule type="expression" dxfId="288" priority="41">
      <formula>MOD(COLUMN(),2)</formula>
    </cfRule>
    <cfRule type="expression" dxfId="287" priority="42">
      <formula>MOD(COLUMN(),2)=0</formula>
    </cfRule>
  </conditionalFormatting>
  <conditionalFormatting sqref="I17:BP17">
    <cfRule type="expression" dxfId="286" priority="43">
      <formula>PercentComplete</formula>
    </cfRule>
    <cfRule type="expression" dxfId="285" priority="44">
      <formula>PercentCompleteBeyond</formula>
    </cfRule>
    <cfRule type="expression" dxfId="284" priority="45">
      <formula>Actual</formula>
    </cfRule>
    <cfRule type="expression" dxfId="283" priority="46">
      <formula>ActualBeyond</formula>
    </cfRule>
    <cfRule type="expression" dxfId="282" priority="47">
      <formula>Plan</formula>
    </cfRule>
    <cfRule type="expression" dxfId="281" priority="48">
      <formula>I$4=period_selected</formula>
    </cfRule>
    <cfRule type="expression" dxfId="280" priority="49">
      <formula>MOD(COLUMN(),2)</formula>
    </cfRule>
    <cfRule type="expression" dxfId="279" priority="50">
      <formula>MOD(COLUMN(),2)=0</formula>
    </cfRule>
  </conditionalFormatting>
  <conditionalFormatting sqref="H53:H56">
    <cfRule type="cellIs" dxfId="278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277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59</v>
      </c>
      <c r="C1" s="7"/>
      <c r="D1" s="8"/>
      <c r="E1" s="8"/>
      <c r="F1" s="8"/>
      <c r="G1" s="8"/>
      <c r="H1" s="8"/>
    </row>
    <row r="2" spans="1:68" ht="21" customHeight="1" x14ac:dyDescent="0.3">
      <c r="B2" s="201">
        <f ca="1">NOW()</f>
        <v>43192.990386921294</v>
      </c>
      <c r="C2" s="201"/>
      <c r="D2" s="201"/>
      <c r="E2" s="201"/>
      <c r="F2" s="201"/>
      <c r="G2" s="201"/>
      <c r="H2" s="9" t="s">
        <v>1</v>
      </c>
      <c r="I2" s="10">
        <f ca="1">DAY(NOW())+31</f>
        <v>33</v>
      </c>
      <c r="K2" s="11"/>
      <c r="L2" s="202" t="s">
        <v>2</v>
      </c>
      <c r="M2" s="202"/>
      <c r="N2" s="202"/>
      <c r="O2" s="202"/>
      <c r="P2" s="202"/>
      <c r="Q2" s="12"/>
      <c r="R2" s="202" t="s">
        <v>3</v>
      </c>
      <c r="S2" s="202"/>
      <c r="T2" s="202"/>
      <c r="U2" s="202"/>
      <c r="V2" s="13"/>
      <c r="W2" s="202" t="s">
        <v>4</v>
      </c>
      <c r="X2" s="202"/>
      <c r="Y2" s="202"/>
      <c r="Z2" s="202"/>
      <c r="AA2" s="14"/>
      <c r="AB2" s="202" t="s">
        <v>5</v>
      </c>
      <c r="AC2" s="202"/>
      <c r="AD2" s="202"/>
      <c r="AE2" s="202"/>
      <c r="AF2" s="202"/>
      <c r="AG2" s="202"/>
      <c r="AH2" s="202"/>
      <c r="AI2" s="15"/>
      <c r="AJ2" s="196" t="s">
        <v>6</v>
      </c>
      <c r="AK2" s="196"/>
      <c r="AL2" s="196"/>
      <c r="AM2" s="196"/>
      <c r="AN2" s="196"/>
      <c r="AO2" s="196"/>
      <c r="AP2" s="196"/>
      <c r="AQ2" s="196"/>
    </row>
    <row r="3" spans="1:68" s="16" customFormat="1" ht="39.9" customHeight="1" x14ac:dyDescent="0.3">
      <c r="B3" s="197" t="s">
        <v>7</v>
      </c>
      <c r="C3" s="198" t="s">
        <v>8</v>
      </c>
      <c r="D3" s="199" t="s">
        <v>9</v>
      </c>
      <c r="E3" s="199" t="s">
        <v>10</v>
      </c>
      <c r="F3" s="199" t="s">
        <v>11</v>
      </c>
      <c r="G3" s="199" t="s">
        <v>12</v>
      </c>
      <c r="H3" s="200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197"/>
      <c r="C4" s="198"/>
      <c r="D4" s="199"/>
      <c r="E4" s="199"/>
      <c r="F4" s="199"/>
      <c r="G4" s="199"/>
      <c r="H4" s="200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8" t="str">
        <f>IF(SUMPRODUCT(--(NOT(ISERR(SEARCH({"T","C"},'CDR Project Planner'!$C5))))),'CDR Project Planner'!B5,"")</f>
        <v>PDR</v>
      </c>
      <c r="C5" s="39" t="str">
        <f>IF(SUMPRODUCT(--(NOT(ISERR(SEARCH({"T","C"},'CDR Project Planner'!$C5))))),'CDR Project Planner'!C5,"")</f>
        <v>T</v>
      </c>
      <c r="D5" s="39">
        <f>IF(SUMPRODUCT(--(NOT(ISERR(SEARCH({"T","C"},'CDR Project Planner'!$C5))))),'CDR Project Planner'!D5,"")</f>
        <v>22</v>
      </c>
      <c r="E5" s="39">
        <f>IF(SUMPRODUCT(--(NOT(ISERR(SEARCH({"T","C"},'CDR Project Planner'!$C5))))),'CDR Project Planner'!E5,"")</f>
        <v>1</v>
      </c>
      <c r="F5" s="39">
        <f>IF(SUMPRODUCT(--(NOT(ISERR(SEARCH({"T","C"},'CDR Project Planner'!$C5))))),'CDR Project Planner'!F5,"")</f>
        <v>22</v>
      </c>
      <c r="G5" s="39">
        <f>IF(SUMPRODUCT(--(NOT(ISERR(SEARCH({"T","C"},'CDR Project Planner'!$C5))))),'CDR Project Planner'!G5,"")</f>
        <v>1</v>
      </c>
      <c r="H5" s="40">
        <f>IF(SUMPRODUCT(--(NOT(ISERR(SEARCH({"T","C"},'CDR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5">
      <c r="B6" s="41" t="str">
        <f>IF(SUMPRODUCT(--(NOT(ISERR(SEARCH({"T","C"},'CDR Project Planner'!$C6))))),'CDR Project Planner'!B6,"")</f>
        <v>System</v>
      </c>
      <c r="C6" s="35" t="str">
        <f>IF(SUMPRODUCT(--(NOT(ISERR(SEARCH({"T","C"},'CDR Project Planner'!$C6))))),'CDR Project Planner'!C6,"")</f>
        <v>P &amp; Br &amp; C &amp; Ba</v>
      </c>
      <c r="D6" s="35"/>
      <c r="E6" s="35"/>
      <c r="F6" s="35"/>
      <c r="G6" s="35"/>
      <c r="H6" s="40">
        <f>IF(SUMPRODUCT(--(NOT(ISERR(SEARCH({"T","C"},'CDR Project Planner'!$C6))))),'CDR Project Planner'!H6,"")</f>
        <v>0</v>
      </c>
    </row>
    <row r="7" spans="1:68" s="4" customFormat="1" ht="14.4" outlineLevel="1" x14ac:dyDescent="0.3">
      <c r="A7" s="1"/>
      <c r="B7" s="34" t="str">
        <f>IF(SUMPRODUCT(--(NOT(ISERR(SEARCH({"T","C"},'CDR Project Planner'!$C7))))),'CDR Project Planner'!B7,"")</f>
        <v/>
      </c>
      <c r="C7" s="35" t="str">
        <f>IF(SUMPRODUCT(--(NOT(ISERR(SEARCH({"T","C"},'CDR Project Planner'!$C7))))),'CDR Project Planner'!C7,"")</f>
        <v/>
      </c>
      <c r="D7" s="35" t="str">
        <f>IF(SUMPRODUCT(--(NOT(ISERR(SEARCH({"T","C"},'CDR Project Planner'!$C7))))),'CDR Project Planner'!D7,"")</f>
        <v/>
      </c>
      <c r="E7" s="35" t="str">
        <f>IF(SUMPRODUCT(--(NOT(ISERR(SEARCH({"T","C"},'CDR Project Planner'!$C7))))),'CDR Project Planner'!E7,"")</f>
        <v/>
      </c>
      <c r="F7" s="35" t="str">
        <f>IF(SUMPRODUCT(--(NOT(ISERR(SEARCH({"T","C"},'CDR Project Planner'!$C7))))),'CDR Project Planner'!F7,"")</f>
        <v/>
      </c>
      <c r="G7" s="35" t="str">
        <f>IF(SUMPRODUCT(--(NOT(ISERR(SEARCH({"T","C"},'CDR Project Planner'!$C7))))),'CDR Project Planner'!G7,"")</f>
        <v/>
      </c>
      <c r="H7" s="40" t="str">
        <f>IF(SUMPRODUCT(--(NOT(ISERR(SEARCH({"T","C"},'CDR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2" t="str">
        <f>IF(SUMPRODUCT(--(NOT(ISERR(SEARCH({"T","C"},'CDR Project Planner'!$C8))))),'CDR Project Planner'!B8,"")</f>
        <v>Unit Tests - Python - Encoders</v>
      </c>
      <c r="C8" s="35" t="str">
        <f>IF(SUMPRODUCT(--(NOT(ISERR(SEARCH({"T","C"},'CDR Project Planner'!$C8))))),'CDR Project Planner'!C8,"")</f>
        <v>C</v>
      </c>
      <c r="D8" s="35">
        <f>IF(SUMPRODUCT(--(NOT(ISERR(SEARCH({"T","C"},'CDR Project Planner'!$C8))))),'CDR Project Planner'!D8,"")</f>
        <v>23</v>
      </c>
      <c r="E8" s="35">
        <f>IF(SUMPRODUCT(--(NOT(ISERR(SEARCH({"T","C"},'CDR Project Planner'!$C8))))),'CDR Project Planner'!E8,"")</f>
        <v>1</v>
      </c>
      <c r="F8" s="35">
        <f>IF(SUMPRODUCT(--(NOT(ISERR(SEARCH({"T","C"},'CDR Project Planner'!$C8))))),'CDR Project Planner'!F8,"")</f>
        <v>0</v>
      </c>
      <c r="G8" s="35">
        <f>IF(SUMPRODUCT(--(NOT(ISERR(SEARCH({"T","C"},'CDR Project Planner'!$C8))))),'CDR Project Planner'!G8,"")</f>
        <v>0</v>
      </c>
      <c r="H8" s="40">
        <f>IF(SUMPRODUCT(--(NOT(ISERR(SEARCH({"T","C"},'CDR Project Planner'!$C8))))),'CDR Project Planner'!H8,"")</f>
        <v>0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4" t="str">
        <f>IF(SUMPRODUCT(--(NOT(ISERR(SEARCH({"T","C"},'CDR Project Planner'!$C9))))),'CDR Project Planner'!B9,"")</f>
        <v/>
      </c>
      <c r="C9" s="35" t="str">
        <f>IF(SUMPRODUCT(--(NOT(ISERR(SEARCH({"T","C"},'CDR Project Planner'!$C9))))),'CDR Project Planner'!C9,"")</f>
        <v/>
      </c>
      <c r="D9" s="35" t="str">
        <f>IF(SUMPRODUCT(--(NOT(ISERR(SEARCH({"T","C"},'CDR Project Planner'!$C9))))),'CDR Project Planner'!D9,"")</f>
        <v/>
      </c>
      <c r="E9" s="35" t="str">
        <f>IF(SUMPRODUCT(--(NOT(ISERR(SEARCH({"T","C"},'CDR Project Planner'!$C9))))),'CDR Project Planner'!E9,"")</f>
        <v/>
      </c>
      <c r="F9" s="35" t="str">
        <f>IF(SUMPRODUCT(--(NOT(ISERR(SEARCH({"T","C"},'CDR Project Planner'!$C9))))),'CDR Project Planner'!F9,"")</f>
        <v/>
      </c>
      <c r="G9" s="35" t="str">
        <f>IF(SUMPRODUCT(--(NOT(ISERR(SEARCH({"T","C"},'CDR Project Planner'!$C9))))),'CDR Project Planner'!G9,"")</f>
        <v/>
      </c>
      <c r="H9" s="40" t="str">
        <f>IF(SUMPRODUCT(--(NOT(ISERR(SEARCH({"T","C"},'CDR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4" t="str">
        <f>IF(SUMPRODUCT(--(NOT(ISERR(SEARCH({"T","C"},'CDR Project Planner'!$C10))))),'CDR Project Planner'!B10,"")</f>
        <v/>
      </c>
      <c r="C10" s="35" t="str">
        <f>IF(SUMPRODUCT(--(NOT(ISERR(SEARCH({"T","C"},'CDR Project Planner'!$C10))))),'CDR Project Planner'!C10,"")</f>
        <v/>
      </c>
      <c r="D10" s="35" t="str">
        <f>IF(SUMPRODUCT(--(NOT(ISERR(SEARCH({"T","C"},'CDR Project Planner'!$C10))))),'CDR Project Planner'!D10,"")</f>
        <v/>
      </c>
      <c r="E10" s="35" t="str">
        <f>IF(SUMPRODUCT(--(NOT(ISERR(SEARCH({"T","C"},'CDR Project Planner'!$C10))))),'CDR Project Planner'!E10,"")</f>
        <v/>
      </c>
      <c r="F10" s="35" t="str">
        <f>IF(SUMPRODUCT(--(NOT(ISERR(SEARCH({"T","C"},'CDR Project Planner'!$C10))))),'CDR Project Planner'!F10,"")</f>
        <v/>
      </c>
      <c r="G10" s="35" t="str">
        <f>IF(SUMPRODUCT(--(NOT(ISERR(SEARCH({"T","C"},'CDR Project Planner'!$C10))))),'CDR Project Planner'!G10,"")</f>
        <v/>
      </c>
      <c r="H10" s="40" t="str">
        <f>IF(SUMPRODUCT(--(NOT(ISERR(SEARCH({"T","C"},'CDR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4" t="str">
        <f>IF(SUMPRODUCT(--(NOT(ISERR(SEARCH({"T","C"},'CDR Project Planner'!#REF!))))),'CDR Project Planner'!#REF!,"")</f>
        <v/>
      </c>
      <c r="C11" s="35" t="str">
        <f>IF(SUMPRODUCT(--(NOT(ISERR(SEARCH({"T","C"},'CDR Project Planner'!#REF!))))),'CDR Project Planner'!#REF!,"")</f>
        <v/>
      </c>
      <c r="D11" s="35" t="str">
        <f>IF(SUMPRODUCT(--(NOT(ISERR(SEARCH({"T","C"},'CDR Project Planner'!#REF!))))),'CDR Project Planner'!#REF!,"")</f>
        <v/>
      </c>
      <c r="E11" s="35" t="str">
        <f>IF(SUMPRODUCT(--(NOT(ISERR(SEARCH({"T","C"},'CDR Project Planner'!#REF!))))),'CDR Project Planner'!#REF!,"")</f>
        <v/>
      </c>
      <c r="F11" s="35" t="str">
        <f>IF(SUMPRODUCT(--(NOT(ISERR(SEARCH({"T","C"},'CDR Project Planner'!#REF!))))),'CDR Project Planner'!#REF!,"")</f>
        <v/>
      </c>
      <c r="G11" s="35" t="str">
        <f>IF(SUMPRODUCT(--(NOT(ISERR(SEARCH({"T","C"},'CDR Project Planner'!#REF!))))),'CDR Project Planner'!#REF!,"")</f>
        <v/>
      </c>
      <c r="H11" s="40" t="str">
        <f>IF(SUMPRODUCT(--(NOT(ISERR(SEARCH({"T","C"},'CDR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4" t="str">
        <f>IF(SUMPRODUCT(--(NOT(ISERR(SEARCH({"T","C"},'CDR Project Planner'!$C11))))),'CDR Project Planner'!B11,"")</f>
        <v/>
      </c>
      <c r="C12" s="35" t="str">
        <f>IF(SUMPRODUCT(--(NOT(ISERR(SEARCH({"T","C"},'CDR Project Planner'!$C11))))),'CDR Project Planner'!C11,"")</f>
        <v/>
      </c>
      <c r="D12" s="35" t="str">
        <f>IF(SUMPRODUCT(--(NOT(ISERR(SEARCH({"T","C"},'CDR Project Planner'!$C11))))),'CDR Project Planner'!D11,"")</f>
        <v/>
      </c>
      <c r="E12" s="35" t="str">
        <f>IF(SUMPRODUCT(--(NOT(ISERR(SEARCH({"T","C"},'CDR Project Planner'!$C11))))),'CDR Project Planner'!E11,"")</f>
        <v/>
      </c>
      <c r="F12" s="35" t="str">
        <f>IF(SUMPRODUCT(--(NOT(ISERR(SEARCH({"T","C"},'CDR Project Planner'!$C11))))),'CDR Project Planner'!F11,"")</f>
        <v/>
      </c>
      <c r="G12" s="35" t="str">
        <f>IF(SUMPRODUCT(--(NOT(ISERR(SEARCH({"T","C"},'CDR Project Planner'!$C11))))),'CDR Project Planner'!G11,"")</f>
        <v/>
      </c>
      <c r="H12" s="40" t="str">
        <f>IF(SUMPRODUCT(--(NOT(ISERR(SEARCH({"T","C"},'CDR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4" t="str">
        <f>IF(SUMPRODUCT(--(NOT(ISERR(SEARCH({"T","C"},'CDR Project Planner'!$C14))))),'CDR Project Planner'!B14,"")</f>
        <v xml:space="preserve">   Calibration - Python</v>
      </c>
      <c r="C13" s="35" t="str">
        <f>IF(SUMPRODUCT(--(NOT(ISERR(SEARCH({"T","C"},'CDR Project Planner'!$C14))))),'CDR Project Planner'!C14,"")</f>
        <v>C &amp; Z</v>
      </c>
      <c r="D13" s="35">
        <f>IF(SUMPRODUCT(--(NOT(ISERR(SEARCH({"T","C"},'CDR Project Planner'!$C14))))),'CDR Project Planner'!D14,"")</f>
        <v>31</v>
      </c>
      <c r="E13" s="35">
        <f>IF(SUMPRODUCT(--(NOT(ISERR(SEARCH({"T","C"},'CDR Project Planner'!$C14))))),'CDR Project Planner'!E14,"")</f>
        <v>7</v>
      </c>
      <c r="F13" s="35">
        <f>IF(SUMPRODUCT(--(NOT(ISERR(SEARCH({"T","C"},'CDR Project Planner'!$C14))))),'CDR Project Planner'!F14,"")</f>
        <v>0</v>
      </c>
      <c r="G13" s="35">
        <f>IF(SUMPRODUCT(--(NOT(ISERR(SEARCH({"T","C"},'CDR Project Planner'!$C14))))),'CDR Project Planner'!G14,"")</f>
        <v>0</v>
      </c>
      <c r="H13" s="40">
        <f>IF(SUMPRODUCT(--(NOT(ISERR(SEARCH({"T","C"},'CDR Project Planner'!$C14))))),'CDR Project Planner'!H14,"")</f>
        <v>0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4" t="str">
        <f>IF(SUMPRODUCT(--(NOT(ISERR(SEARCH({"T","C"},'CDR Project Planner'!$C15))))),'CDR Project Planner'!B15,"")</f>
        <v/>
      </c>
      <c r="C14" s="35" t="str">
        <f>IF(SUMPRODUCT(--(NOT(ISERR(SEARCH({"T","C"},'CDR Project Planner'!$C15))))),'CDR Project Planner'!C15,"")</f>
        <v/>
      </c>
      <c r="D14" s="35" t="str">
        <f>IF(SUMPRODUCT(--(NOT(ISERR(SEARCH({"T","C"},'CDR Project Planner'!$C15))))),'CDR Project Planner'!D15,"")</f>
        <v/>
      </c>
      <c r="E14" s="35" t="str">
        <f>IF(SUMPRODUCT(--(NOT(ISERR(SEARCH({"T","C"},'CDR Project Planner'!$C15))))),'CDR Project Planner'!E15,"")</f>
        <v/>
      </c>
      <c r="F14" s="35" t="str">
        <f>IF(SUMPRODUCT(--(NOT(ISERR(SEARCH({"T","C"},'CDR Project Planner'!$C15))))),'CDR Project Planner'!F15,"")</f>
        <v/>
      </c>
      <c r="G14" s="35" t="str">
        <f>IF(SUMPRODUCT(--(NOT(ISERR(SEARCH({"T","C"},'CDR Project Planner'!$C15))))),'CDR Project Planner'!G15,"")</f>
        <v/>
      </c>
      <c r="H14" s="35" t="str">
        <f>IF(SUMPRODUCT(--(NOT(ISERR(SEARCH({"T","C"},'CDR Project Planner'!$C15))))),'CDR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4" t="str">
        <f>IF(SUMPRODUCT(--(NOT(ISERR(SEARCH({"T","C"},'CDR Project Planner'!$C16))))),'CDR Project Planner'!B16,"")</f>
        <v/>
      </c>
      <c r="C15" s="35" t="str">
        <f>IF(SUMPRODUCT(--(NOT(ISERR(SEARCH({"T","C"},'CDR Project Planner'!$C16))))),'CDR Project Planner'!C16,"")</f>
        <v/>
      </c>
      <c r="D15" s="35" t="str">
        <f>IF(SUMPRODUCT(--(NOT(ISERR(SEARCH({"T","C"},'CDR Project Planner'!$C16))))),'CDR Project Planner'!D16,"")</f>
        <v/>
      </c>
      <c r="E15" s="35" t="str">
        <f>IF(SUMPRODUCT(--(NOT(ISERR(SEARCH({"T","C"},'CDR Project Planner'!$C16))))),'CDR Project Planner'!E16,"")</f>
        <v/>
      </c>
      <c r="F15" s="35" t="str">
        <f>IF(SUMPRODUCT(--(NOT(ISERR(SEARCH({"T","C"},'CDR Project Planner'!$C16))))),'CDR Project Planner'!F16,"")</f>
        <v/>
      </c>
      <c r="G15" s="35" t="str">
        <f>IF(SUMPRODUCT(--(NOT(ISERR(SEARCH({"T","C"},'CDR Project Planner'!$C16))))),'CDR Project Planner'!G16,"")</f>
        <v/>
      </c>
      <c r="H15" s="35" t="str">
        <f>IF(SUMPRODUCT(--(NOT(ISERR(SEARCH({"T","C"},'CDR Project Planner'!$C16))))),'CDR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4" t="str">
        <f>IF(SUMPRODUCT(--(NOT(ISERR(SEARCH({"T","C"},'CDR Project Planner'!$C17))))),'CDR Project Planner'!B17,"")</f>
        <v/>
      </c>
      <c r="C16" s="35" t="str">
        <f>IF(SUMPRODUCT(--(NOT(ISERR(SEARCH({"T","C"},'CDR Project Planner'!$C17))))),'CDR Project Planner'!C17,"")</f>
        <v/>
      </c>
      <c r="D16" s="35" t="str">
        <f>IF(SUMPRODUCT(--(NOT(ISERR(SEARCH({"T","C"},'CDR Project Planner'!$C17))))),'CDR Project Planner'!D17,"")</f>
        <v/>
      </c>
      <c r="E16" s="35" t="str">
        <f>IF(SUMPRODUCT(--(NOT(ISERR(SEARCH({"T","C"},'CDR Project Planner'!$C17))))),'CDR Project Planner'!E17,"")</f>
        <v/>
      </c>
      <c r="F16" s="35" t="str">
        <f>IF(SUMPRODUCT(--(NOT(ISERR(SEARCH({"T","C"},'CDR Project Planner'!$C17))))),'CDR Project Planner'!F17,"")</f>
        <v/>
      </c>
      <c r="G16" s="35" t="str">
        <f>IF(SUMPRODUCT(--(NOT(ISERR(SEARCH({"T","C"},'CDR Project Planner'!$C17))))),'CDR Project Planner'!G17,"")</f>
        <v/>
      </c>
      <c r="H16" s="35" t="str">
        <f>IF(SUMPRODUCT(--(NOT(ISERR(SEARCH({"T","C"},'CDR Project Planner'!$C17))))),'CDR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4" t="str">
        <f>IF(SUMPRODUCT(--(NOT(ISERR(SEARCH({"T","C"},'CDR Project Planner'!$C18))))),'CDR Project Planner'!B18,"")</f>
        <v/>
      </c>
      <c r="C17" s="35" t="str">
        <f>IF(SUMPRODUCT(--(NOT(ISERR(SEARCH({"T","C"},'CDR Project Planner'!$C18))))),'CDR Project Planner'!C18,"")</f>
        <v/>
      </c>
      <c r="D17" s="35" t="str">
        <f>IF(SUMPRODUCT(--(NOT(ISERR(SEARCH({"T","C"},'CDR Project Planner'!$C18))))),'CDR Project Planner'!D18,"")</f>
        <v/>
      </c>
      <c r="E17" s="35" t="str">
        <f>IF(SUMPRODUCT(--(NOT(ISERR(SEARCH({"T","C"},'CDR Project Planner'!$C18))))),'CDR Project Planner'!E18,"")</f>
        <v/>
      </c>
      <c r="F17" s="35" t="str">
        <f>IF(SUMPRODUCT(--(NOT(ISERR(SEARCH({"T","C"},'CDR Project Planner'!$C18))))),'CDR Project Planner'!F18,"")</f>
        <v/>
      </c>
      <c r="G17" s="35" t="str">
        <f>IF(SUMPRODUCT(--(NOT(ISERR(SEARCH({"T","C"},'CDR Project Planner'!$C18))))),'CDR Project Planner'!G18,"")</f>
        <v/>
      </c>
      <c r="H17" s="35" t="str">
        <f>IF(SUMPRODUCT(--(NOT(ISERR(SEARCH({"T","C"},'CDR Project Planner'!$C18))))),'CDR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4" t="str">
        <f>IF(SUMPRODUCT(--(NOT(ISERR(SEARCH({"T","C"},'CDR Project Planner'!$C19))))),'CDR Project Planner'!B19,"")</f>
        <v/>
      </c>
      <c r="C18" s="35" t="str">
        <f>IF(SUMPRODUCT(--(NOT(ISERR(SEARCH({"T","C"},'CDR Project Planner'!$C19))))),'CDR Project Planner'!C19,"")</f>
        <v/>
      </c>
      <c r="D18" s="35" t="str">
        <f>IF(SUMPRODUCT(--(NOT(ISERR(SEARCH({"T","C"},'CDR Project Planner'!$C19))))),'CDR Project Planner'!D19,"")</f>
        <v/>
      </c>
      <c r="E18" s="35" t="str">
        <f>IF(SUMPRODUCT(--(NOT(ISERR(SEARCH({"T","C"},'CDR Project Planner'!$C19))))),'CDR Project Planner'!E19,"")</f>
        <v/>
      </c>
      <c r="F18" s="35" t="str">
        <f>IF(SUMPRODUCT(--(NOT(ISERR(SEARCH({"T","C"},'CDR Project Planner'!$C19))))),'CDR Project Planner'!F19,"")</f>
        <v/>
      </c>
      <c r="G18" s="35" t="str">
        <f>IF(SUMPRODUCT(--(NOT(ISERR(SEARCH({"T","C"},'CDR Project Planner'!$C19))))),'CDR Project Planner'!G19,"")</f>
        <v/>
      </c>
      <c r="H18" s="35" t="str">
        <f>IF(SUMPRODUCT(--(NOT(ISERR(SEARCH({"T","C"},'CDR Project Planner'!$C19))))),'CDR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4" t="str">
        <f>IF(SUMPRODUCT(--(NOT(ISERR(SEARCH({"T","C"},'CDR Project Planner'!#REF!))))),'CDR Project Planner'!#REF!,"")</f>
        <v/>
      </c>
      <c r="C19" s="35" t="str">
        <f>IF(SUMPRODUCT(--(NOT(ISERR(SEARCH({"T","C"},'CDR Project Planner'!#REF!))))),'CDR Project Planner'!#REF!,"")</f>
        <v/>
      </c>
      <c r="D19" s="35" t="str">
        <f>IF(SUMPRODUCT(--(NOT(ISERR(SEARCH({"T","C"},'CDR Project Planner'!#REF!))))),'CDR Project Planner'!#REF!,"")</f>
        <v/>
      </c>
      <c r="E19" s="35" t="str">
        <f>IF(SUMPRODUCT(--(NOT(ISERR(SEARCH({"T","C"},'CDR Project Planner'!#REF!))))),'CDR Project Planner'!#REF!,"")</f>
        <v/>
      </c>
      <c r="F19" s="35" t="str">
        <f>IF(SUMPRODUCT(--(NOT(ISERR(SEARCH({"T","C"},'CDR Project Planner'!#REF!))))),'CDR Project Planner'!#REF!,"")</f>
        <v/>
      </c>
      <c r="G19" s="35" t="str">
        <f>IF(SUMPRODUCT(--(NOT(ISERR(SEARCH({"T","C"},'CDR Project Planner'!#REF!))))),'CDR Project Planner'!#REF!,"")</f>
        <v/>
      </c>
      <c r="H19" s="35" t="str">
        <f>IF(SUMPRODUCT(--(NOT(ISERR(SEARCH({"T","C"},'CDR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4" t="str">
        <f>IF(SUMPRODUCT(--(NOT(ISERR(SEARCH({"T","C"},'CDR Project Planner'!#REF!))))),'CDR Project Planner'!#REF!,"")</f>
        <v/>
      </c>
      <c r="C20" s="35" t="str">
        <f>IF(SUMPRODUCT(--(NOT(ISERR(SEARCH({"T","C"},'CDR Project Planner'!#REF!))))),'CDR Project Planner'!#REF!,"")</f>
        <v/>
      </c>
      <c r="D20" s="35" t="str">
        <f>IF(SUMPRODUCT(--(NOT(ISERR(SEARCH({"T","C"},'CDR Project Planner'!#REF!))))),'CDR Project Planner'!#REF!,"")</f>
        <v/>
      </c>
      <c r="E20" s="35" t="str">
        <f>IF(SUMPRODUCT(--(NOT(ISERR(SEARCH({"T","C"},'CDR Project Planner'!#REF!))))),'CDR Project Planner'!#REF!,"")</f>
        <v/>
      </c>
      <c r="F20" s="35" t="str">
        <f>IF(SUMPRODUCT(--(NOT(ISERR(SEARCH({"T","C"},'CDR Project Planner'!#REF!))))),'CDR Project Planner'!#REF!,"")</f>
        <v/>
      </c>
      <c r="G20" s="35" t="str">
        <f>IF(SUMPRODUCT(--(NOT(ISERR(SEARCH({"T","C"},'CDR Project Planner'!#REF!))))),'CDR Project Planner'!#REF!,"")</f>
        <v/>
      </c>
      <c r="H20" s="35" t="str">
        <f>IF(SUMPRODUCT(--(NOT(ISERR(SEARCH({"T","C"},'CDR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41" t="str">
        <f>IF(SUMPRODUCT(--(NOT(ISERR(SEARCH({"T","C"},'CDR Project Planner'!$C21))))),'CDR Project Planner'!B21,"")</f>
        <v>Python</v>
      </c>
      <c r="C21" s="35" t="str">
        <f>IF(SUMPRODUCT(--(NOT(ISERR(SEARCH({"T","C"},'CDR Project Planner'!$C21))))),'CDR Project Planner'!C21,"")</f>
        <v>C &amp; Z</v>
      </c>
      <c r="D21" s="35"/>
      <c r="E21" s="35"/>
      <c r="F21" s="35"/>
      <c r="G21" s="35"/>
      <c r="H21" s="40">
        <f>IF(SUMPRODUCT(--(NOT(ISERR(SEARCH({"T","C"},'CDR Project Planner'!$C21))))),'CDR Project Planner'!H21,"")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42" t="str">
        <f>IF(SUMPRODUCT(--(NOT(ISERR(SEARCH({"T","C"},'CDR Project Planner'!$C22))))),'CDR Project Planner'!B22,"")</f>
        <v/>
      </c>
      <c r="C22" s="35" t="str">
        <f>IF(SUMPRODUCT(--(NOT(ISERR(SEARCH({"T","C"},'CDR Project Planner'!$C22))))),'CDR Project Planner'!C22,"")</f>
        <v/>
      </c>
      <c r="D22" s="35" t="str">
        <f>IF(SUMPRODUCT(--(NOT(ISERR(SEARCH({"T","C"},'CDR Project Planner'!$C22))))),'CDR Project Planner'!D22,"")</f>
        <v/>
      </c>
      <c r="E22" s="35" t="str">
        <f>IF(SUMPRODUCT(--(NOT(ISERR(SEARCH({"T","C"},'CDR Project Planner'!$C22))))),'CDR Project Planner'!E22,"")</f>
        <v/>
      </c>
      <c r="F22" s="35" t="str">
        <f>IF(SUMPRODUCT(--(NOT(ISERR(SEARCH({"T","C"},'CDR Project Planner'!$C22))))),'CDR Project Planner'!F22,"")</f>
        <v/>
      </c>
      <c r="G22" s="35" t="str">
        <f>IF(SUMPRODUCT(--(NOT(ISERR(SEARCH({"T","C"},'CDR Project Planner'!$C22))))),'CDR Project Planner'!G22,"")</f>
        <v/>
      </c>
      <c r="H22" s="40" t="str">
        <f>IF(SUMPRODUCT(--(NOT(ISERR(SEARCH({"T","C"},'CDR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42" t="str">
        <f>IF(SUMPRODUCT(--(NOT(ISERR(SEARCH({"T","C"},'CDR Project Planner'!$C23))))),'CDR Project Planner'!B23,"")</f>
        <v>GUI - Create unknown map</v>
      </c>
      <c r="C23" s="35" t="str">
        <f>IF(SUMPRODUCT(--(NOT(ISERR(SEARCH({"T","C"},'CDR Project Planner'!$C23))))),'CDR Project Planner'!C23,"")</f>
        <v>C</v>
      </c>
      <c r="D23" s="35">
        <f>IF(SUMPRODUCT(--(NOT(ISERR(SEARCH({"T","C"},'CDR Project Planner'!$C23))))),'CDR Project Planner'!D23,"")</f>
        <v>32</v>
      </c>
      <c r="E23" s="35">
        <f>IF(SUMPRODUCT(--(NOT(ISERR(SEARCH({"T","C"},'CDR Project Planner'!$C23))))),'CDR Project Planner'!E23,"")</f>
        <v>15</v>
      </c>
      <c r="F23" s="35">
        <f>IF(SUMPRODUCT(--(NOT(ISERR(SEARCH({"T","C"},'CDR Project Planner'!$C23))))),'CDR Project Planner'!F23,"")</f>
        <v>0</v>
      </c>
      <c r="G23" s="35">
        <f>IF(SUMPRODUCT(--(NOT(ISERR(SEARCH({"T","C"},'CDR Project Planner'!$C23))))),'CDR Project Planner'!G23,"")</f>
        <v>0</v>
      </c>
      <c r="H23" s="40">
        <f>IF(SUMPRODUCT(--(NOT(ISERR(SEARCH({"T","C"},'CDR Project Planner'!$C23))))),'CDR Project Planner'!H23,"")</f>
        <v>0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42" t="str">
        <f>IF(SUMPRODUCT(--(NOT(ISERR(SEARCH({"T","C"},'CDR Project Planner'!$C24))))),'CDR Project Planner'!B24,"")</f>
        <v/>
      </c>
      <c r="C24" s="35" t="str">
        <f>IF(SUMPRODUCT(--(NOT(ISERR(SEARCH({"T","C"},'CDR Project Planner'!$C24))))),'CDR Project Planner'!C24,"")</f>
        <v/>
      </c>
      <c r="D24" s="35" t="str">
        <f>IF(SUMPRODUCT(--(NOT(ISERR(SEARCH({"T","C"},'CDR Project Planner'!$C24))))),'CDR Project Planner'!D24,"")</f>
        <v/>
      </c>
      <c r="E24" s="35" t="str">
        <f>IF(SUMPRODUCT(--(NOT(ISERR(SEARCH({"T","C"},'CDR Project Planner'!$C24))))),'CDR Project Planner'!E24,"")</f>
        <v/>
      </c>
      <c r="F24" s="35" t="str">
        <f>IF(SUMPRODUCT(--(NOT(ISERR(SEARCH({"T","C"},'CDR Project Planner'!$C24))))),'CDR Project Planner'!F24,"")</f>
        <v/>
      </c>
      <c r="G24" s="35" t="str">
        <f>IF(SUMPRODUCT(--(NOT(ISERR(SEARCH({"T","C"},'CDR Project Planner'!$C24))))),'CDR Project Planner'!G24,"")</f>
        <v/>
      </c>
      <c r="H24" s="40" t="str">
        <f>IF(SUMPRODUCT(--(NOT(ISERR(SEARCH({"T","C"},'CDR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42" t="str">
        <f>IF(SUMPRODUCT(--(NOT(ISERR(SEARCH({"T","C"},'CDR Project Planner'!#REF!))))),'CDR Project Planner'!#REF!,"")</f>
        <v/>
      </c>
      <c r="C25" s="35" t="str">
        <f>IF(SUMPRODUCT(--(NOT(ISERR(SEARCH({"T","C"},'CDR Project Planner'!#REF!))))),'CDR Project Planner'!#REF!,"")</f>
        <v/>
      </c>
      <c r="D25" s="35" t="str">
        <f>IF(SUMPRODUCT(--(NOT(ISERR(SEARCH({"T","C"},'CDR Project Planner'!#REF!))))),'CDR Project Planner'!#REF!,"")</f>
        <v/>
      </c>
      <c r="E25" s="35" t="str">
        <f>IF(SUMPRODUCT(--(NOT(ISERR(SEARCH({"T","C"},'CDR Project Planner'!#REF!))))),'CDR Project Planner'!#REF!,"")</f>
        <v/>
      </c>
      <c r="F25" s="35" t="str">
        <f>IF(SUMPRODUCT(--(NOT(ISERR(SEARCH({"T","C"},'CDR Project Planner'!#REF!))))),'CDR Project Planner'!#REF!,"")</f>
        <v/>
      </c>
      <c r="G25" s="35" t="str">
        <f>IF(SUMPRODUCT(--(NOT(ISERR(SEARCH({"T","C"},'CDR Project Planner'!#REF!))))),'CDR Project Planner'!#REF!,"")</f>
        <v/>
      </c>
      <c r="H25" s="40" t="str">
        <f>IF(SUMPRODUCT(--(NOT(ISERR(SEARCH({"T","C"},'CDR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outlineLevel="1" x14ac:dyDescent="0.3">
      <c r="A26" s="1"/>
      <c r="B26" s="42" t="str">
        <f>IF(SUMPRODUCT(--(NOT(ISERR(SEARCH({"T","C"},'CDR Project Planner'!$C28))))),'CDR Project Planner'!B28,"")</f>
        <v>Make turning smart with gyro</v>
      </c>
      <c r="C26" s="35" t="str">
        <f>IF(SUMPRODUCT(--(NOT(ISERR(SEARCH({"T","C"},'CDR Project Planner'!$C28))))),'CDR Project Planner'!C28,"")</f>
        <v>C &amp; Z</v>
      </c>
      <c r="D26" s="35">
        <f>IF(SUMPRODUCT(--(NOT(ISERR(SEARCH({"T","C"},'CDR Project Planner'!$C28))))),'CDR Project Planner'!D28,"")</f>
        <v>35</v>
      </c>
      <c r="E26" s="35">
        <f>IF(SUMPRODUCT(--(NOT(ISERR(SEARCH({"T","C"},'CDR Project Planner'!$C28))))),'CDR Project Planner'!E28,"")</f>
        <v>5</v>
      </c>
      <c r="F26" s="35">
        <f>IF(SUMPRODUCT(--(NOT(ISERR(SEARCH({"T","C"},'CDR Project Planner'!$C28))))),'CDR Project Planner'!F28,"")</f>
        <v>0</v>
      </c>
      <c r="G26" s="35">
        <f>IF(SUMPRODUCT(--(NOT(ISERR(SEARCH({"T","C"},'CDR Project Planner'!$C28))))),'CDR Project Planner'!G28,"")</f>
        <v>0</v>
      </c>
      <c r="H26" s="40">
        <f>IF(SUMPRODUCT(--(NOT(ISERR(SEARCH({"T","C"},'CDR Project Planner'!$C28))))),'CDR Project Planner'!H28,"")</f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x14ac:dyDescent="0.3">
      <c r="A27" s="1"/>
      <c r="B27" s="34" t="str">
        <f>IF(SUMPRODUCT(--(NOT(ISERR(SEARCH({"T","C"},'CDR Project Planner'!$C29))))),'CDR Project Planner'!B29,"")</f>
        <v/>
      </c>
      <c r="C27" s="35" t="str">
        <f>IF(SUMPRODUCT(--(NOT(ISERR(SEARCH({"T","C"},'CDR Project Planner'!$C29))))),'CDR Project Planner'!C29,"")</f>
        <v/>
      </c>
      <c r="D27" s="35" t="str">
        <f>IF(SUMPRODUCT(--(NOT(ISERR(SEARCH({"T","C"},'CDR Project Planner'!$C29))))),'CDR Project Planner'!D29,"")</f>
        <v/>
      </c>
      <c r="E27" s="35" t="str">
        <f>IF(SUMPRODUCT(--(NOT(ISERR(SEARCH({"T","C"},'CDR Project Planner'!$C29))))),'CDR Project Planner'!E29,"")</f>
        <v/>
      </c>
      <c r="F27" s="35" t="str">
        <f>IF(SUMPRODUCT(--(NOT(ISERR(SEARCH({"T","C"},'CDR Project Planner'!$C29))))),'CDR Project Planner'!F29,"")</f>
        <v/>
      </c>
      <c r="G27" s="35" t="str">
        <f>IF(SUMPRODUCT(--(NOT(ISERR(SEARCH({"T","C"},'CDR Project Planner'!$C29))))),'CDR Project Planner'!G29,"")</f>
        <v/>
      </c>
      <c r="H27" s="40" t="str">
        <f>IF(SUMPRODUCT(--(NOT(ISERR(SEARCH({"T","C"},'CDR Project Planner'!$C29))))),'CDR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4" t="str">
        <f>IF(SUMPRODUCT(--(NOT(ISERR(SEARCH({"T","C"},'CDR Project Planner'!#REF!))))),'CDR Project Planner'!#REF!,"")</f>
        <v/>
      </c>
      <c r="C28" s="35" t="str">
        <f>IF(SUMPRODUCT(--(NOT(ISERR(SEARCH({"T","C"},'CDR Project Planner'!#REF!))))),'CDR Project Planner'!#REF!,"")</f>
        <v/>
      </c>
      <c r="D28" s="35" t="str">
        <f>IF(SUMPRODUCT(--(NOT(ISERR(SEARCH({"T","C"},'CDR Project Planner'!#REF!))))),'CDR Project Planner'!#REF!,"")</f>
        <v/>
      </c>
      <c r="E28" s="35" t="str">
        <f>IF(SUMPRODUCT(--(NOT(ISERR(SEARCH({"T","C"},'CDR Project Planner'!#REF!))))),'CDR Project Planner'!#REF!,"")</f>
        <v/>
      </c>
      <c r="F28" s="35" t="str">
        <f>IF(SUMPRODUCT(--(NOT(ISERR(SEARCH({"T","C"},'CDR Project Planner'!#REF!))))),'CDR Project Planner'!#REF!,"")</f>
        <v/>
      </c>
      <c r="G28" s="35" t="str">
        <f>IF(SUMPRODUCT(--(NOT(ISERR(SEARCH({"T","C"},'CDR Project Planner'!#REF!))))),'CDR Project Planner'!#REF!,"")</f>
        <v/>
      </c>
      <c r="H28" s="40" t="str">
        <f>IF(SUMPRODUCT(--(NOT(ISERR(SEARCH({"T","C"},'CDR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34" t="str">
        <f>IF(SUMPRODUCT(--(NOT(ISERR(SEARCH({"T","C"},'CDR Project Planner'!$C30))))),'CDR Project Planner'!B30,"")</f>
        <v/>
      </c>
      <c r="C29" s="35" t="str">
        <f>IF(SUMPRODUCT(--(NOT(ISERR(SEARCH({"T","C"},'CDR Project Planner'!$C30))))),'CDR Project Planner'!C30,"")</f>
        <v/>
      </c>
      <c r="D29" s="35" t="str">
        <f>IF(SUMPRODUCT(--(NOT(ISERR(SEARCH({"T","C"},'CDR Project Planner'!$C30))))),'CDR Project Planner'!D30,"")</f>
        <v/>
      </c>
      <c r="E29" s="35" t="str">
        <f>IF(SUMPRODUCT(--(NOT(ISERR(SEARCH({"T","C"},'CDR Project Planner'!$C30))))),'CDR Project Planner'!E30,"")</f>
        <v/>
      </c>
      <c r="F29" s="35" t="str">
        <f>IF(SUMPRODUCT(--(NOT(ISERR(SEARCH({"T","C"},'CDR Project Planner'!$C30))))),'CDR Project Planner'!F30,"")</f>
        <v/>
      </c>
      <c r="G29" s="35" t="str">
        <f>IF(SUMPRODUCT(--(NOT(ISERR(SEARCH({"T","C"},'CDR Project Planner'!$C30))))),'CDR Project Planner'!G30,"")</f>
        <v/>
      </c>
      <c r="H29" s="40" t="str">
        <f>IF(SUMPRODUCT(--(NOT(ISERR(SEARCH({"T","C"},'CDR Project Planner'!$C30))))),'CDR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41" t="str">
        <f>IF(SUMPRODUCT(--(NOT(ISERR(SEARCH({"T","C"},'CDR Project Planner'!$C35))))),'CDR Project Planner'!B35,"")</f>
        <v>Project Management</v>
      </c>
      <c r="C30" s="35" t="str">
        <f>IF(SUMPRODUCT(--(NOT(ISERR(SEARCH({"T","C"},'CDR Project Planner'!$C35))))),'CDR Project Planner'!C35,"")</f>
        <v>An &amp; T &amp; ?</v>
      </c>
      <c r="D30" s="35"/>
      <c r="E30" s="35"/>
      <c r="F30" s="35"/>
      <c r="G30" s="35"/>
      <c r="H30" s="40">
        <f>IF(SUMPRODUCT(--(NOT(ISERR(SEARCH({"T","C"},'CDR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4" t="str">
        <f>IF(SUMPRODUCT(--(NOT(ISERR(SEARCH({"T","C"},'CDR Project Planner'!$C36))))),'CDR Project Planner'!B36,"")</f>
        <v/>
      </c>
      <c r="C31" s="35" t="str">
        <f>IF(SUMPRODUCT(--(NOT(ISERR(SEARCH({"T","C"},'CDR Project Planner'!$C36))))),'CDR Project Planner'!C36,"")</f>
        <v/>
      </c>
      <c r="D31" s="35" t="str">
        <f>IF(SUMPRODUCT(--(NOT(ISERR(SEARCH({"T","C"},'CDR Project Planner'!$C36))))),'CDR Project Planner'!D36,"")</f>
        <v/>
      </c>
      <c r="E31" s="35" t="str">
        <f>IF(SUMPRODUCT(--(NOT(ISERR(SEARCH({"T","C"},'CDR Project Planner'!$C36))))),'CDR Project Planner'!E36,"")</f>
        <v/>
      </c>
      <c r="F31" s="35" t="str">
        <f>IF(SUMPRODUCT(--(NOT(ISERR(SEARCH({"T","C"},'CDR Project Planner'!$C36))))),'CDR Project Planner'!F36,"")</f>
        <v/>
      </c>
      <c r="G31" s="35" t="str">
        <f>IF(SUMPRODUCT(--(NOT(ISERR(SEARCH({"T","C"},'CDR Project Planner'!$C36))))),'CDR Project Planner'!G36,"")</f>
        <v/>
      </c>
      <c r="H31" s="40" t="str">
        <f>IF(SUMPRODUCT(--(NOT(ISERR(SEARCH({"T","C"},'CDR Project Planner'!$C36))))),'CDR Project Planner'!H36,"")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4" t="str">
        <f>IF(SUMPRODUCT(--(NOT(ISERR(SEARCH({"T","C"},'CDR Project Planner'!$C37))))),'CDR Project Planner'!B37,"")</f>
        <v/>
      </c>
      <c r="C32" s="35" t="str">
        <f>IF(SUMPRODUCT(--(NOT(ISERR(SEARCH({"T","C"},'CDR Project Planner'!$C37))))),'CDR Project Planner'!C37,"")</f>
        <v/>
      </c>
      <c r="D32" s="35" t="str">
        <f>IF(SUMPRODUCT(--(NOT(ISERR(SEARCH({"T","C"},'CDR Project Planner'!$C37))))),'CDR Project Planner'!D37,"")</f>
        <v/>
      </c>
      <c r="E32" s="35" t="str">
        <f>IF(SUMPRODUCT(--(NOT(ISERR(SEARCH({"T","C"},'CDR Project Planner'!$C37))))),'CDR Project Planner'!E37,"")</f>
        <v/>
      </c>
      <c r="F32" s="35" t="str">
        <f>IF(SUMPRODUCT(--(NOT(ISERR(SEARCH({"T","C"},'CDR Project Planner'!$C37))))),'CDR Project Planner'!F37,"")</f>
        <v/>
      </c>
      <c r="G32" s="35" t="str">
        <f>IF(SUMPRODUCT(--(NOT(ISERR(SEARCH({"T","C"},'CDR Project Planner'!$C37))))),'CDR Project Planner'!G37,"")</f>
        <v/>
      </c>
      <c r="H32" s="40" t="str">
        <f>IF(SUMPRODUCT(--(NOT(ISERR(SEARCH({"T","C"},'CDR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4" t="str">
        <f>IF(SUMPRODUCT(--(NOT(ISERR(SEARCH({"T","C"},'CDR Project Planner'!$C38))))),'CDR Project Planner'!B38,"")</f>
        <v/>
      </c>
      <c r="C33" s="35" t="str">
        <f>IF(SUMPRODUCT(--(NOT(ISERR(SEARCH({"T","C"},'CDR Project Planner'!$C38))))),'CDR Project Planner'!C38,"")</f>
        <v/>
      </c>
      <c r="D33" s="35" t="str">
        <f>IF(SUMPRODUCT(--(NOT(ISERR(SEARCH({"T","C"},'CDR Project Planner'!$C38))))),'CDR Project Planner'!D38,"")</f>
        <v/>
      </c>
      <c r="E33" s="35" t="str">
        <f>IF(SUMPRODUCT(--(NOT(ISERR(SEARCH({"T","C"},'CDR Project Planner'!$C38))))),'CDR Project Planner'!E38,"")</f>
        <v/>
      </c>
      <c r="F33" s="35" t="str">
        <f>IF(SUMPRODUCT(--(NOT(ISERR(SEARCH({"T","C"},'CDR Project Planner'!$C38))))),'CDR Project Planner'!F38,"")</f>
        <v/>
      </c>
      <c r="G33" s="35" t="str">
        <f>IF(SUMPRODUCT(--(NOT(ISERR(SEARCH({"T","C"},'CDR Project Planner'!$C38))))),'CDR Project Planner'!G38,"")</f>
        <v/>
      </c>
      <c r="H33" s="40" t="str">
        <f>IF(SUMPRODUCT(--(NOT(ISERR(SEARCH({"T","C"},'CDR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4" t="str">
        <f>IF(SUMPRODUCT(--(NOT(ISERR(SEARCH({"T","C"},'CDR Project Planner'!$C39))))),'CDR Project Planner'!B39,"")</f>
        <v/>
      </c>
      <c r="C34" s="35" t="str">
        <f>IF(SUMPRODUCT(--(NOT(ISERR(SEARCH({"T","C"},'CDR Project Planner'!$C39))))),'CDR Project Planner'!C39,"")</f>
        <v/>
      </c>
      <c r="D34" s="35" t="str">
        <f>IF(SUMPRODUCT(--(NOT(ISERR(SEARCH({"T","C"},'CDR Project Planner'!$C39))))),'CDR Project Planner'!D39,"")</f>
        <v/>
      </c>
      <c r="E34" s="35" t="str">
        <f>IF(SUMPRODUCT(--(NOT(ISERR(SEARCH({"T","C"},'CDR Project Planner'!$C39))))),'CDR Project Planner'!E39,"")</f>
        <v/>
      </c>
      <c r="F34" s="35" t="str">
        <f>IF(SUMPRODUCT(--(NOT(ISERR(SEARCH({"T","C"},'CDR Project Planner'!$C39))))),'CDR Project Planner'!F39,"")</f>
        <v/>
      </c>
      <c r="G34" s="35" t="str">
        <f>IF(SUMPRODUCT(--(NOT(ISERR(SEARCH({"T","C"},'CDR Project Planner'!$C39))))),'CDR Project Planner'!G39,"")</f>
        <v/>
      </c>
      <c r="H34" s="40" t="str">
        <f>IF(SUMPRODUCT(--(NOT(ISERR(SEARCH({"T","C"},'CDR Project Planner'!$C39))))),'CDR Project Planner'!H39,"")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2" t="str">
        <f>IF(SUMPRODUCT(--(NOT(ISERR(SEARCH({"T","C"},'CDR Project Planner'!$C40))))),'CDR Project Planner'!B40,"")</f>
        <v>CDR PowerPoint</v>
      </c>
      <c r="C35" s="35" t="str">
        <f>IF(SUMPRODUCT(--(NOT(ISERR(SEARCH({"T","C"},'CDR Project Planner'!$C40))))),'CDR Project Planner'!C40,"")</f>
        <v>T</v>
      </c>
      <c r="D35" s="35">
        <f>IF(SUMPRODUCT(--(NOT(ISERR(SEARCH({"T","C"},'CDR Project Planner'!$C40))))),'CDR Project Planner'!D40,"")</f>
        <v>45</v>
      </c>
      <c r="E35" s="35">
        <f>IF(SUMPRODUCT(--(NOT(ISERR(SEARCH({"T","C"},'CDR Project Planner'!$C40))))),'CDR Project Planner'!E40,"")</f>
        <v>10</v>
      </c>
      <c r="F35" s="35">
        <f>IF(SUMPRODUCT(--(NOT(ISERR(SEARCH({"T","C"},'CDR Project Planner'!$C40))))),'CDR Project Planner'!F40,"")</f>
        <v>0</v>
      </c>
      <c r="G35" s="35">
        <f>IF(SUMPRODUCT(--(NOT(ISERR(SEARCH({"T","C"},'CDR Project Planner'!$C40))))),'CDR Project Planner'!G40,"")</f>
        <v>0</v>
      </c>
      <c r="H35" s="40">
        <f>IF(SUMPRODUCT(--(NOT(ISERR(SEARCH({"T","C"},'CDR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8" t="str">
        <f>IF(SUMPRODUCT(--(NOT(ISERR(SEARCH({"T","C"},'CDR Project Planner'!$C41))))),'CDR Project Planner'!B41,"")</f>
        <v>CDR</v>
      </c>
      <c r="C36" s="39" t="str">
        <f>IF(SUMPRODUCT(--(NOT(ISERR(SEARCH({"T","C"},'CDR Project Planner'!$C41))))),'CDR Project Planner'!C41,"")</f>
        <v>T</v>
      </c>
      <c r="D36" s="39">
        <f>IF(SUMPRODUCT(--(NOT(ISERR(SEARCH({"T","C"},'CDR Project Planner'!$C41))))),'CDR Project Planner'!D41,"")</f>
        <v>55</v>
      </c>
      <c r="E36" s="39">
        <f>IF(SUMPRODUCT(--(NOT(ISERR(SEARCH({"T","C"},'CDR Project Planner'!$C41))))),'CDR Project Planner'!E41,"")</f>
        <v>1</v>
      </c>
      <c r="F36" s="39">
        <f>IF(SUMPRODUCT(--(NOT(ISERR(SEARCH({"T","C"},'CDR Project Planner'!$C41))))),'CDR Project Planner'!F41,"")</f>
        <v>55</v>
      </c>
      <c r="G36" s="39">
        <f>IF(SUMPRODUCT(--(NOT(ISERR(SEARCH({"T","C"},'CDR Project Planner'!$C41))))),'CDR Project Planner'!G41,"")</f>
        <v>1</v>
      </c>
      <c r="H36" s="40">
        <f>IF(SUMPRODUCT(--(NOT(ISERR(SEARCH({"T","C"},'CDR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41" t="str">
        <f>IF(SUMPRODUCT(--(NOT(ISERR(SEARCH({"T","C"},'CDR Project Planner'!$C42))))),'CDR Project Planner'!B42,"")</f>
        <v>After We Finish</v>
      </c>
      <c r="C37" s="35" t="str">
        <f>IF(SUMPRODUCT(--(NOT(ISERR(SEARCH({"T","C"},'CDR Project Planner'!$C42))))),'CDR Project Planner'!C42,"")</f>
        <v>C &amp; An</v>
      </c>
      <c r="D37" s="35"/>
      <c r="E37" s="35"/>
      <c r="F37" s="35"/>
      <c r="G37" s="35"/>
      <c r="H37" s="40">
        <f>IF(SUMPRODUCT(--(NOT(ISERR(SEARCH({"T","C"},'CDR Project Planner'!$C42))))),'CDR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42" t="str">
        <f>IF(SUMPRODUCT(--(NOT(ISERR(SEARCH({"T","C"},'CDR Project Planner'!$C43))))),'CDR Project Planner'!B43,"")</f>
        <v>Create sound board*</v>
      </c>
      <c r="C38" s="35" t="str">
        <f>IF(SUMPRODUCT(--(NOT(ISERR(SEARCH({"T","C"},'CDR Project Planner'!$C43))))),'CDR Project Planner'!C43,"")</f>
        <v>C &amp; An</v>
      </c>
      <c r="D38" s="35" t="str">
        <f>IF(SUMPRODUCT(--(NOT(ISERR(SEARCH({"T","C"},'CDR Project Planner'!$C43))))),'CDR Project Planner'!D43,"")</f>
        <v>TBA</v>
      </c>
      <c r="E38" s="35" t="str">
        <f>IF(SUMPRODUCT(--(NOT(ISERR(SEARCH({"T","C"},'CDR Project Planner'!$C43))))),'CDR Project Planner'!E43,"")</f>
        <v>TBA</v>
      </c>
      <c r="F38" s="35">
        <f>IF(SUMPRODUCT(--(NOT(ISERR(SEARCH({"T","C"},'CDR Project Planner'!$C43))))),'CDR Project Planner'!F43,"")</f>
        <v>0</v>
      </c>
      <c r="G38" s="35">
        <f>IF(SUMPRODUCT(--(NOT(ISERR(SEARCH({"T","C"},'CDR Project Planner'!$C43))))),'CDR Project Planner'!G43,"")</f>
        <v>0</v>
      </c>
      <c r="H38" s="40">
        <f>IF(SUMPRODUCT(--(NOT(ISERR(SEARCH({"T","C"},'CDR Project Planner'!$C43))))),'CDR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4" t="str">
        <f>IF(SUMPRODUCT(--(NOT(ISERR(SEARCH({"T","C"},'CDR Project Planner'!$C44))))),'CDR Project Planner'!B44,"")</f>
        <v/>
      </c>
      <c r="C39" s="35" t="str">
        <f>IF(SUMPRODUCT(--(NOT(ISERR(SEARCH({"T","C"},'CDR Project Planner'!$C44))))),'CDR Project Planner'!C44,"")</f>
        <v/>
      </c>
      <c r="D39" s="35" t="str">
        <f>IF(SUMPRODUCT(--(NOT(ISERR(SEARCH({"T","C"},'CDR Project Planner'!$C44))))),'CDR Project Planner'!D44,"")</f>
        <v/>
      </c>
      <c r="E39" s="35" t="str">
        <f>IF(SUMPRODUCT(--(NOT(ISERR(SEARCH({"T","C"},'CDR Project Planner'!$C44))))),'CDR Project Planner'!E44,"")</f>
        <v/>
      </c>
      <c r="F39" s="35" t="str">
        <f>IF(SUMPRODUCT(--(NOT(ISERR(SEARCH({"T","C"},'CDR Project Planner'!$C44))))),'CDR Project Planner'!F44,"")</f>
        <v/>
      </c>
      <c r="G39" s="35" t="str">
        <f>IF(SUMPRODUCT(--(NOT(ISERR(SEARCH({"T","C"},'CDR Project Planner'!$C44))))),'CDR Project Planner'!G44,"")</f>
        <v/>
      </c>
      <c r="H39" s="40" t="str">
        <f>IF(SUMPRODUCT(--(NOT(ISERR(SEARCH({"T","C"},'CDR Project Planner'!$C44))))),'CDR Project Planner'!H44,"")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4" t="str">
        <f>IF(SUMPRODUCT(--(NOT(ISERR(SEARCH({"T","C"},'CDR Project Planner'!$C45))))),'CDR Project Planner'!B45,"")</f>
        <v/>
      </c>
      <c r="C40" s="35" t="str">
        <f>IF(SUMPRODUCT(--(NOT(ISERR(SEARCH({"T","C"},'CDR Project Planner'!$C45))))),'CDR Project Planner'!C45,"")</f>
        <v/>
      </c>
      <c r="D40" s="35" t="str">
        <f>IF(SUMPRODUCT(--(NOT(ISERR(SEARCH({"T","C"},'CDR Project Planner'!$C45))))),'CDR Project Planner'!D45,"")</f>
        <v/>
      </c>
      <c r="E40" s="35" t="str">
        <f>IF(SUMPRODUCT(--(NOT(ISERR(SEARCH({"T","C"},'CDR Project Planner'!$C45))))),'CDR Project Planner'!E45,"")</f>
        <v/>
      </c>
      <c r="F40" s="35" t="str">
        <f>IF(SUMPRODUCT(--(NOT(ISERR(SEARCH({"T","C"},'CDR Project Planner'!$C45))))),'CDR Project Planner'!F45,"")</f>
        <v/>
      </c>
      <c r="G40" s="35" t="str">
        <f>IF(SUMPRODUCT(--(NOT(ISERR(SEARCH({"T","C"},'CDR Project Planner'!$C45))))),'CDR Project Planner'!G45,"")</f>
        <v/>
      </c>
      <c r="H40" s="40" t="str">
        <f>IF(SUMPRODUCT(--(NOT(ISERR(SEARCH({"T","C"},'CDR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4" t="str">
        <f>IF(SUMPRODUCT(--(NOT(ISERR(SEARCH({"T","C"},'CDR Project Planner'!$C46))))),'CDR Project Planner'!B46,"")</f>
        <v/>
      </c>
      <c r="C41" s="35" t="str">
        <f>IF(SUMPRODUCT(--(NOT(ISERR(SEARCH({"T","C"},'CDR Project Planner'!$C46))))),'CDR Project Planner'!C46,"")</f>
        <v/>
      </c>
      <c r="D41" s="35" t="str">
        <f>IF(SUMPRODUCT(--(NOT(ISERR(SEARCH({"T","C"},'CDR Project Planner'!$C46))))),'CDR Project Planner'!D46,"")</f>
        <v/>
      </c>
      <c r="E41" s="35" t="str">
        <f>IF(SUMPRODUCT(--(NOT(ISERR(SEARCH({"T","C"},'CDR Project Planner'!$C46))))),'CDR Project Planner'!E46,"")</f>
        <v/>
      </c>
      <c r="F41" s="35" t="str">
        <f>IF(SUMPRODUCT(--(NOT(ISERR(SEARCH({"T","C"},'CDR Project Planner'!$C46))))),'CDR Project Planner'!F46,"")</f>
        <v/>
      </c>
      <c r="G41" s="35" t="str">
        <f>IF(SUMPRODUCT(--(NOT(ISERR(SEARCH({"T","C"},'CDR Project Planner'!$C46))))),'CDR Project Planner'!G46,"")</f>
        <v/>
      </c>
      <c r="H41" s="40" t="str">
        <f>IF(SUMPRODUCT(--(NOT(ISERR(SEARCH({"T","C"},'CDR Project Planner'!$C46))))),'CDR Project Planner'!H46,"")</f>
        <v/>
      </c>
    </row>
    <row r="42" spans="1:68" ht="30" customHeight="1" x14ac:dyDescent="0.3">
      <c r="B42" s="34" t="str">
        <f>IF(SUMPRODUCT(--(NOT(ISERR(SEARCH({"T","C"},'CDR Project Planner'!$C47))))),'CDR Project Planner'!B47,"")</f>
        <v/>
      </c>
      <c r="C42" s="35" t="str">
        <f>IF(SUMPRODUCT(--(NOT(ISERR(SEARCH({"T","C"},'CDR Project Planner'!$C47))))),'CDR Project Planner'!C47,"")</f>
        <v/>
      </c>
      <c r="D42" s="35" t="str">
        <f>IF(SUMPRODUCT(--(NOT(ISERR(SEARCH({"T","C"},'CDR Project Planner'!$C47))))),'CDR Project Planner'!D47,"")</f>
        <v/>
      </c>
      <c r="E42" s="35" t="str">
        <f>IF(SUMPRODUCT(--(NOT(ISERR(SEARCH({"T","C"},'CDR Project Planner'!$C47))))),'CDR Project Planner'!E47,"")</f>
        <v/>
      </c>
      <c r="F42" s="35" t="str">
        <f>IF(SUMPRODUCT(--(NOT(ISERR(SEARCH({"T","C"},'CDR Project Planner'!$C47))))),'CDR Project Planner'!F47,"")</f>
        <v/>
      </c>
      <c r="G42" s="35" t="str">
        <f>IF(SUMPRODUCT(--(NOT(ISERR(SEARCH({"T","C"},'CDR Project Planner'!$C47))))),'CDR Project Planner'!G47,"")</f>
        <v/>
      </c>
      <c r="H42" s="40" t="str">
        <f>IF(SUMPRODUCT(--(NOT(ISERR(SEARCH({"T","C"},'CDR Project Planner'!$C47))))),'CDR Project Planner'!H47,"")</f>
        <v/>
      </c>
    </row>
    <row r="43" spans="1:68" ht="30" customHeight="1" x14ac:dyDescent="0.3">
      <c r="B43" s="34" t="str">
        <f>IF(SUMPRODUCT(--(NOT(ISERR(SEARCH({"T","C"},'CDR Project Planner'!$C48))))),'CDR Project Planner'!B48,"")</f>
        <v/>
      </c>
      <c r="C43" s="35" t="str">
        <f>IF(SUMPRODUCT(--(NOT(ISERR(SEARCH({"T","C"},'CDR Project Planner'!$C48))))),'CDR Project Planner'!C48,"")</f>
        <v/>
      </c>
      <c r="D43" s="35" t="str">
        <f>IF(SUMPRODUCT(--(NOT(ISERR(SEARCH({"T","C"},'CDR Project Planner'!$C48))))),'CDR Project Planner'!D48,"")</f>
        <v/>
      </c>
      <c r="E43" s="35" t="str">
        <f>IF(SUMPRODUCT(--(NOT(ISERR(SEARCH({"T","C"},'CDR Project Planner'!$C48))))),'CDR Project Planner'!E48,"")</f>
        <v/>
      </c>
      <c r="F43" s="35" t="str">
        <f>IF(SUMPRODUCT(--(NOT(ISERR(SEARCH({"T","C"},'CDR Project Planner'!$C48))))),'CDR Project Planner'!F48,"")</f>
        <v/>
      </c>
      <c r="G43" s="35" t="str">
        <f>IF(SUMPRODUCT(--(NOT(ISERR(SEARCH({"T","C"},'CDR Project Planner'!$C48))))),'CDR Project Planner'!G48,"")</f>
        <v/>
      </c>
      <c r="H43" s="40" t="str">
        <f>IF(SUMPRODUCT(--(NOT(ISERR(SEARCH({"T","C"},'CDR Project Planner'!$C48))))),'CDR Project Planner'!H48,"")</f>
        <v/>
      </c>
    </row>
    <row r="44" spans="1:68" s="4" customFormat="1" ht="30" customHeight="1" x14ac:dyDescent="0.3">
      <c r="A44" s="1"/>
      <c r="B44" s="34" t="str">
        <f>IF(SUMPRODUCT(--(NOT(ISERR(SEARCH({"T","C"},'CDR Project Planner'!$C49))))),'CDR Project Planner'!B49,"")</f>
        <v/>
      </c>
      <c r="C44" s="35" t="str">
        <f>IF(SUMPRODUCT(--(NOT(ISERR(SEARCH({"T","C"},'CDR Project Planner'!$C49))))),'CDR Project Planner'!C49,"")</f>
        <v/>
      </c>
      <c r="D44" s="35" t="str">
        <f>IF(SUMPRODUCT(--(NOT(ISERR(SEARCH({"T","C"},'CDR Project Planner'!$C49))))),'CDR Project Planner'!D49,"")</f>
        <v/>
      </c>
      <c r="E44" s="35" t="str">
        <f>IF(SUMPRODUCT(--(NOT(ISERR(SEARCH({"T","C"},'CDR Project Planner'!$C49))))),'CDR Project Planner'!E49,"")</f>
        <v/>
      </c>
      <c r="F44" s="35" t="str">
        <f>IF(SUMPRODUCT(--(NOT(ISERR(SEARCH({"T","C"},'CDR Project Planner'!$C49))))),'CDR Project Planner'!F49,"")</f>
        <v/>
      </c>
      <c r="G44" s="35" t="str">
        <f>IF(SUMPRODUCT(--(NOT(ISERR(SEARCH({"T","C"},'CDR Project Planner'!$C49))))),'CDR Project Planner'!G49,"")</f>
        <v/>
      </c>
      <c r="H44" s="40" t="str">
        <f>IF(SUMPRODUCT(--(NOT(ISERR(SEARCH({"T","C"},'CDR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4" t="str">
        <f>IF(SUMPRODUCT(--(NOT(ISERR(SEARCH({"T","C"},'CDR Project Planner'!$C50))))),'CDR Project Planner'!B50,"")</f>
        <v/>
      </c>
      <c r="C45" s="35" t="str">
        <f>IF(SUMPRODUCT(--(NOT(ISERR(SEARCH({"T","C"},'CDR Project Planner'!$C50))))),'CDR Project Planner'!C50,"")</f>
        <v/>
      </c>
      <c r="D45" s="35" t="str">
        <f>IF(SUMPRODUCT(--(NOT(ISERR(SEARCH({"T","C"},'CDR Project Planner'!$C50))))),'CDR Project Planner'!D50,"")</f>
        <v/>
      </c>
      <c r="E45" s="35" t="str">
        <f>IF(SUMPRODUCT(--(NOT(ISERR(SEARCH({"T","C"},'CDR Project Planner'!$C50))))),'CDR Project Planner'!E50,"")</f>
        <v/>
      </c>
      <c r="F45" s="35" t="str">
        <f>IF(SUMPRODUCT(--(NOT(ISERR(SEARCH({"T","C"},'CDR Project Planner'!$C50))))),'CDR Project Planner'!F50,"")</f>
        <v/>
      </c>
      <c r="G45" s="35" t="str">
        <f>IF(SUMPRODUCT(--(NOT(ISERR(SEARCH({"T","C"},'CDR Project Planner'!$C50))))),'CDR Project Planner'!G50,"")</f>
        <v/>
      </c>
      <c r="H45" s="40" t="str">
        <f>IF(SUMPRODUCT(--(NOT(ISERR(SEARCH({"T","C"},'CDR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4" t="str">
        <f>IF(SUMPRODUCT(--(NOT(ISERR(SEARCH({"T","C"},'CDR Project Planner'!$C51))))),'CDR Project Planner'!B51,"")</f>
        <v/>
      </c>
      <c r="C46" s="35" t="str">
        <f>IF(SUMPRODUCT(--(NOT(ISERR(SEARCH({"T","C"},'CDR Project Planner'!$C51))))),'CDR Project Planner'!C51,"")</f>
        <v/>
      </c>
      <c r="D46" s="35" t="str">
        <f>IF(SUMPRODUCT(--(NOT(ISERR(SEARCH({"T","C"},'CDR Project Planner'!$C51))))),'CDR Project Planner'!D51,"")</f>
        <v/>
      </c>
      <c r="E46" s="35" t="str">
        <f>IF(SUMPRODUCT(--(NOT(ISERR(SEARCH({"T","C"},'CDR Project Planner'!$C51))))),'CDR Project Planner'!E51,"")</f>
        <v/>
      </c>
      <c r="F46" s="35" t="str">
        <f>IF(SUMPRODUCT(--(NOT(ISERR(SEARCH({"T","C"},'CDR Project Planner'!$C51))))),'CDR Project Planner'!F51,"")</f>
        <v/>
      </c>
      <c r="G46" s="35" t="str">
        <f>IF(SUMPRODUCT(--(NOT(ISERR(SEARCH({"T","C"},'CDR Project Planner'!$C51))))),'CDR Project Planner'!G51,"")</f>
        <v/>
      </c>
      <c r="H46" s="40" t="str">
        <f>IF(SUMPRODUCT(--(NOT(ISERR(SEARCH({"T","C"},'CDR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4" t="str">
        <f>IF(SUMPRODUCT(--(NOT(ISERR(SEARCH({"T","C"},'CDR Project Planner'!$C52))))),'CDR Project Planner'!B52,"")</f>
        <v/>
      </c>
      <c r="C47" s="35" t="str">
        <f>IF(SUMPRODUCT(--(NOT(ISERR(SEARCH({"T","C"},'CDR Project Planner'!$C52))))),'CDR Project Planner'!C52,"")</f>
        <v/>
      </c>
      <c r="D47" s="35" t="str">
        <f>IF(SUMPRODUCT(--(NOT(ISERR(SEARCH({"T","C"},'CDR Project Planner'!$C52))))),'CDR Project Planner'!D52,"")</f>
        <v/>
      </c>
      <c r="E47" s="35" t="str">
        <f>IF(SUMPRODUCT(--(NOT(ISERR(SEARCH({"T","C"},'CDR Project Planner'!$C52))))),'CDR Project Planner'!E52,"")</f>
        <v/>
      </c>
      <c r="F47" s="35" t="str">
        <f>IF(SUMPRODUCT(--(NOT(ISERR(SEARCH({"T","C"},'CDR Project Planner'!$C52))))),'CDR Project Planner'!F52,"")</f>
        <v/>
      </c>
      <c r="G47" s="35" t="str">
        <f>IF(SUMPRODUCT(--(NOT(ISERR(SEARCH({"T","C"},'CDR Project Planner'!$C52))))),'CDR Project Planner'!G52,"")</f>
        <v/>
      </c>
      <c r="H47" s="40" t="str">
        <f>IF(SUMPRODUCT(--(NOT(ISERR(SEARCH({"T","C"},'CDR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4" t="str">
        <f>IF(SUMPRODUCT(--(NOT(ISERR(SEARCH({"T","C"},'CDR Project Planner'!$C53))))),'CDR Project Planner'!B53,"")</f>
        <v/>
      </c>
      <c r="C48" s="35" t="str">
        <f>IF(SUMPRODUCT(--(NOT(ISERR(SEARCH({"T","C"},'CDR Project Planner'!$C53))))),'CDR Project Planner'!C53,"")</f>
        <v/>
      </c>
      <c r="D48" s="35" t="str">
        <f>IF(SUMPRODUCT(--(NOT(ISERR(SEARCH({"T","C"},'CDR Project Planner'!$C53))))),'CDR Project Planner'!D53,"")</f>
        <v/>
      </c>
      <c r="E48" s="35" t="str">
        <f>IF(SUMPRODUCT(--(NOT(ISERR(SEARCH({"T","C"},'CDR Project Planner'!$C53))))),'CDR Project Planner'!E53,"")</f>
        <v/>
      </c>
      <c r="F48" s="35" t="str">
        <f>IF(SUMPRODUCT(--(NOT(ISERR(SEARCH({"T","C"},'CDR Project Planner'!$C53))))),'CDR Project Planner'!F53,"")</f>
        <v/>
      </c>
      <c r="G48" s="35" t="str">
        <f>IF(SUMPRODUCT(--(NOT(ISERR(SEARCH({"T","C"},'CDR Project Planner'!$C53))))),'CDR Project Planner'!G53,"")</f>
        <v/>
      </c>
      <c r="H48" s="40" t="str">
        <f>IF(SUMPRODUCT(--(NOT(ISERR(SEARCH({"T","C"},'CDR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4" t="str">
        <f>IF(SUMPRODUCT(--(NOT(ISERR(SEARCH({"T","C"},'CDR Project Planner'!$C54))))),'CDR Project Planner'!B54,"")</f>
        <v/>
      </c>
      <c r="C49" s="35" t="str">
        <f>IF(SUMPRODUCT(--(NOT(ISERR(SEARCH({"T","C"},'CDR Project Planner'!$C54))))),'CDR Project Planner'!C54,"")</f>
        <v/>
      </c>
      <c r="D49" s="35" t="str">
        <f>IF(SUMPRODUCT(--(NOT(ISERR(SEARCH({"T","C"},'CDR Project Planner'!$C54))))),'CDR Project Planner'!D54,"")</f>
        <v/>
      </c>
      <c r="E49" s="35" t="str">
        <f>IF(SUMPRODUCT(--(NOT(ISERR(SEARCH({"T","C"},'CDR Project Planner'!$C54))))),'CDR Project Planner'!E54,"")</f>
        <v/>
      </c>
      <c r="F49" s="35" t="str">
        <f>IF(SUMPRODUCT(--(NOT(ISERR(SEARCH({"T","C"},'CDR Project Planner'!$C54))))),'CDR Project Planner'!F54,"")</f>
        <v/>
      </c>
      <c r="G49" s="35" t="str">
        <f>IF(SUMPRODUCT(--(NOT(ISERR(SEARCH({"T","C"},'CDR Project Planner'!$C54))))),'CDR Project Planner'!G54,"")</f>
        <v/>
      </c>
      <c r="H49" s="40" t="str">
        <f>IF(SUMPRODUCT(--(NOT(ISERR(SEARCH({"T","C"},'CDR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6" t="str">
        <f>IF(SUMPRODUCT(--(NOT(ISERR(SEARCH({"T","Ba"},'CDR Project Planner'!$C55))))),'CDR Project Planner'!B55,"")</f>
        <v/>
      </c>
      <c r="C50" s="36" t="str">
        <f>IF(SUMPRODUCT(--(NOT(ISERR(SEARCH({"T","Ba"},'CDR Project Planner'!$C55))))),'CDR Project Planner'!C55,"")</f>
        <v/>
      </c>
      <c r="D50" s="43" t="str">
        <f>IF(SUMPRODUCT(--(NOT(ISERR(SEARCH({"T","Ba"},'CDR Project Planner'!$C55))))),'CDR Project Planner'!D55,"")</f>
        <v/>
      </c>
      <c r="E50" s="43" t="str">
        <f>IF(SUMPRODUCT(--(NOT(ISERR(SEARCH({"T","Ba"},'CDR Project Planner'!$C55))))),'CDR Project Planner'!E55,"")</f>
        <v/>
      </c>
      <c r="F50" s="43" t="str">
        <f>IF(SUMPRODUCT(--(NOT(ISERR(SEARCH({"T","Ba"},'CDR Project Planner'!$C55))))),'CDR Project Planner'!F55,"")</f>
        <v/>
      </c>
      <c r="G50" s="43" t="str">
        <f>IF(SUMPRODUCT(--(NOT(ISERR(SEARCH({"T","Ba"},'CDR Project Planner'!$C55))))),'CDR Project Planner'!G55,"")</f>
        <v/>
      </c>
      <c r="H50" s="43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6" t="str">
        <f>IF(SUMPRODUCT(--(NOT(ISERR(SEARCH({"T","Ba"},'CDR Project Planner'!$C56))))),'CDR Project Planner'!B56,"")</f>
        <v/>
      </c>
      <c r="C51" s="36" t="str">
        <f>IF(SUMPRODUCT(--(NOT(ISERR(SEARCH({"T","Ba"},'CDR Project Planner'!$C56))))),'CDR Project Planner'!C56,"")</f>
        <v/>
      </c>
      <c r="D51" s="43" t="str">
        <f>IF(SUMPRODUCT(--(NOT(ISERR(SEARCH({"T","Ba"},'CDR Project Planner'!$C56))))),'CDR Project Planner'!D56,"")</f>
        <v/>
      </c>
      <c r="E51" s="43" t="str">
        <f>IF(SUMPRODUCT(--(NOT(ISERR(SEARCH({"T","Ba"},'CDR Project Planner'!$C56))))),'CDR Project Planner'!E56,"")</f>
        <v/>
      </c>
      <c r="F51" s="43" t="str">
        <f>IF(SUMPRODUCT(--(NOT(ISERR(SEARCH({"T","Ba"},'CDR Project Planner'!$C56))))),'CDR Project Planner'!F56,"")</f>
        <v/>
      </c>
      <c r="G51" s="43" t="str">
        <f>IF(SUMPRODUCT(--(NOT(ISERR(SEARCH({"T","Ba"},'CDR Project Planner'!$C56))))),'CDR Project Planner'!G56,"")</f>
        <v/>
      </c>
      <c r="H51" s="43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6" t="str">
        <f>IF(SUMPRODUCT(--(NOT(ISERR(SEARCH({"T","Ba"},'CDR Project Planner'!$C57))))),'CDR Project Planner'!B57,"")</f>
        <v/>
      </c>
      <c r="C52" s="36" t="str">
        <f>IF(SUMPRODUCT(--(NOT(ISERR(SEARCH({"T","Ba"},'CDR Project Planner'!$C57))))),'CDR Project Planner'!C57,"")</f>
        <v/>
      </c>
      <c r="D52" s="43" t="str">
        <f>IF(SUMPRODUCT(--(NOT(ISERR(SEARCH({"T","Ba"},'CDR Project Planner'!$C57))))),'CDR Project Planner'!D57,"")</f>
        <v/>
      </c>
      <c r="E52" s="43" t="str">
        <f>IF(SUMPRODUCT(--(NOT(ISERR(SEARCH({"T","Ba"},'CDR Project Planner'!$C57))))),'CDR Project Planner'!E57,"")</f>
        <v/>
      </c>
      <c r="F52" s="43" t="str">
        <f>IF(SUMPRODUCT(--(NOT(ISERR(SEARCH({"T","Ba"},'CDR Project Planner'!$C57))))),'CDR Project Planner'!F57,"")</f>
        <v/>
      </c>
      <c r="G52" s="43" t="str">
        <f>IF(SUMPRODUCT(--(NOT(ISERR(SEARCH({"T","Ba"},'CDR Project Planner'!$C57))))),'CDR Project Planner'!G57,"")</f>
        <v/>
      </c>
      <c r="H52" s="43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276" priority="2">
      <formula>PercentComplete</formula>
    </cfRule>
    <cfRule type="expression" dxfId="275" priority="3">
      <formula>PercentCompleteBeyond</formula>
    </cfRule>
    <cfRule type="expression" dxfId="274" priority="4">
      <formula>Actual</formula>
    </cfRule>
    <cfRule type="expression" dxfId="273" priority="5">
      <formula>ActualBeyond</formula>
    </cfRule>
    <cfRule type="expression" dxfId="272" priority="6">
      <formula>Plan</formula>
    </cfRule>
    <cfRule type="expression" dxfId="271" priority="7">
      <formula>I$4=period_selected</formula>
    </cfRule>
    <cfRule type="expression" dxfId="270" priority="8">
      <formula>MOD(COLUMN(),2)</formula>
    </cfRule>
    <cfRule type="expression" dxfId="269" priority="9">
      <formula>MOD(COLUMN(),2)=0</formula>
    </cfRule>
  </conditionalFormatting>
  <conditionalFormatting sqref="I4:BP4">
    <cfRule type="expression" dxfId="268" priority="10">
      <formula>I$4=period_selected</formula>
    </cfRule>
  </conditionalFormatting>
  <conditionalFormatting sqref="I5:BP6 I39:BP39 I27:BP28 I42:BP42 I45:BP45 I48:BP48">
    <cfRule type="expression" dxfId="267" priority="11">
      <formula>PercentComplete</formula>
    </cfRule>
    <cfRule type="expression" dxfId="266" priority="12">
      <formula>PercentCompleteBeyond</formula>
    </cfRule>
    <cfRule type="expression" dxfId="265" priority="13">
      <formula>Actual</formula>
    </cfRule>
    <cfRule type="expression" dxfId="264" priority="14">
      <formula>ActualBeyond</formula>
    </cfRule>
    <cfRule type="expression" dxfId="263" priority="15">
      <formula>Plan</formula>
    </cfRule>
    <cfRule type="expression" dxfId="262" priority="16">
      <formula>I$4=period_selected</formula>
    </cfRule>
    <cfRule type="expression" dxfId="261" priority="17">
      <formula>MOD(COLUMN(),2)</formula>
    </cfRule>
    <cfRule type="expression" dxfId="260" priority="18">
      <formula>MOD(COLUMN(),2)=0</formula>
    </cfRule>
  </conditionalFormatting>
  <conditionalFormatting sqref="I38:BP38 I41:BP41 I44:BP44 I47:BP47">
    <cfRule type="expression" dxfId="259" priority="19">
      <formula>PercentComplete</formula>
    </cfRule>
    <cfRule type="expression" dxfId="258" priority="20">
      <formula>PercentCompleteBeyond</formula>
    </cfRule>
    <cfRule type="expression" dxfId="257" priority="21">
      <formula>Actual</formula>
    </cfRule>
    <cfRule type="expression" dxfId="256" priority="22">
      <formula>ActualBeyond</formula>
    </cfRule>
    <cfRule type="expression" dxfId="255" priority="23">
      <formula>Plan</formula>
    </cfRule>
    <cfRule type="expression" dxfId="254" priority="24">
      <formula>I$4=period_selected</formula>
    </cfRule>
    <cfRule type="expression" dxfId="253" priority="25">
      <formula>MOD(COLUMN(),2)</formula>
    </cfRule>
    <cfRule type="expression" dxfId="252" priority="26">
      <formula>MOD(COLUMN(),2)=0</formula>
    </cfRule>
  </conditionalFormatting>
  <conditionalFormatting sqref="I20:BP20">
    <cfRule type="expression" dxfId="251" priority="27">
      <formula>PercentComplete</formula>
    </cfRule>
    <cfRule type="expression" dxfId="250" priority="28">
      <formula>PercentCompleteBeyond</formula>
    </cfRule>
    <cfRule type="expression" dxfId="249" priority="29">
      <formula>Actual</formula>
    </cfRule>
    <cfRule type="expression" dxfId="248" priority="30">
      <formula>ActualBeyond</formula>
    </cfRule>
    <cfRule type="expression" dxfId="247" priority="31">
      <formula>Plan</formula>
    </cfRule>
    <cfRule type="expression" dxfId="246" priority="32">
      <formula>I$4=period_selected</formula>
    </cfRule>
    <cfRule type="expression" dxfId="245" priority="33">
      <formula>MOD(COLUMN(),2)</formula>
    </cfRule>
    <cfRule type="expression" dxfId="244" priority="34">
      <formula>MOD(COLUMN(),2)=0</formula>
    </cfRule>
  </conditionalFormatting>
  <conditionalFormatting sqref="I16:BP16 I18:BP19">
    <cfRule type="expression" dxfId="243" priority="35">
      <formula>PercentComplete</formula>
    </cfRule>
    <cfRule type="expression" dxfId="242" priority="36">
      <formula>PercentCompleteBeyond</formula>
    </cfRule>
    <cfRule type="expression" dxfId="241" priority="37">
      <formula>Actual</formula>
    </cfRule>
    <cfRule type="expression" dxfId="240" priority="38">
      <formula>ActualBeyond</formula>
    </cfRule>
    <cfRule type="expression" dxfId="239" priority="39">
      <formula>Plan</formula>
    </cfRule>
    <cfRule type="expression" dxfId="238" priority="40">
      <formula>I$4=period_selected</formula>
    </cfRule>
    <cfRule type="expression" dxfId="237" priority="41">
      <formula>MOD(COLUMN(),2)</formula>
    </cfRule>
    <cfRule type="expression" dxfId="236" priority="42">
      <formula>MOD(COLUMN(),2)=0</formula>
    </cfRule>
  </conditionalFormatting>
  <conditionalFormatting sqref="I17:BP17">
    <cfRule type="expression" dxfId="235" priority="43">
      <formula>PercentComplete</formula>
    </cfRule>
    <cfRule type="expression" dxfId="234" priority="44">
      <formula>PercentCompleteBeyond</formula>
    </cfRule>
    <cfRule type="expression" dxfId="233" priority="45">
      <formula>Actual</formula>
    </cfRule>
    <cfRule type="expression" dxfId="232" priority="46">
      <formula>ActualBeyond</formula>
    </cfRule>
    <cfRule type="expression" dxfId="231" priority="47">
      <formula>Plan</formula>
    </cfRule>
    <cfRule type="expression" dxfId="230" priority="48">
      <formula>I$4=period_selected</formula>
    </cfRule>
    <cfRule type="expression" dxfId="229" priority="49">
      <formula>MOD(COLUMN(),2)</formula>
    </cfRule>
    <cfRule type="expression" dxfId="228" priority="50">
      <formula>MOD(COLUMN(),2)=0</formula>
    </cfRule>
  </conditionalFormatting>
  <conditionalFormatting sqref="H53:H56">
    <cfRule type="cellIs" dxfId="227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13 H21:H49">
    <cfRule type="expression" dxfId="226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29" activePane="bottomLeft" state="frozen"/>
      <selection activeCell="B47" sqref="B47"/>
      <selection pane="bottomLeft" activeCell="I3" sqref="I3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60</v>
      </c>
      <c r="C1" s="7"/>
      <c r="D1" s="8"/>
      <c r="E1" s="8"/>
      <c r="F1" s="8"/>
      <c r="G1" s="8"/>
      <c r="H1" s="8"/>
    </row>
    <row r="2" spans="1:68" ht="21" customHeight="1" x14ac:dyDescent="0.3">
      <c r="B2" s="201">
        <f ca="1">NOW()</f>
        <v>43192.990386921294</v>
      </c>
      <c r="C2" s="201"/>
      <c r="D2" s="201"/>
      <c r="E2" s="201"/>
      <c r="F2" s="201"/>
      <c r="G2" s="201"/>
      <c r="H2" s="9" t="s">
        <v>1</v>
      </c>
      <c r="I2" s="10">
        <f ca="1">DAY(NOW())+31</f>
        <v>33</v>
      </c>
      <c r="K2" s="11"/>
      <c r="L2" s="202" t="s">
        <v>2</v>
      </c>
      <c r="M2" s="202"/>
      <c r="N2" s="202"/>
      <c r="O2" s="202"/>
      <c r="P2" s="202"/>
      <c r="Q2" s="12"/>
      <c r="R2" s="202" t="s">
        <v>3</v>
      </c>
      <c r="S2" s="202"/>
      <c r="T2" s="202"/>
      <c r="U2" s="202"/>
      <c r="V2" s="13"/>
      <c r="W2" s="202" t="s">
        <v>4</v>
      </c>
      <c r="X2" s="202"/>
      <c r="Y2" s="202"/>
      <c r="Z2" s="202"/>
      <c r="AA2" s="14"/>
      <c r="AB2" s="202" t="s">
        <v>5</v>
      </c>
      <c r="AC2" s="202"/>
      <c r="AD2" s="202"/>
      <c r="AE2" s="202"/>
      <c r="AF2" s="202"/>
      <c r="AG2" s="202"/>
      <c r="AH2" s="202"/>
      <c r="AI2" s="15"/>
      <c r="AJ2" s="196" t="s">
        <v>6</v>
      </c>
      <c r="AK2" s="196"/>
      <c r="AL2" s="196"/>
      <c r="AM2" s="196"/>
      <c r="AN2" s="196"/>
      <c r="AO2" s="196"/>
      <c r="AP2" s="196"/>
      <c r="AQ2" s="196"/>
    </row>
    <row r="3" spans="1:68" s="16" customFormat="1" ht="39.9" customHeight="1" x14ac:dyDescent="0.3">
      <c r="B3" s="197" t="s">
        <v>7</v>
      </c>
      <c r="C3" s="198" t="s">
        <v>8</v>
      </c>
      <c r="D3" s="199" t="s">
        <v>9</v>
      </c>
      <c r="E3" s="199" t="s">
        <v>10</v>
      </c>
      <c r="F3" s="199" t="s">
        <v>11</v>
      </c>
      <c r="G3" s="199" t="s">
        <v>12</v>
      </c>
      <c r="H3" s="200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197"/>
      <c r="C4" s="198"/>
      <c r="D4" s="199"/>
      <c r="E4" s="199"/>
      <c r="F4" s="199"/>
      <c r="G4" s="199"/>
      <c r="H4" s="200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8" t="str">
        <f>IF(SUMPRODUCT(--(NOT(ISERR(SEARCH({"T","P"},'CDR Project Planner'!$C5))))),'CDR Project Planner'!B5,"")</f>
        <v>PDR</v>
      </c>
      <c r="C5" s="46" t="str">
        <f>IF(SUMPRODUCT(--(NOT(ISERR(SEARCH({"T","P"},'CDR Project Planner'!$C5))))),'CDR Project Planner'!C5,"")</f>
        <v>T</v>
      </c>
      <c r="D5" s="46">
        <f>IF(SUMPRODUCT(--(NOT(ISERR(SEARCH({"T","P"},'CDR Project Planner'!$C5))))),'CDR Project Planner'!D5,"")</f>
        <v>22</v>
      </c>
      <c r="E5" s="46">
        <f>IF(SUMPRODUCT(--(NOT(ISERR(SEARCH({"T","P"},'CDR Project Planner'!$C5))))),'CDR Project Planner'!E5,"")</f>
        <v>1</v>
      </c>
      <c r="F5" s="46">
        <f>IF(SUMPRODUCT(--(NOT(ISERR(SEARCH({"T","P"},'CDR Project Planner'!$C5))))),'CDR Project Planner'!F5,"")</f>
        <v>22</v>
      </c>
      <c r="G5" s="46">
        <f>IF(SUMPRODUCT(--(NOT(ISERR(SEARCH({"T","P"},'CDR Project Planner'!$C5))))),'CDR Project Planner'!G5,"")</f>
        <v>1</v>
      </c>
      <c r="H5" s="40">
        <f>IF(SUMPRODUCT(--(NOT(ISERR(SEARCH({"T","P"},'CDR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5">
      <c r="B6" s="41" t="str">
        <f>IF(SUMPRODUCT(--(NOT(ISERR(SEARCH({"T","P"},'CDR Project Planner'!$C6))))),'CDR Project Planner'!B6,"")</f>
        <v>System</v>
      </c>
      <c r="C6" s="35" t="str">
        <f>IF(SUMPRODUCT(--(NOT(ISERR(SEARCH({"T","P"},'CDR Project Planner'!$C6))))),'CDR Project Planner'!C6,"")</f>
        <v>P &amp; Br &amp; C &amp; Ba</v>
      </c>
      <c r="D6" s="35"/>
      <c r="E6" s="35"/>
      <c r="F6" s="35"/>
      <c r="G6" s="35"/>
      <c r="H6" s="47"/>
    </row>
    <row r="7" spans="1:68" s="4" customFormat="1" ht="14.4" outlineLevel="1" x14ac:dyDescent="0.3">
      <c r="A7" s="1"/>
      <c r="B7" s="42" t="str">
        <f>IF(SUMPRODUCT(--(NOT(ISERR(SEARCH({"T","P"},'CDR Project Planner'!$C7))))),'CDR Project Planner'!B7,"")</f>
        <v>Unit Tests - VHDL - PWM (Duty Cycle)</v>
      </c>
      <c r="C7" s="35" t="str">
        <f>IF(SUMPRODUCT(--(NOT(ISERR(SEARCH({"T","P"},'CDR Project Planner'!$C7))))),'CDR Project Planner'!C7,"")</f>
        <v>P &amp; Br</v>
      </c>
      <c r="D7" s="35">
        <f>IF(SUMPRODUCT(--(NOT(ISERR(SEARCH({"T","P"},'CDR Project Planner'!$C7))))),'CDR Project Planner'!D7,"")</f>
        <v>23</v>
      </c>
      <c r="E7" s="35">
        <f>IF(SUMPRODUCT(--(NOT(ISERR(SEARCH({"T","P"},'CDR Project Planner'!$C7))))),'CDR Project Planner'!E7,"")</f>
        <v>1</v>
      </c>
      <c r="F7" s="35">
        <f>IF(SUMPRODUCT(--(NOT(ISERR(SEARCH({"T","P"},'CDR Project Planner'!$C7))))),'CDR Project Planner'!F7,"")</f>
        <v>0</v>
      </c>
      <c r="G7" s="35">
        <f>IF(SUMPRODUCT(--(NOT(ISERR(SEARCH({"T","P"},'CDR Project Planner'!$C7))))),'CDR Project Planner'!G7,"")</f>
        <v>0</v>
      </c>
      <c r="H7" s="47">
        <f>IF(SUMPRODUCT(--(NOT(ISERR(SEARCH({"T","P"},'CDR Project Planner'!$C7))))),'CDR Project Planner'!H7*100,"")</f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2" t="str">
        <f>IF(SUMPRODUCT(--(NOT(ISERR(SEARCH({"T","P"},'CDR Project Planner'!$C8))))),'CDR Project Planner'!B8,"")</f>
        <v/>
      </c>
      <c r="C8" s="35" t="str">
        <f>IF(SUMPRODUCT(--(NOT(ISERR(SEARCH({"T","P"},'CDR Project Planner'!$C8))))),'CDR Project Planner'!C8,"")</f>
        <v/>
      </c>
      <c r="D8" s="35" t="str">
        <f>IF(SUMPRODUCT(--(NOT(ISERR(SEARCH({"T","P"},'CDR Project Planner'!$C8))))),'CDR Project Planner'!D8,"")</f>
        <v/>
      </c>
      <c r="E8" s="35" t="str">
        <f>IF(SUMPRODUCT(--(NOT(ISERR(SEARCH({"T","P"},'CDR Project Planner'!$C8))))),'CDR Project Planner'!E8,"")</f>
        <v/>
      </c>
      <c r="F8" s="35" t="str">
        <f>IF(SUMPRODUCT(--(NOT(ISERR(SEARCH({"T","P"},'CDR Project Planner'!$C8))))),'CDR Project Planner'!F8,"")</f>
        <v/>
      </c>
      <c r="G8" s="35" t="str">
        <f>IF(SUMPRODUCT(--(NOT(ISERR(SEARCH({"T","P"},'CDR Project Planner'!$C8))))),'CDR Project Planner'!G8,"")</f>
        <v/>
      </c>
      <c r="H8" s="47" t="str">
        <f>IF(SUMPRODUCT(--(NOT(ISERR(SEARCH({"T","P"},'CDR Project Planner'!$C8))))),'CDR Project Planner'!H8*100,"")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42" t="str">
        <f>IF(SUMPRODUCT(--(NOT(ISERR(SEARCH({"T","P"},'CDR Project Planner'!$C9))))),'CDR Project Planner'!B9,"")</f>
        <v>Unit Tests - VHDL &amp; C - Ultrasonic Interrupts</v>
      </c>
      <c r="C9" s="35" t="str">
        <f>IF(SUMPRODUCT(--(NOT(ISERR(SEARCH({"T","P"},'CDR Project Planner'!$C9))))),'CDR Project Planner'!C9,"")</f>
        <v>P &amp; Br</v>
      </c>
      <c r="D9" s="35">
        <f>IF(SUMPRODUCT(--(NOT(ISERR(SEARCH({"T","P"},'CDR Project Planner'!$C9))))),'CDR Project Planner'!D9,"")</f>
        <v>23</v>
      </c>
      <c r="E9" s="35">
        <f>IF(SUMPRODUCT(--(NOT(ISERR(SEARCH({"T","P"},'CDR Project Planner'!$C9))))),'CDR Project Planner'!E9,"")</f>
        <v>2</v>
      </c>
      <c r="F9" s="35">
        <f>IF(SUMPRODUCT(--(NOT(ISERR(SEARCH({"T","P"},'CDR Project Planner'!$C9))))),'CDR Project Planner'!F9,"")</f>
        <v>0</v>
      </c>
      <c r="G9" s="35">
        <f>IF(SUMPRODUCT(--(NOT(ISERR(SEARCH({"T","P"},'CDR Project Planner'!$C9))))),'CDR Project Planner'!G9,"")</f>
        <v>0</v>
      </c>
      <c r="H9" s="47">
        <f>IF(SUMPRODUCT(--(NOT(ISERR(SEARCH({"T","P"},'CDR Project Planner'!$C9))))),'CDR Project Planner'!H9*100,"")</f>
        <v>0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4" t="str">
        <f>IF(SUMPRODUCT(--(NOT(ISERR(SEARCH({"T","P"},'CDR Project Planner'!$C10))))),'CDR Project Planner'!B10,"")</f>
        <v/>
      </c>
      <c r="C10" s="35" t="str">
        <f>IF(SUMPRODUCT(--(NOT(ISERR(SEARCH({"T","P"},'CDR Project Planner'!$C10))))),'CDR Project Planner'!C10,"")</f>
        <v/>
      </c>
      <c r="D10" s="35" t="str">
        <f>IF(SUMPRODUCT(--(NOT(ISERR(SEARCH({"T","P"},'CDR Project Planner'!$C10))))),'CDR Project Planner'!D10,"")</f>
        <v/>
      </c>
      <c r="E10" s="35" t="str">
        <f>IF(SUMPRODUCT(--(NOT(ISERR(SEARCH({"T","P"},'CDR Project Planner'!$C10))))),'CDR Project Planner'!E10,"")</f>
        <v/>
      </c>
      <c r="F10" s="35" t="str">
        <f>IF(SUMPRODUCT(--(NOT(ISERR(SEARCH({"T","P"},'CDR Project Planner'!$C10))))),'CDR Project Planner'!F10,"")</f>
        <v/>
      </c>
      <c r="G10" s="35" t="str">
        <f>IF(SUMPRODUCT(--(NOT(ISERR(SEARCH({"T","P"},'CDR Project Planner'!$C10))))),'CDR Project Planner'!G10,"")</f>
        <v/>
      </c>
      <c r="H10" s="47" t="str">
        <f>IF(SUMPRODUCT(--(NOT(ISERR(SEARCH({"T","P"},'CDR Project Planner'!$C10))))),'CDR Project Planner'!H10*100,"")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4" t="str">
        <f>IF(SUMPRODUCT(--(NOT(ISERR(SEARCH({"T","P"},'CDR Project Planner'!#REF!))))),'CDR Project Planner'!#REF!,"")</f>
        <v/>
      </c>
      <c r="C11" s="35" t="str">
        <f>IF(SUMPRODUCT(--(NOT(ISERR(SEARCH({"T","P"},'CDR Project Planner'!#REF!))))),'CDR Project Planner'!#REF!,"")</f>
        <v/>
      </c>
      <c r="D11" s="35" t="str">
        <f>IF(SUMPRODUCT(--(NOT(ISERR(SEARCH({"T","P"},'CDR Project Planner'!#REF!))))),'CDR Project Planner'!#REF!,"")</f>
        <v/>
      </c>
      <c r="E11" s="35" t="str">
        <f>IF(SUMPRODUCT(--(NOT(ISERR(SEARCH({"T","P"},'CDR Project Planner'!#REF!))))),'CDR Project Planner'!#REF!,"")</f>
        <v/>
      </c>
      <c r="F11" s="35" t="str">
        <f>IF(SUMPRODUCT(--(NOT(ISERR(SEARCH({"T","P"},'CDR Project Planner'!#REF!))))),'CDR Project Planner'!#REF!,"")</f>
        <v/>
      </c>
      <c r="G11" s="35" t="str">
        <f>IF(SUMPRODUCT(--(NOT(ISERR(SEARCH({"T","P"},'CDR Project Planner'!#REF!))))),'CDR Project Planner'!#REF!,"")</f>
        <v/>
      </c>
      <c r="H11" s="47" t="str">
        <f>IF(SUMPRODUCT(--(NOT(ISERR(SEARCH({"T","P"},'CDR Project Planner'!#REF!))))),'CDR Project Planner'!#REF!*100,"")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4" t="str">
        <f>IF(SUMPRODUCT(--(NOT(ISERR(SEARCH({"T","P"},'CDR Project Planner'!$C11))))),'CDR Project Planner'!B11,"")</f>
        <v/>
      </c>
      <c r="C12" s="35" t="str">
        <f>IF(SUMPRODUCT(--(NOT(ISERR(SEARCH({"T","P"},'CDR Project Planner'!$C11))))),'CDR Project Planner'!C11,"")</f>
        <v/>
      </c>
      <c r="D12" s="35" t="str">
        <f>IF(SUMPRODUCT(--(NOT(ISERR(SEARCH({"T","P"},'CDR Project Planner'!$C11))))),'CDR Project Planner'!D11,"")</f>
        <v/>
      </c>
      <c r="E12" s="35" t="str">
        <f>IF(SUMPRODUCT(--(NOT(ISERR(SEARCH({"T","P"},'CDR Project Planner'!$C11))))),'CDR Project Planner'!E11,"")</f>
        <v/>
      </c>
      <c r="F12" s="35" t="str">
        <f>IF(SUMPRODUCT(--(NOT(ISERR(SEARCH({"T","P"},'CDR Project Planner'!$C11))))),'CDR Project Planner'!F11,"")</f>
        <v/>
      </c>
      <c r="G12" s="35" t="str">
        <f>IF(SUMPRODUCT(--(NOT(ISERR(SEARCH({"T","P"},'CDR Project Planner'!$C11))))),'CDR Project Planner'!G11,"")</f>
        <v/>
      </c>
      <c r="H12" s="47" t="str">
        <f>IF(SUMPRODUCT(--(NOT(ISERR(SEARCH({"T","P"},'CDR Project Planner'!$C11))))),'CDR Project Planner'!H11*100,"")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4" t="str">
        <f>IF(SUMPRODUCT(--(NOT(ISERR(SEARCH({"T","P"},'CDR Project Planner'!$C14))))),'CDR Project Planner'!B14,"")</f>
        <v/>
      </c>
      <c r="C13" s="35" t="str">
        <f>IF(SUMPRODUCT(--(NOT(ISERR(SEARCH({"T","P"},'CDR Project Planner'!$C14))))),'CDR Project Planner'!C14,"")</f>
        <v/>
      </c>
      <c r="D13" s="35" t="str">
        <f>IF(SUMPRODUCT(--(NOT(ISERR(SEARCH({"T","P"},'CDR Project Planner'!$C14))))),'CDR Project Planner'!D14,"")</f>
        <v/>
      </c>
      <c r="E13" s="35" t="str">
        <f>IF(SUMPRODUCT(--(NOT(ISERR(SEARCH({"T","P"},'CDR Project Planner'!$C14))))),'CDR Project Planner'!E14,"")</f>
        <v/>
      </c>
      <c r="F13" s="35" t="str">
        <f>IF(SUMPRODUCT(--(NOT(ISERR(SEARCH({"T","P"},'CDR Project Planner'!$C14))))),'CDR Project Planner'!F14,"")</f>
        <v/>
      </c>
      <c r="G13" s="35" t="str">
        <f>IF(SUMPRODUCT(--(NOT(ISERR(SEARCH({"T","P"},'CDR Project Planner'!$C14))))),'CDR Project Planner'!G14,"")</f>
        <v/>
      </c>
      <c r="H13" s="47" t="str">
        <f>IF(SUMPRODUCT(--(NOT(ISERR(SEARCH({"T","P"},'CDR Project Planner'!$C14))))),'CDR Project Planner'!H14*100,"")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2" t="str">
        <f>IF(SUMPRODUCT(--(NOT(ISERR(SEARCH({"T","P"},'CDR Project Planner'!$C15))))),'CDR Project Planner'!B15,"")</f>
        <v>Calibration - VHDL side</v>
      </c>
      <c r="C14" s="35" t="str">
        <f>IF(SUMPRODUCT(--(NOT(ISERR(SEARCH({"T","P"},'CDR Project Planner'!$C15))))),'CDR Project Planner'!C15,"")</f>
        <v>P &amp; Br</v>
      </c>
      <c r="D14" s="35">
        <f>IF(SUMPRODUCT(--(NOT(ISERR(SEARCH({"T","P"},'CDR Project Planner'!$C15))))),'CDR Project Planner'!D15,"")</f>
        <v>25</v>
      </c>
      <c r="E14" s="35">
        <f>IF(SUMPRODUCT(--(NOT(ISERR(SEARCH({"T","P"},'CDR Project Planner'!$C15))))),'CDR Project Planner'!E15,"")</f>
        <v>10</v>
      </c>
      <c r="F14" s="35">
        <f>IF(SUMPRODUCT(--(NOT(ISERR(SEARCH({"T","P"},'CDR Project Planner'!$C15))))),'CDR Project Planner'!F15,"")</f>
        <v>0</v>
      </c>
      <c r="G14" s="35">
        <f>IF(SUMPRODUCT(--(NOT(ISERR(SEARCH({"T","P"},'CDR Project Planner'!$C15))))),'CDR Project Planner'!G15,"")</f>
        <v>0</v>
      </c>
      <c r="H14" s="47">
        <f>IF(SUMPRODUCT(--(NOT(ISERR(SEARCH({"T","P"},'CDR Project Planner'!$C15))))),'CDR Project Planner'!H15,"")</f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4" t="str">
        <f>IF(SUMPRODUCT(--(NOT(ISERR(SEARCH({"T","P"},'CDR Project Planner'!$C16))))),'CDR Project Planner'!B16,"")</f>
        <v xml:space="preserve">   Calibration - Ultrasonic sensors</v>
      </c>
      <c r="C15" s="35" t="str">
        <f>IF(SUMPRODUCT(--(NOT(ISERR(SEARCH({"T","P"},'CDR Project Planner'!$C16))))),'CDR Project Planner'!C16,"")</f>
        <v>Ba &amp; Br &amp; P</v>
      </c>
      <c r="D15" s="35">
        <f>IF(SUMPRODUCT(--(NOT(ISERR(SEARCH({"T","P"},'CDR Project Planner'!$C16))))),'CDR Project Planner'!D16,"")</f>
        <v>31</v>
      </c>
      <c r="E15" s="35">
        <f>IF(SUMPRODUCT(--(NOT(ISERR(SEARCH({"T","P"},'CDR Project Planner'!$C16))))),'CDR Project Planner'!E16,"")</f>
        <v>7</v>
      </c>
      <c r="F15" s="35">
        <f>IF(SUMPRODUCT(--(NOT(ISERR(SEARCH({"T","P"},'CDR Project Planner'!$C16))))),'CDR Project Planner'!F16,"")</f>
        <v>0</v>
      </c>
      <c r="G15" s="35">
        <f>IF(SUMPRODUCT(--(NOT(ISERR(SEARCH({"T","P"},'CDR Project Planner'!$C16))))),'CDR Project Planner'!G16,"")</f>
        <v>0</v>
      </c>
      <c r="H15" s="47">
        <f>IF(SUMPRODUCT(--(NOT(ISERR(SEARCH({"T","P"},'CDR Project Planner'!$C16))))),'CDR Project Planner'!H16,"")</f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5">
      <c r="A16" s="1"/>
      <c r="B16" s="41" t="str">
        <f>IF(SUMPRODUCT(--(NOT(ISERR(SEARCH({"T","P"},'CDR Project Planner'!$C17))))),'CDR Project Planner'!B17,"")</f>
        <v>VHDL</v>
      </c>
      <c r="C16" s="35" t="str">
        <f>IF(SUMPRODUCT(--(NOT(ISERR(SEARCH({"T","P"},'CDR Project Planner'!$C17))))),'CDR Project Planner'!C17,"")</f>
        <v>P &amp; Br</v>
      </c>
      <c r="D16" s="35"/>
      <c r="E16" s="35"/>
      <c r="F16" s="35"/>
      <c r="G16" s="35"/>
      <c r="H16" s="47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42" t="str">
        <f>IF(SUMPRODUCT(--(NOT(ISERR(SEARCH({"T","P"},'CDR Project Planner'!$C18))))),'CDR Project Planner'!B18,"")</f>
        <v>Create PWM AXI on Vivado</v>
      </c>
      <c r="C17" s="35" t="str">
        <f>IF(SUMPRODUCT(--(NOT(ISERR(SEARCH({"T","P"},'CDR Project Planner'!$C18))))),'CDR Project Planner'!C18,"")</f>
        <v>P</v>
      </c>
      <c r="D17" s="35">
        <f>IF(SUMPRODUCT(--(NOT(ISERR(SEARCH({"T","P"},'CDR Project Planner'!$C18))))),'CDR Project Planner'!D18,"")</f>
        <v>25</v>
      </c>
      <c r="E17" s="35">
        <f>IF(SUMPRODUCT(--(NOT(ISERR(SEARCH({"T","P"},'CDR Project Planner'!$C18))))),'CDR Project Planner'!E18,"")</f>
        <v>7</v>
      </c>
      <c r="F17" s="35">
        <f>IF(SUMPRODUCT(--(NOT(ISERR(SEARCH({"T","P"},'CDR Project Planner'!$C18))))),'CDR Project Planner'!F18,"")</f>
        <v>0</v>
      </c>
      <c r="G17" s="35">
        <f>IF(SUMPRODUCT(--(NOT(ISERR(SEARCH({"T","P"},'CDR Project Planner'!$C18))))),'CDR Project Planner'!G18,"")</f>
        <v>0</v>
      </c>
      <c r="H17" s="47">
        <f>IF(SUMPRODUCT(--(NOT(ISERR(SEARCH({"T","P"},'CDR Project Planner'!$C18))))),'CDR Project Planner'!H18,"")</f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42" t="str">
        <f>IF(SUMPRODUCT(--(NOT(ISERR(SEARCH({"T","P"},'CDR Project Planner'!$C19))))),'CDR Project Planner'!B19,"")</f>
        <v>Create Ultrasonic sensor AXI on Vivado</v>
      </c>
      <c r="C18" s="35" t="str">
        <f>IF(SUMPRODUCT(--(NOT(ISERR(SEARCH({"T","P"},'CDR Project Planner'!$C19))))),'CDR Project Planner'!C19,"")</f>
        <v>P</v>
      </c>
      <c r="D18" s="35">
        <f>IF(SUMPRODUCT(--(NOT(ISERR(SEARCH({"T","P"},'CDR Project Planner'!$C19))))),'CDR Project Planner'!D19,"")</f>
        <v>25</v>
      </c>
      <c r="E18" s="35">
        <f>IF(SUMPRODUCT(--(NOT(ISERR(SEARCH({"T","P"},'CDR Project Planner'!$C19))))),'CDR Project Planner'!E19,"")</f>
        <v>7</v>
      </c>
      <c r="F18" s="35">
        <f>IF(SUMPRODUCT(--(NOT(ISERR(SEARCH({"T","P"},'CDR Project Planner'!$C19))))),'CDR Project Planner'!F19,"")</f>
        <v>0</v>
      </c>
      <c r="G18" s="35">
        <f>IF(SUMPRODUCT(--(NOT(ISERR(SEARCH({"T","P"},'CDR Project Planner'!$C19))))),'CDR Project Planner'!G19,"")</f>
        <v>0</v>
      </c>
      <c r="H18" s="47">
        <f>IF(SUMPRODUCT(--(NOT(ISERR(SEARCH({"T","P"},'CDR Project Planner'!$C19))))),'CDR Project Planner'!H19,"")</f>
        <v>0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42" t="str">
        <f>IF(SUMPRODUCT(--(NOT(ISERR(SEARCH({"T","P"},'CDR Project Planner'!#REF!))))),'CDR Project Planner'!#REF!,"")</f>
        <v/>
      </c>
      <c r="C19" s="35" t="str">
        <f>IF(SUMPRODUCT(--(NOT(ISERR(SEARCH({"T","P"},'CDR Project Planner'!#REF!))))),'CDR Project Planner'!#REF!,"")</f>
        <v/>
      </c>
      <c r="D19" s="35" t="str">
        <f>IF(SUMPRODUCT(--(NOT(ISERR(SEARCH({"T","P"},'CDR Project Planner'!#REF!))))),'CDR Project Planner'!#REF!,"")</f>
        <v/>
      </c>
      <c r="E19" s="35" t="str">
        <f>IF(SUMPRODUCT(--(NOT(ISERR(SEARCH({"T","P"},'CDR Project Planner'!#REF!))))),'CDR Project Planner'!#REF!,"")</f>
        <v/>
      </c>
      <c r="F19" s="35" t="str">
        <f>IF(SUMPRODUCT(--(NOT(ISERR(SEARCH({"T","P"},'CDR Project Planner'!#REF!))))),'CDR Project Planner'!#REF!,"")</f>
        <v/>
      </c>
      <c r="G19" s="35" t="str">
        <f>IF(SUMPRODUCT(--(NOT(ISERR(SEARCH({"T","P"},'CDR Project Planner'!#REF!))))),'CDR Project Planner'!#REF!,"")</f>
        <v/>
      </c>
      <c r="H19" s="47" t="str">
        <f>IF(SUMPRODUCT(--(NOT(ISERR(SEARCH({"T","P"},'CDR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42" t="str">
        <f>IF(SUMPRODUCT(--(NOT(ISERR(SEARCH({"T","P"},'CDR Project Planner'!#REF!))))),'CDR Project Planner'!#REF!,"")</f>
        <v/>
      </c>
      <c r="C20" s="35" t="str">
        <f>IF(SUMPRODUCT(--(NOT(ISERR(SEARCH({"T","P"},'CDR Project Planner'!#REF!))))),'CDR Project Planner'!#REF!,"")</f>
        <v/>
      </c>
      <c r="D20" s="35" t="str">
        <f>IF(SUMPRODUCT(--(NOT(ISERR(SEARCH({"T","P"},'CDR Project Planner'!#REF!))))),'CDR Project Planner'!#REF!,"")</f>
        <v/>
      </c>
      <c r="E20" s="35" t="str">
        <f>IF(SUMPRODUCT(--(NOT(ISERR(SEARCH({"T","P"},'CDR Project Planner'!#REF!))))),'CDR Project Planner'!#REF!,"")</f>
        <v/>
      </c>
      <c r="F20" s="35" t="str">
        <f>IF(SUMPRODUCT(--(NOT(ISERR(SEARCH({"T","P"},'CDR Project Planner'!#REF!))))),'CDR Project Planner'!#REF!,"")</f>
        <v/>
      </c>
      <c r="G20" s="35" t="str">
        <f>IF(SUMPRODUCT(--(NOT(ISERR(SEARCH({"T","P"},'CDR Project Planner'!#REF!))))),'CDR Project Planner'!#REF!,"")</f>
        <v/>
      </c>
      <c r="H20" s="47" t="str">
        <f>IF(SUMPRODUCT(--(NOT(ISERR(SEARCH({"T","P"},'CDR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4" t="str">
        <f>IF(SUMPRODUCT(--(NOT(ISERR(SEARCH({"T","P"},'CDR Project Planner'!$C21))))),'CDR Project Planner'!B21,"")</f>
        <v/>
      </c>
      <c r="C21" s="35" t="str">
        <f>IF(SUMPRODUCT(--(NOT(ISERR(SEARCH({"T","P"},'CDR Project Planner'!$C21))))),'CDR Project Planner'!C21,"")</f>
        <v/>
      </c>
      <c r="D21" s="35" t="str">
        <f>IF(SUMPRODUCT(--(NOT(ISERR(SEARCH({"T","P"},'CDR Project Planner'!$C21))))),'CDR Project Planner'!D21,"")</f>
        <v/>
      </c>
      <c r="E21" s="35" t="str">
        <f>IF(SUMPRODUCT(--(NOT(ISERR(SEARCH({"T","P"},'CDR Project Planner'!$C21))))),'CDR Project Planner'!E21,"")</f>
        <v/>
      </c>
      <c r="F21" s="35" t="str">
        <f>IF(SUMPRODUCT(--(NOT(ISERR(SEARCH({"T","P"},'CDR Project Planner'!$C21))))),'CDR Project Planner'!F21,"")</f>
        <v/>
      </c>
      <c r="G21" s="35" t="str">
        <f>IF(SUMPRODUCT(--(NOT(ISERR(SEARCH({"T","P"},'CDR Project Planner'!$C21))))),'CDR Project Planner'!G21,"")</f>
        <v/>
      </c>
      <c r="H21" s="47" t="str">
        <f>IF(SUMPRODUCT(--(NOT(ISERR(SEARCH({"T","P"},'CDR Project Planner'!$C21))))),'CDR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4" t="str">
        <f>IF(SUMPRODUCT(--(NOT(ISERR(SEARCH({"T","P"},'CDR Project Planner'!$C22))))),'CDR Project Planner'!B22,"")</f>
        <v/>
      </c>
      <c r="C22" s="35" t="str">
        <f>IF(SUMPRODUCT(--(NOT(ISERR(SEARCH({"T","P"},'CDR Project Planner'!$C22))))),'CDR Project Planner'!C22,"")</f>
        <v/>
      </c>
      <c r="D22" s="35" t="str">
        <f>IF(SUMPRODUCT(--(NOT(ISERR(SEARCH({"T","P"},'CDR Project Planner'!$C22))))),'CDR Project Planner'!D22,"")</f>
        <v/>
      </c>
      <c r="E22" s="35" t="str">
        <f>IF(SUMPRODUCT(--(NOT(ISERR(SEARCH({"T","P"},'CDR Project Planner'!$C22))))),'CDR Project Planner'!E22,"")</f>
        <v/>
      </c>
      <c r="F22" s="35" t="str">
        <f>IF(SUMPRODUCT(--(NOT(ISERR(SEARCH({"T","P"},'CDR Project Planner'!$C22))))),'CDR Project Planner'!F22,"")</f>
        <v/>
      </c>
      <c r="G22" s="35" t="str">
        <f>IF(SUMPRODUCT(--(NOT(ISERR(SEARCH({"T","P"},'CDR Project Planner'!$C22))))),'CDR Project Planner'!G22,"")</f>
        <v/>
      </c>
      <c r="H22" s="47" t="str">
        <f>IF(SUMPRODUCT(--(NOT(ISERR(SEARCH({"T","P"},'CDR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4" t="str">
        <f>IF(SUMPRODUCT(--(NOT(ISERR(SEARCH({"T","P"},'CDR Project Planner'!$C23))))),'CDR Project Planner'!B23,"")</f>
        <v/>
      </c>
      <c r="C23" s="35" t="str">
        <f>IF(SUMPRODUCT(--(NOT(ISERR(SEARCH({"T","P"},'CDR Project Planner'!$C23))))),'CDR Project Planner'!C23,"")</f>
        <v/>
      </c>
      <c r="D23" s="35" t="str">
        <f>IF(SUMPRODUCT(--(NOT(ISERR(SEARCH({"T","P"},'CDR Project Planner'!$C23))))),'CDR Project Planner'!D23,"")</f>
        <v/>
      </c>
      <c r="E23" s="35" t="str">
        <f>IF(SUMPRODUCT(--(NOT(ISERR(SEARCH({"T","P"},'CDR Project Planner'!$C23))))),'CDR Project Planner'!E23,"")</f>
        <v/>
      </c>
      <c r="F23" s="35" t="str">
        <f>IF(SUMPRODUCT(--(NOT(ISERR(SEARCH({"T","P"},'CDR Project Planner'!$C23))))),'CDR Project Planner'!F23,"")</f>
        <v/>
      </c>
      <c r="G23" s="35" t="str">
        <f>IF(SUMPRODUCT(--(NOT(ISERR(SEARCH({"T","P"},'CDR Project Planner'!$C23))))),'CDR Project Planner'!G23,"")</f>
        <v/>
      </c>
      <c r="H23" s="47" t="str">
        <f>IF(SUMPRODUCT(--(NOT(ISERR(SEARCH({"T","P"},'CDR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4" t="str">
        <f>IF(SUMPRODUCT(--(NOT(ISERR(SEARCH({"T","P"},'CDR Project Planner'!$C24))))),'CDR Project Planner'!B24,"")</f>
        <v/>
      </c>
      <c r="C24" s="35" t="str">
        <f>IF(SUMPRODUCT(--(NOT(ISERR(SEARCH({"T","P"},'CDR Project Planner'!$C24))))),'CDR Project Planner'!C24,"")</f>
        <v/>
      </c>
      <c r="D24" s="35" t="str">
        <f>IF(SUMPRODUCT(--(NOT(ISERR(SEARCH({"T","P"},'CDR Project Planner'!$C24))))),'CDR Project Planner'!D24,"")</f>
        <v/>
      </c>
      <c r="E24" s="35" t="str">
        <f>IF(SUMPRODUCT(--(NOT(ISERR(SEARCH({"T","P"},'CDR Project Planner'!$C24))))),'CDR Project Planner'!E24,"")</f>
        <v/>
      </c>
      <c r="F24" s="35" t="str">
        <f>IF(SUMPRODUCT(--(NOT(ISERR(SEARCH({"T","P"},'CDR Project Planner'!$C24))))),'CDR Project Planner'!F24,"")</f>
        <v/>
      </c>
      <c r="G24" s="35" t="str">
        <f>IF(SUMPRODUCT(--(NOT(ISERR(SEARCH({"T","P"},'CDR Project Planner'!$C24))))),'CDR Project Planner'!G24,"")</f>
        <v/>
      </c>
      <c r="H24" s="47" t="str">
        <f>IF(SUMPRODUCT(--(NOT(ISERR(SEARCH({"T","P"},'CDR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4" t="str">
        <f>IF(SUMPRODUCT(--(NOT(ISERR(SEARCH({"T","P"},'CDR Project Planner'!#REF!))))),'CDR Project Planner'!#REF!,"")</f>
        <v/>
      </c>
      <c r="C25" s="35" t="str">
        <f>IF(SUMPRODUCT(--(NOT(ISERR(SEARCH({"T","P"},'CDR Project Planner'!#REF!))))),'CDR Project Planner'!#REF!,"")</f>
        <v/>
      </c>
      <c r="D25" s="35" t="str">
        <f>IF(SUMPRODUCT(--(NOT(ISERR(SEARCH({"T","P"},'CDR Project Planner'!#REF!))))),'CDR Project Planner'!#REF!,"")</f>
        <v/>
      </c>
      <c r="E25" s="35" t="str">
        <f>IF(SUMPRODUCT(--(NOT(ISERR(SEARCH({"T","P"},'CDR Project Planner'!#REF!))))),'CDR Project Planner'!#REF!,"")</f>
        <v/>
      </c>
      <c r="F25" s="35" t="str">
        <f>IF(SUMPRODUCT(--(NOT(ISERR(SEARCH({"T","P"},'CDR Project Planner'!#REF!))))),'CDR Project Planner'!#REF!,"")</f>
        <v/>
      </c>
      <c r="G25" s="35" t="str">
        <f>IF(SUMPRODUCT(--(NOT(ISERR(SEARCH({"T","P"},'CDR Project Planner'!#REF!))))),'CDR Project Planner'!#REF!,"")</f>
        <v/>
      </c>
      <c r="H25" s="47" t="str">
        <f>IF(SUMPRODUCT(--(NOT(ISERR(SEARCH({"T","P"},'CDR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34" t="str">
        <f>IF(SUMPRODUCT(--(NOT(ISERR(SEARCH({"T","P"},'CDR Project Planner'!$C28))))),'CDR Project Planner'!B28,"")</f>
        <v/>
      </c>
      <c r="C26" s="35" t="str">
        <f>IF(SUMPRODUCT(--(NOT(ISERR(SEARCH({"T","P"},'CDR Project Planner'!$C28))))),'CDR Project Planner'!C28,"")</f>
        <v/>
      </c>
      <c r="D26" s="35" t="str">
        <f>IF(SUMPRODUCT(--(NOT(ISERR(SEARCH({"T","P"},'CDR Project Planner'!$C28))))),'CDR Project Planner'!D28,"")</f>
        <v/>
      </c>
      <c r="E26" s="35" t="str">
        <f>IF(SUMPRODUCT(--(NOT(ISERR(SEARCH({"T","P"},'CDR Project Planner'!$C28))))),'CDR Project Planner'!E28,"")</f>
        <v/>
      </c>
      <c r="F26" s="35" t="str">
        <f>IF(SUMPRODUCT(--(NOT(ISERR(SEARCH({"T","P"},'CDR Project Planner'!$C28))))),'CDR Project Planner'!F28,"")</f>
        <v/>
      </c>
      <c r="G26" s="35" t="str">
        <f>IF(SUMPRODUCT(--(NOT(ISERR(SEARCH({"T","P"},'CDR Project Planner'!$C28))))),'CDR Project Planner'!G28,"")</f>
        <v/>
      </c>
      <c r="H26" s="47" t="str">
        <f>IF(SUMPRODUCT(--(NOT(ISERR(SEARCH({"T","P"},'CDR Project Planner'!$C28))))),'CDR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41" t="str">
        <f>IF(SUMPRODUCT(--(NOT(ISERR(SEARCH({"T","P"},'CDR Project Planner'!$C29))))),'CDR Project Planner'!B29,"")</f>
        <v/>
      </c>
      <c r="C27" s="35" t="str">
        <f>IF(SUMPRODUCT(--(NOT(ISERR(SEARCH({"T","P"},'CDR Project Planner'!$C29))))),'CDR Project Planner'!C29,"")</f>
        <v/>
      </c>
      <c r="D27" s="35"/>
      <c r="E27" s="35"/>
      <c r="F27" s="35"/>
      <c r="G27" s="35"/>
      <c r="H27" s="47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42" t="str">
        <f>IF(SUMPRODUCT(--(NOT(ISERR(SEARCH({"T","P"},'CDR Project Planner'!#REF!))))),'CDR Project Planner'!#REF!,"")</f>
        <v/>
      </c>
      <c r="C28" s="35" t="str">
        <f>IF(SUMPRODUCT(--(NOT(ISERR(SEARCH({"T","P"},'CDR Project Planner'!#REF!))))),'CDR Project Planner'!#REF!,"")</f>
        <v/>
      </c>
      <c r="D28" s="35" t="str">
        <f>IF(SUMPRODUCT(--(NOT(ISERR(SEARCH({"T","P"},'CDR Project Planner'!#REF!))))),'CDR Project Planner'!#REF!,"")</f>
        <v/>
      </c>
      <c r="E28" s="35" t="str">
        <f>IF(SUMPRODUCT(--(NOT(ISERR(SEARCH({"T","P"},'CDR Project Planner'!#REF!))))),'CDR Project Planner'!#REF!,"")</f>
        <v/>
      </c>
      <c r="F28" s="35" t="str">
        <f>IF(SUMPRODUCT(--(NOT(ISERR(SEARCH({"T","P"},'CDR Project Planner'!#REF!))))),'CDR Project Planner'!#REF!,"")</f>
        <v/>
      </c>
      <c r="G28" s="35" t="str">
        <f>IF(SUMPRODUCT(--(NOT(ISERR(SEARCH({"T","P"},'CDR Project Planner'!#REF!))))),'CDR Project Planner'!#REF!,"")</f>
        <v/>
      </c>
      <c r="H28" s="47" t="str">
        <f>IF(SUMPRODUCT(--(NOT(ISERR(SEARCH({"T","P"},'CDR Project Planner'!#REF!))))),'CDR Project Planner'!#REF!*100,"")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42" t="str">
        <f>IF(SUMPRODUCT(--(NOT(ISERR(SEARCH({"T","P"},'CDR Project Planner'!$C30))))),'CDR Project Planner'!B30,"")</f>
        <v/>
      </c>
      <c r="C29" s="35" t="str">
        <f>IF(SUMPRODUCT(--(NOT(ISERR(SEARCH({"T","P"},'CDR Project Planner'!$C30))))),'CDR Project Planner'!C30,"")</f>
        <v/>
      </c>
      <c r="D29" s="35" t="str">
        <f>IF(SUMPRODUCT(--(NOT(ISERR(SEARCH({"T","P"},'CDR Project Planner'!$C30))))),'CDR Project Planner'!D30,"")</f>
        <v/>
      </c>
      <c r="E29" s="35" t="str">
        <f>IF(SUMPRODUCT(--(NOT(ISERR(SEARCH({"T","P"},'CDR Project Planner'!$C30))))),'CDR Project Planner'!E30,"")</f>
        <v/>
      </c>
      <c r="F29" s="35" t="str">
        <f>IF(SUMPRODUCT(--(NOT(ISERR(SEARCH({"T","P"},'CDR Project Planner'!$C30))))),'CDR Project Planner'!F30,"")</f>
        <v/>
      </c>
      <c r="G29" s="35" t="str">
        <f>IF(SUMPRODUCT(--(NOT(ISERR(SEARCH({"T","P"},'CDR Project Planner'!$C30))))),'CDR Project Planner'!G30,"")</f>
        <v/>
      </c>
      <c r="H29" s="47" t="str">
        <f>IF(SUMPRODUCT(--(NOT(ISERR(SEARCH({"T","P"},'CDR Project Planner'!$C30))))),'CDR Project Planner'!H30*100,"")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41" t="str">
        <f>IF(SUMPRODUCT(--(NOT(ISERR(SEARCH({"T","P"},'CDR Project Planner'!$C35))))),'CDR Project Planner'!B35,"")</f>
        <v>Project Management</v>
      </c>
      <c r="C30" s="35" t="str">
        <f>IF(SUMPRODUCT(--(NOT(ISERR(SEARCH({"T","P"},'CDR Project Planner'!$C35))))),'CDR Project Planner'!C35,"")</f>
        <v>An &amp; T &amp; ?</v>
      </c>
      <c r="D30" s="35"/>
      <c r="E30" s="35"/>
      <c r="F30" s="35"/>
      <c r="G30" s="35"/>
      <c r="H30" s="47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4" t="str">
        <f>IF(SUMPRODUCT(--(NOT(ISERR(SEARCH({"T","P"},'CDR Project Planner'!$C36))))),'CDR Project Planner'!B36,"")</f>
        <v/>
      </c>
      <c r="C31" s="35" t="str">
        <f>IF(SUMPRODUCT(--(NOT(ISERR(SEARCH({"T","P"},'CDR Project Planner'!$C36))))),'CDR Project Planner'!C36,"")</f>
        <v/>
      </c>
      <c r="D31" s="35" t="str">
        <f>IF(SUMPRODUCT(--(NOT(ISERR(SEARCH({"T","P"},'CDR Project Planner'!$C36))))),'CDR Project Planner'!D36,"")</f>
        <v/>
      </c>
      <c r="E31" s="35" t="str">
        <f>IF(SUMPRODUCT(--(NOT(ISERR(SEARCH({"T","P"},'CDR Project Planner'!$C36))))),'CDR Project Planner'!E36,"")</f>
        <v/>
      </c>
      <c r="F31" s="35" t="str">
        <f>IF(SUMPRODUCT(--(NOT(ISERR(SEARCH({"T","P"},'CDR Project Planner'!$C36))))),'CDR Project Planner'!F36,"")</f>
        <v/>
      </c>
      <c r="G31" s="35" t="str">
        <f>IF(SUMPRODUCT(--(NOT(ISERR(SEARCH({"T","P"},'CDR Project Planner'!$C36))))),'CDR Project Planner'!G36,"")</f>
        <v/>
      </c>
      <c r="H31" s="47" t="str">
        <f>IF(SUMPRODUCT(--(NOT(ISERR(SEARCH({"T","P"},'CDR Project Planner'!$C36))))),'CDR Project Planner'!H36*100,"")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4" t="str">
        <f>IF(SUMPRODUCT(--(NOT(ISERR(SEARCH({"T","P"},'CDR Project Planner'!$C37))))),'CDR Project Planner'!B37,"")</f>
        <v/>
      </c>
      <c r="C32" s="35" t="str">
        <f>IF(SUMPRODUCT(--(NOT(ISERR(SEARCH({"T","P"},'CDR Project Planner'!$C37))))),'CDR Project Planner'!C37,"")</f>
        <v/>
      </c>
      <c r="D32" s="35" t="str">
        <f>IF(SUMPRODUCT(--(NOT(ISERR(SEARCH({"T","P"},'CDR Project Planner'!$C37))))),'CDR Project Planner'!D37,"")</f>
        <v/>
      </c>
      <c r="E32" s="35" t="str">
        <f>IF(SUMPRODUCT(--(NOT(ISERR(SEARCH({"T","P"},'CDR Project Planner'!$C37))))),'CDR Project Planner'!E37,"")</f>
        <v/>
      </c>
      <c r="F32" s="35" t="str">
        <f>IF(SUMPRODUCT(--(NOT(ISERR(SEARCH({"T","P"},'CDR Project Planner'!$C37))))),'CDR Project Planner'!F37,"")</f>
        <v/>
      </c>
      <c r="G32" s="35" t="str">
        <f>IF(SUMPRODUCT(--(NOT(ISERR(SEARCH({"T","P"},'CDR Project Planner'!$C37))))),'CDR Project Planner'!G37,"")</f>
        <v/>
      </c>
      <c r="H32" s="47" t="str">
        <f>IF(SUMPRODUCT(--(NOT(ISERR(SEARCH({"T","P"},'CDR Project Planner'!$C37))))),'CDR Project Planner'!H37*100,"")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4" t="str">
        <f>IF(SUMPRODUCT(--(NOT(ISERR(SEARCH({"T","P"},'CDR Project Planner'!$C38))))),'CDR Project Planner'!B38,"")</f>
        <v/>
      </c>
      <c r="C33" s="35" t="str">
        <f>IF(SUMPRODUCT(--(NOT(ISERR(SEARCH({"T","P"},'CDR Project Planner'!$C38))))),'CDR Project Planner'!C38,"")</f>
        <v/>
      </c>
      <c r="D33" s="35" t="str">
        <f>IF(SUMPRODUCT(--(NOT(ISERR(SEARCH({"T","P"},'CDR Project Planner'!$C38))))),'CDR Project Planner'!D38,"")</f>
        <v/>
      </c>
      <c r="E33" s="35" t="str">
        <f>IF(SUMPRODUCT(--(NOT(ISERR(SEARCH({"T","P"},'CDR Project Planner'!$C38))))),'CDR Project Planner'!E38,"")</f>
        <v/>
      </c>
      <c r="F33" s="35" t="str">
        <f>IF(SUMPRODUCT(--(NOT(ISERR(SEARCH({"T","P"},'CDR Project Planner'!$C38))))),'CDR Project Planner'!F38,"")</f>
        <v/>
      </c>
      <c r="G33" s="35" t="str">
        <f>IF(SUMPRODUCT(--(NOT(ISERR(SEARCH({"T","P"},'CDR Project Planner'!$C38))))),'CDR Project Planner'!G38,"")</f>
        <v/>
      </c>
      <c r="H33" s="47" t="str">
        <f>IF(SUMPRODUCT(--(NOT(ISERR(SEARCH({"T","P"},'CDR Project Planner'!$C38))))),'CDR Project Planner'!H38*100,"")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4" t="str">
        <f>IF(SUMPRODUCT(--(NOT(ISERR(SEARCH({"T","P"},'CDR Project Planner'!$C39))))),'CDR Project Planner'!B39,"")</f>
        <v/>
      </c>
      <c r="C34" s="35" t="str">
        <f>IF(SUMPRODUCT(--(NOT(ISERR(SEARCH({"T","P"},'CDR Project Planner'!$C39))))),'CDR Project Planner'!C39,"")</f>
        <v/>
      </c>
      <c r="D34" s="35" t="str">
        <f>IF(SUMPRODUCT(--(NOT(ISERR(SEARCH({"T","P"},'CDR Project Planner'!$C39))))),'CDR Project Planner'!D39,"")</f>
        <v/>
      </c>
      <c r="E34" s="35" t="str">
        <f>IF(SUMPRODUCT(--(NOT(ISERR(SEARCH({"T","P"},'CDR Project Planner'!$C39))))),'CDR Project Planner'!E39,"")</f>
        <v/>
      </c>
      <c r="F34" s="35" t="str">
        <f>IF(SUMPRODUCT(--(NOT(ISERR(SEARCH({"T","P"},'CDR Project Planner'!$C39))))),'CDR Project Planner'!F39,"")</f>
        <v/>
      </c>
      <c r="G34" s="35" t="str">
        <f>IF(SUMPRODUCT(--(NOT(ISERR(SEARCH({"T","P"},'CDR Project Planner'!$C39))))),'CDR Project Planner'!G39,"")</f>
        <v/>
      </c>
      <c r="H34" s="47" t="str">
        <f>IF(SUMPRODUCT(--(NOT(ISERR(SEARCH({"T","P"},'CDR Project Planner'!$C39))))),'CDR Project Planner'!H39*100,"")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2" t="str">
        <f>IF(SUMPRODUCT(--(NOT(ISERR(SEARCH({"T","P"},'CDR Project Planner'!$C40))))),'CDR Project Planner'!B40,"")</f>
        <v>CDR PowerPoint</v>
      </c>
      <c r="C35" s="35" t="str">
        <f>IF(SUMPRODUCT(--(NOT(ISERR(SEARCH({"T","P"},'CDR Project Planner'!$C40))))),'CDR Project Planner'!C40,"")</f>
        <v>T</v>
      </c>
      <c r="D35" s="35">
        <f>IF(SUMPRODUCT(--(NOT(ISERR(SEARCH({"T","P"},'CDR Project Planner'!$C40))))),'CDR Project Planner'!D40,"")</f>
        <v>45</v>
      </c>
      <c r="E35" s="35">
        <f>IF(SUMPRODUCT(--(NOT(ISERR(SEARCH({"T","P"},'CDR Project Planner'!$C40))))),'CDR Project Planner'!E40,"")</f>
        <v>10</v>
      </c>
      <c r="F35" s="35">
        <f>IF(SUMPRODUCT(--(NOT(ISERR(SEARCH({"T","P"},'CDR Project Planner'!$C40))))),'CDR Project Planner'!F40,"")</f>
        <v>0</v>
      </c>
      <c r="G35" s="35">
        <f>IF(SUMPRODUCT(--(NOT(ISERR(SEARCH({"T","P"},'CDR Project Planner'!$C40))))),'CDR Project Planner'!G40,"")</f>
        <v>0</v>
      </c>
      <c r="H35" s="47">
        <f>IF(SUMPRODUCT(--(NOT(ISERR(SEARCH({"T","P"},'CDR Project Planner'!$C40))))),'CDR Project Planner'!H40*100,"")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8" t="str">
        <f>IF(SUMPRODUCT(--(NOT(ISERR(SEARCH({"T","P"},'CDR Project Planner'!$C41))))),'CDR Project Planner'!B41,"")</f>
        <v>CDR</v>
      </c>
      <c r="C36" s="39" t="str">
        <f>IF(SUMPRODUCT(--(NOT(ISERR(SEARCH({"T","P"},'CDR Project Planner'!$C41))))),'CDR Project Planner'!C41,"")</f>
        <v>T</v>
      </c>
      <c r="D36" s="39">
        <f>IF(SUMPRODUCT(--(NOT(ISERR(SEARCH({"T","P"},'CDR Project Planner'!$C41))))),'CDR Project Planner'!D41,"")</f>
        <v>55</v>
      </c>
      <c r="E36" s="39">
        <f>IF(SUMPRODUCT(--(NOT(ISERR(SEARCH({"T","P"},'CDR Project Planner'!$C41))))),'CDR Project Planner'!E41,"")</f>
        <v>1</v>
      </c>
      <c r="F36" s="39">
        <f>IF(SUMPRODUCT(--(NOT(ISERR(SEARCH({"T","P"},'CDR Project Planner'!$C41))))),'CDR Project Planner'!F41,"")</f>
        <v>55</v>
      </c>
      <c r="G36" s="39">
        <f>IF(SUMPRODUCT(--(NOT(ISERR(SEARCH({"T","P"},'CDR Project Planner'!$C41))))),'CDR Project Planner'!G41,"")</f>
        <v>1</v>
      </c>
      <c r="H36" s="40">
        <f>IF(SUMPRODUCT(--(NOT(ISERR(SEARCH({"T","P"},'CDR Project Planner'!$C41))))),'CDR Project Planner'!H41*100,"")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4" t="str">
        <f>IF(SUMPRODUCT(--(NOT(ISERR(SEARCH({"T","P"},'CDR Project Planner'!$C42))))),'CDR Project Planner'!B42,"")</f>
        <v/>
      </c>
      <c r="C37" s="35" t="str">
        <f>IF(SUMPRODUCT(--(NOT(ISERR(SEARCH({"T","P"},'CDR Project Planner'!$C42))))),'CDR Project Planner'!C42,"")</f>
        <v/>
      </c>
      <c r="D37" s="35" t="str">
        <f>IF(SUMPRODUCT(--(NOT(ISERR(SEARCH({"T","P"},'CDR Project Planner'!$C42))))),'CDR Project Planner'!D42,"")</f>
        <v/>
      </c>
      <c r="E37" s="35" t="str">
        <f>IF(SUMPRODUCT(--(NOT(ISERR(SEARCH({"T","P"},'CDR Project Planner'!$C42))))),'CDR Project Planner'!E42,"")</f>
        <v/>
      </c>
      <c r="F37" s="35" t="str">
        <f>IF(SUMPRODUCT(--(NOT(ISERR(SEARCH({"T","P"},'CDR Project Planner'!$C42))))),'CDR Project Planner'!F42,"")</f>
        <v/>
      </c>
      <c r="G37" s="35" t="str">
        <f>IF(SUMPRODUCT(--(NOT(ISERR(SEARCH({"T","P"},'CDR Project Planner'!$C42))))),'CDR Project Planner'!G42,"")</f>
        <v/>
      </c>
      <c r="H37" s="47" t="str">
        <f>IF(SUMPRODUCT(--(NOT(ISERR(SEARCH({"T","P"},'CDR Project Planner'!$C42))))),'CDR Project Planner'!H42*100,"")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4" t="str">
        <f>IF(SUMPRODUCT(--(NOT(ISERR(SEARCH({"T","P"},'CDR Project Planner'!$C43))))),'CDR Project Planner'!B43,"")</f>
        <v/>
      </c>
      <c r="C38" s="35" t="str">
        <f>IF(SUMPRODUCT(--(NOT(ISERR(SEARCH({"T","P"},'CDR Project Planner'!$C43))))),'CDR Project Planner'!C43,"")</f>
        <v/>
      </c>
      <c r="D38" s="35" t="str">
        <f>IF(SUMPRODUCT(--(NOT(ISERR(SEARCH({"T","P"},'CDR Project Planner'!$C43))))),'CDR Project Planner'!D43,"")</f>
        <v/>
      </c>
      <c r="E38" s="35" t="str">
        <f>IF(SUMPRODUCT(--(NOT(ISERR(SEARCH({"T","P"},'CDR Project Planner'!$C43))))),'CDR Project Planner'!E43,"")</f>
        <v/>
      </c>
      <c r="F38" s="35" t="str">
        <f>IF(SUMPRODUCT(--(NOT(ISERR(SEARCH({"T","P"},'CDR Project Planner'!$C43))))),'CDR Project Planner'!F43,"")</f>
        <v/>
      </c>
      <c r="G38" s="35" t="str">
        <f>IF(SUMPRODUCT(--(NOT(ISERR(SEARCH({"T","P"},'CDR Project Planner'!$C43))))),'CDR Project Planner'!G43,"")</f>
        <v/>
      </c>
      <c r="H38" s="47" t="str">
        <f>IF(SUMPRODUCT(--(NOT(ISERR(SEARCH({"T","P"},'CDR Project Planner'!$C43))))),'CDR Project Planner'!H43*100,"")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4" t="str">
        <f>IF(SUMPRODUCT(--(NOT(ISERR(SEARCH({"T","P"},'CDR Project Planner'!$C44))))),'CDR Project Planner'!B44,"")</f>
        <v/>
      </c>
      <c r="C39" s="35" t="str">
        <f>IF(SUMPRODUCT(--(NOT(ISERR(SEARCH({"T","P"},'CDR Project Planner'!$C44))))),'CDR Project Planner'!C44,"")</f>
        <v/>
      </c>
      <c r="D39" s="35" t="str">
        <f>IF(SUMPRODUCT(--(NOT(ISERR(SEARCH({"T","P"},'CDR Project Planner'!$C44))))),'CDR Project Planner'!D44,"")</f>
        <v/>
      </c>
      <c r="E39" s="35" t="str">
        <f>IF(SUMPRODUCT(--(NOT(ISERR(SEARCH({"T","P"},'CDR Project Planner'!$C44))))),'CDR Project Planner'!E44,"")</f>
        <v/>
      </c>
      <c r="F39" s="35" t="str">
        <f>IF(SUMPRODUCT(--(NOT(ISERR(SEARCH({"T","P"},'CDR Project Planner'!$C44))))),'CDR Project Planner'!F44,"")</f>
        <v/>
      </c>
      <c r="G39" s="35" t="str">
        <f>IF(SUMPRODUCT(--(NOT(ISERR(SEARCH({"T","P"},'CDR Project Planner'!$C44))))),'CDR Project Planner'!G44,"")</f>
        <v/>
      </c>
      <c r="H39" s="47" t="str">
        <f>IF(SUMPRODUCT(--(NOT(ISERR(SEARCH({"T","P"},'CDR Project Planner'!$C44))))),'CDR Project Planner'!H44*100,"")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4" t="str">
        <f>IF(SUMPRODUCT(--(NOT(ISERR(SEARCH({"T","P"},'CDR Project Planner'!$C45))))),'CDR Project Planner'!B45,"")</f>
        <v/>
      </c>
      <c r="C40" s="35" t="str">
        <f>IF(SUMPRODUCT(--(NOT(ISERR(SEARCH({"T","P"},'CDR Project Planner'!$C45))))),'CDR Project Planner'!C45,"")</f>
        <v/>
      </c>
      <c r="D40" s="35" t="str">
        <f>IF(SUMPRODUCT(--(NOT(ISERR(SEARCH({"T","P"},'CDR Project Planner'!$C45))))),'CDR Project Planner'!D45,"")</f>
        <v/>
      </c>
      <c r="E40" s="35" t="str">
        <f>IF(SUMPRODUCT(--(NOT(ISERR(SEARCH({"T","P"},'CDR Project Planner'!$C45))))),'CDR Project Planner'!E45,"")</f>
        <v/>
      </c>
      <c r="F40" s="35" t="str">
        <f>IF(SUMPRODUCT(--(NOT(ISERR(SEARCH({"T","P"},'CDR Project Planner'!$C45))))),'CDR Project Planner'!F45,"")</f>
        <v/>
      </c>
      <c r="G40" s="35" t="str">
        <f>IF(SUMPRODUCT(--(NOT(ISERR(SEARCH({"T","P"},'CDR Project Planner'!$C45))))),'CDR Project Planner'!G45,"")</f>
        <v/>
      </c>
      <c r="H40" s="47" t="str">
        <f>IF(SUMPRODUCT(--(NOT(ISERR(SEARCH({"T","P"},'CDR Project Planner'!$C45))))),'CDR Project Planner'!H45*100,"")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4" t="str">
        <f>IF(SUMPRODUCT(--(NOT(ISERR(SEARCH({"T","P"},'CDR Project Planner'!$C46))))),'CDR Project Planner'!B46,"")</f>
        <v/>
      </c>
      <c r="C41" s="35" t="str">
        <f>IF(SUMPRODUCT(--(NOT(ISERR(SEARCH({"T","P"},'CDR Project Planner'!$C46))))),'CDR Project Planner'!C46,"")</f>
        <v/>
      </c>
      <c r="D41" s="35" t="str">
        <f>IF(SUMPRODUCT(--(NOT(ISERR(SEARCH({"T","P"},'CDR Project Planner'!$C46))))),'CDR Project Planner'!D46,"")</f>
        <v/>
      </c>
      <c r="E41" s="35" t="str">
        <f>IF(SUMPRODUCT(--(NOT(ISERR(SEARCH({"T","P"},'CDR Project Planner'!$C46))))),'CDR Project Planner'!E46,"")</f>
        <v/>
      </c>
      <c r="F41" s="35" t="str">
        <f>IF(SUMPRODUCT(--(NOT(ISERR(SEARCH({"T","P"},'CDR Project Planner'!$C46))))),'CDR Project Planner'!F46,"")</f>
        <v/>
      </c>
      <c r="G41" s="35" t="str">
        <f>IF(SUMPRODUCT(--(NOT(ISERR(SEARCH({"T","P"},'CDR Project Planner'!$C46))))),'CDR Project Planner'!G46,"")</f>
        <v/>
      </c>
      <c r="H41" s="47" t="str">
        <f>IF(SUMPRODUCT(--(NOT(ISERR(SEARCH({"T","P"},'CDR Project Planner'!$C46))))),'CDR Project Planner'!H46*100,"")</f>
        <v/>
      </c>
    </row>
    <row r="42" spans="1:68" ht="30" customHeight="1" x14ac:dyDescent="0.3">
      <c r="B42" s="34" t="str">
        <f>IF(SUMPRODUCT(--(NOT(ISERR(SEARCH({"T","P"},'CDR Project Planner'!$C47))))),'CDR Project Planner'!B47,"")</f>
        <v/>
      </c>
      <c r="C42" s="35" t="str">
        <f>IF(SUMPRODUCT(--(NOT(ISERR(SEARCH({"T","P"},'CDR Project Planner'!$C47))))),'CDR Project Planner'!C47,"")</f>
        <v/>
      </c>
      <c r="D42" s="35" t="str">
        <f>IF(SUMPRODUCT(--(NOT(ISERR(SEARCH({"T","P"},'CDR Project Planner'!$C47))))),'CDR Project Planner'!D47,"")</f>
        <v/>
      </c>
      <c r="E42" s="35" t="str">
        <f>IF(SUMPRODUCT(--(NOT(ISERR(SEARCH({"T","P"},'CDR Project Planner'!$C47))))),'CDR Project Planner'!E47,"")</f>
        <v/>
      </c>
      <c r="F42" s="35" t="str">
        <f>IF(SUMPRODUCT(--(NOT(ISERR(SEARCH({"T","P"},'CDR Project Planner'!$C47))))),'CDR Project Planner'!F47,"")</f>
        <v/>
      </c>
      <c r="G42" s="35" t="str">
        <f>IF(SUMPRODUCT(--(NOT(ISERR(SEARCH({"T","P"},'CDR Project Planner'!$C47))))),'CDR Project Planner'!G47,"")</f>
        <v/>
      </c>
      <c r="H42" s="47" t="str">
        <f>IF(SUMPRODUCT(--(NOT(ISERR(SEARCH({"T","P"},'CDR Project Planner'!$C47))))),'CDR Project Planner'!H47*100,"")</f>
        <v/>
      </c>
    </row>
    <row r="43" spans="1:68" ht="30" customHeight="1" x14ac:dyDescent="0.3">
      <c r="B43" s="34" t="str">
        <f>IF(SUMPRODUCT(--(NOT(ISERR(SEARCH({"T","P"},'CDR Project Planner'!$C48))))),'CDR Project Planner'!B48,"")</f>
        <v/>
      </c>
      <c r="C43" s="35" t="str">
        <f>IF(SUMPRODUCT(--(NOT(ISERR(SEARCH({"T","P"},'CDR Project Planner'!$C48))))),'CDR Project Planner'!C48,"")</f>
        <v/>
      </c>
      <c r="D43" s="35" t="str">
        <f>IF(SUMPRODUCT(--(NOT(ISERR(SEARCH({"T","P"},'CDR Project Planner'!$C48))))),'CDR Project Planner'!D48,"")</f>
        <v/>
      </c>
      <c r="E43" s="35" t="str">
        <f>IF(SUMPRODUCT(--(NOT(ISERR(SEARCH({"T","P"},'CDR Project Planner'!$C48))))),'CDR Project Planner'!E48,"")</f>
        <v/>
      </c>
      <c r="F43" s="35" t="str">
        <f>IF(SUMPRODUCT(--(NOT(ISERR(SEARCH({"T","P"},'CDR Project Planner'!$C48))))),'CDR Project Planner'!F48,"")</f>
        <v/>
      </c>
      <c r="G43" s="35" t="str">
        <f>IF(SUMPRODUCT(--(NOT(ISERR(SEARCH({"T","P"},'CDR Project Planner'!$C48))))),'CDR Project Planner'!G48,"")</f>
        <v/>
      </c>
      <c r="H43" s="47" t="str">
        <f>IF(SUMPRODUCT(--(NOT(ISERR(SEARCH({"T","P"},'CDR Project Planner'!$C48))))),'CDR Project Planner'!H48*100,"")</f>
        <v/>
      </c>
    </row>
    <row r="44" spans="1:68" s="4" customFormat="1" ht="30" customHeight="1" x14ac:dyDescent="0.3">
      <c r="A44" s="1"/>
      <c r="B44" s="34" t="str">
        <f>IF(SUMPRODUCT(--(NOT(ISERR(SEARCH({"T","P"},'CDR Project Planner'!$C49))))),'CDR Project Planner'!B49,"")</f>
        <v/>
      </c>
      <c r="C44" s="35" t="str">
        <f>IF(SUMPRODUCT(--(NOT(ISERR(SEARCH({"T","P"},'CDR Project Planner'!$C49))))),'CDR Project Planner'!C49,"")</f>
        <v/>
      </c>
      <c r="D44" s="35" t="str">
        <f>IF(SUMPRODUCT(--(NOT(ISERR(SEARCH({"T","P"},'CDR Project Planner'!$C49))))),'CDR Project Planner'!D49,"")</f>
        <v/>
      </c>
      <c r="E44" s="35" t="str">
        <f>IF(SUMPRODUCT(--(NOT(ISERR(SEARCH({"T","P"},'CDR Project Planner'!$C49))))),'CDR Project Planner'!E49,"")</f>
        <v/>
      </c>
      <c r="F44" s="35" t="str">
        <f>IF(SUMPRODUCT(--(NOT(ISERR(SEARCH({"T","P"},'CDR Project Planner'!$C49))))),'CDR Project Planner'!F49,"")</f>
        <v/>
      </c>
      <c r="G44" s="35" t="str">
        <f>IF(SUMPRODUCT(--(NOT(ISERR(SEARCH({"T","P"},'CDR Project Planner'!$C49))))),'CDR Project Planner'!G49,"")</f>
        <v/>
      </c>
      <c r="H44" s="47" t="str">
        <f>IF(SUMPRODUCT(--(NOT(ISERR(SEARCH({"T","P"},'CDR Project Planner'!$C49))))),'CDR Project Planner'!H49*100,"")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4" t="str">
        <f>IF(SUMPRODUCT(--(NOT(ISERR(SEARCH({"T","P"},'CDR Project Planner'!$C50))))),'CDR Project Planner'!B50,"")</f>
        <v/>
      </c>
      <c r="C45" s="35" t="str">
        <f>IF(SUMPRODUCT(--(NOT(ISERR(SEARCH({"T","P"},'CDR Project Planner'!$C50))))),'CDR Project Planner'!C50,"")</f>
        <v/>
      </c>
      <c r="D45" s="35" t="str">
        <f>IF(SUMPRODUCT(--(NOT(ISERR(SEARCH({"T","P"},'CDR Project Planner'!$C50))))),'CDR Project Planner'!D50,"")</f>
        <v/>
      </c>
      <c r="E45" s="35" t="str">
        <f>IF(SUMPRODUCT(--(NOT(ISERR(SEARCH({"T","P"},'CDR Project Planner'!$C50))))),'CDR Project Planner'!E50,"")</f>
        <v/>
      </c>
      <c r="F45" s="35" t="str">
        <f>IF(SUMPRODUCT(--(NOT(ISERR(SEARCH({"T","P"},'CDR Project Planner'!$C50))))),'CDR Project Planner'!F50,"")</f>
        <v/>
      </c>
      <c r="G45" s="35" t="str">
        <f>IF(SUMPRODUCT(--(NOT(ISERR(SEARCH({"T","P"},'CDR Project Planner'!$C50))))),'CDR Project Planner'!G50,"")</f>
        <v/>
      </c>
      <c r="H45" s="47" t="str">
        <f>IF(SUMPRODUCT(--(NOT(ISERR(SEARCH({"T","P"},'CDR Project Planner'!$C50))))),'CDR Project Planner'!H50*100,"")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4" t="str">
        <f>IF(SUMPRODUCT(--(NOT(ISERR(SEARCH({"T","P"},'CDR Project Planner'!$C51))))),'CDR Project Planner'!B51,"")</f>
        <v/>
      </c>
      <c r="C46" s="35" t="str">
        <f>IF(SUMPRODUCT(--(NOT(ISERR(SEARCH({"T","P"},'CDR Project Planner'!$C51))))),'CDR Project Planner'!C51,"")</f>
        <v/>
      </c>
      <c r="D46" s="35" t="str">
        <f>IF(SUMPRODUCT(--(NOT(ISERR(SEARCH({"T","P"},'CDR Project Planner'!$C51))))),'CDR Project Planner'!D51,"")</f>
        <v/>
      </c>
      <c r="E46" s="35" t="str">
        <f>IF(SUMPRODUCT(--(NOT(ISERR(SEARCH({"T","P"},'CDR Project Planner'!$C51))))),'CDR Project Planner'!E51,"")</f>
        <v/>
      </c>
      <c r="F46" s="35" t="str">
        <f>IF(SUMPRODUCT(--(NOT(ISERR(SEARCH({"T","P"},'CDR Project Planner'!$C51))))),'CDR Project Planner'!F51,"")</f>
        <v/>
      </c>
      <c r="G46" s="35" t="str">
        <f>IF(SUMPRODUCT(--(NOT(ISERR(SEARCH({"T","P"},'CDR Project Planner'!$C51))))),'CDR Project Planner'!G51,"")</f>
        <v/>
      </c>
      <c r="H46" s="47" t="str">
        <f>IF(SUMPRODUCT(--(NOT(ISERR(SEARCH({"T","P"},'CDR Project Planner'!$C51))))),'CDR Project Planner'!H51*100,"")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4" t="str">
        <f>IF(SUMPRODUCT(--(NOT(ISERR(SEARCH({"T","P"},'CDR Project Planner'!$C52))))),'CDR Project Planner'!B52,"")</f>
        <v/>
      </c>
      <c r="C47" s="35" t="str">
        <f>IF(SUMPRODUCT(--(NOT(ISERR(SEARCH({"T","P"},'CDR Project Planner'!$C52))))),'CDR Project Planner'!C52,"")</f>
        <v/>
      </c>
      <c r="D47" s="35" t="str">
        <f>IF(SUMPRODUCT(--(NOT(ISERR(SEARCH({"T","P"},'CDR Project Planner'!$C52))))),'CDR Project Planner'!D52,"")</f>
        <v/>
      </c>
      <c r="E47" s="35" t="str">
        <f>IF(SUMPRODUCT(--(NOT(ISERR(SEARCH({"T","P"},'CDR Project Planner'!$C52))))),'CDR Project Planner'!E52,"")</f>
        <v/>
      </c>
      <c r="F47" s="35" t="str">
        <f>IF(SUMPRODUCT(--(NOT(ISERR(SEARCH({"T","P"},'CDR Project Planner'!$C52))))),'CDR Project Planner'!F52,"")</f>
        <v/>
      </c>
      <c r="G47" s="35" t="str">
        <f>IF(SUMPRODUCT(--(NOT(ISERR(SEARCH({"T","P"},'CDR Project Planner'!$C52))))),'CDR Project Planner'!G52,"")</f>
        <v/>
      </c>
      <c r="H47" s="47" t="str">
        <f>IF(SUMPRODUCT(--(NOT(ISERR(SEARCH({"T","P"},'CDR Project Planner'!$C52))))),'CDR Project Planner'!H52*100,"")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4" t="str">
        <f>IF(SUMPRODUCT(--(NOT(ISERR(SEARCH({"T","P"},'CDR Project Planner'!$C53))))),'CDR Project Planner'!B53,"")</f>
        <v/>
      </c>
      <c r="C48" s="35" t="str">
        <f>IF(SUMPRODUCT(--(NOT(ISERR(SEARCH({"T","P"},'CDR Project Planner'!$C53))))),'CDR Project Planner'!C53,"")</f>
        <v/>
      </c>
      <c r="D48" s="35" t="str">
        <f>IF(SUMPRODUCT(--(NOT(ISERR(SEARCH({"T","P"},'CDR Project Planner'!$C53))))),'CDR Project Planner'!D53,"")</f>
        <v/>
      </c>
      <c r="E48" s="35" t="str">
        <f>IF(SUMPRODUCT(--(NOT(ISERR(SEARCH({"T","P"},'CDR Project Planner'!$C53))))),'CDR Project Planner'!E53,"")</f>
        <v/>
      </c>
      <c r="F48" s="35" t="str">
        <f>IF(SUMPRODUCT(--(NOT(ISERR(SEARCH({"T","P"},'CDR Project Planner'!$C53))))),'CDR Project Planner'!F53,"")</f>
        <v/>
      </c>
      <c r="G48" s="35" t="str">
        <f>IF(SUMPRODUCT(--(NOT(ISERR(SEARCH({"T","P"},'CDR Project Planner'!$C53))))),'CDR Project Planner'!G53,"")</f>
        <v/>
      </c>
      <c r="H48" s="47" t="str">
        <f>IF(SUMPRODUCT(--(NOT(ISERR(SEARCH({"T","P"},'CDR Project Planner'!$C53))))),'CDR Project Planner'!H53*100,"")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14.4" x14ac:dyDescent="0.3">
      <c r="A49" s="1"/>
      <c r="B49" s="34" t="str">
        <f>IF(SUMPRODUCT(--(NOT(ISERR(SEARCH({"T","P"},'CDR Project Planner'!$C54))))),'CDR Project Planner'!B54,"")</f>
        <v/>
      </c>
      <c r="C49" s="35" t="str">
        <f>IF(SUMPRODUCT(--(NOT(ISERR(SEARCH({"T","P"},'CDR Project Planner'!$C54))))),'CDR Project Planner'!C54,"")</f>
        <v/>
      </c>
      <c r="D49" s="35" t="str">
        <f>IF(SUMPRODUCT(--(NOT(ISERR(SEARCH({"T","P"},'CDR Project Planner'!$C54))))),'CDR Project Planner'!D54,"")</f>
        <v/>
      </c>
      <c r="E49" s="35" t="str">
        <f>IF(SUMPRODUCT(--(NOT(ISERR(SEARCH({"T","P"},'CDR Project Planner'!$C54))))),'CDR Project Planner'!E54,"")</f>
        <v/>
      </c>
      <c r="F49" s="35" t="str">
        <f>IF(SUMPRODUCT(--(NOT(ISERR(SEARCH({"T","P"},'CDR Project Planner'!$C54))))),'CDR Project Planner'!F54,"")</f>
        <v/>
      </c>
      <c r="G49" s="35" t="str">
        <f>IF(SUMPRODUCT(--(NOT(ISERR(SEARCH({"T","P"},'CDR Project Planner'!$C54))))),'CDR Project Planner'!G54,"")</f>
        <v/>
      </c>
      <c r="H49" s="47" t="str">
        <f>IF(SUMPRODUCT(--(NOT(ISERR(SEARCH({"T","P"},'CDR Project Planner'!$C54))))),'CDR Project Planner'!H54*100,"")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6" t="str">
        <f>IF(SUMPRODUCT(--(NOT(ISERR(SEARCH({"T","Ba"},'CDR Project Planner'!$C55))))),'CDR Project Planner'!B55,"")</f>
        <v/>
      </c>
      <c r="C50" s="36" t="str">
        <f>IF(SUMPRODUCT(--(NOT(ISERR(SEARCH({"T","Ba"},'CDR Project Planner'!$C55))))),'CDR Project Planner'!C55,"")</f>
        <v/>
      </c>
      <c r="D50" s="43" t="str">
        <f>IF(SUMPRODUCT(--(NOT(ISERR(SEARCH({"T","Ba"},'CDR Project Planner'!$C55))))),'CDR Project Planner'!D55,"")</f>
        <v/>
      </c>
      <c r="E50" s="43" t="str">
        <f>IF(SUMPRODUCT(--(NOT(ISERR(SEARCH({"T","Ba"},'CDR Project Planner'!$C55))))),'CDR Project Planner'!E55,"")</f>
        <v/>
      </c>
      <c r="F50" s="43" t="str">
        <f>IF(SUMPRODUCT(--(NOT(ISERR(SEARCH({"T","Ba"},'CDR Project Planner'!$C55))))),'CDR Project Planner'!F55,"")</f>
        <v/>
      </c>
      <c r="G50" s="43" t="str">
        <f>IF(SUMPRODUCT(--(NOT(ISERR(SEARCH({"T","Ba"},'CDR Project Planner'!$C55))))),'CDR Project Planner'!G55,"")</f>
        <v/>
      </c>
      <c r="H50" s="43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6" t="str">
        <f>IF(SUMPRODUCT(--(NOT(ISERR(SEARCH({"T","Ba"},'CDR Project Planner'!$C56))))),'CDR Project Planner'!B56,"")</f>
        <v/>
      </c>
      <c r="C51" s="36" t="str">
        <f>IF(SUMPRODUCT(--(NOT(ISERR(SEARCH({"T","Ba"},'CDR Project Planner'!$C56))))),'CDR Project Planner'!C56,"")</f>
        <v/>
      </c>
      <c r="D51" s="43" t="str">
        <f>IF(SUMPRODUCT(--(NOT(ISERR(SEARCH({"T","Ba"},'CDR Project Planner'!$C56))))),'CDR Project Planner'!D56,"")</f>
        <v/>
      </c>
      <c r="E51" s="43" t="str">
        <f>IF(SUMPRODUCT(--(NOT(ISERR(SEARCH({"T","Ba"},'CDR Project Planner'!$C56))))),'CDR Project Planner'!E56,"")</f>
        <v/>
      </c>
      <c r="F51" s="43" t="str">
        <f>IF(SUMPRODUCT(--(NOT(ISERR(SEARCH({"T","Ba"},'CDR Project Planner'!$C56))))),'CDR Project Planner'!F56,"")</f>
        <v/>
      </c>
      <c r="G51" s="43" t="str">
        <f>IF(SUMPRODUCT(--(NOT(ISERR(SEARCH({"T","Ba"},'CDR Project Planner'!$C56))))),'CDR Project Planner'!G56,"")</f>
        <v/>
      </c>
      <c r="H51" s="43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6" t="str">
        <f>IF(SUMPRODUCT(--(NOT(ISERR(SEARCH({"T","Ba"},'CDR Project Planner'!$C57))))),'CDR Project Planner'!B57,"")</f>
        <v/>
      </c>
      <c r="C52" s="36" t="str">
        <f>IF(SUMPRODUCT(--(NOT(ISERR(SEARCH({"T","Ba"},'CDR Project Planner'!$C57))))),'CDR Project Planner'!C57,"")</f>
        <v/>
      </c>
      <c r="D52" s="43" t="str">
        <f>IF(SUMPRODUCT(--(NOT(ISERR(SEARCH({"T","Ba"},'CDR Project Planner'!$C57))))),'CDR Project Planner'!D57,"")</f>
        <v/>
      </c>
      <c r="E52" s="43" t="str">
        <f>IF(SUMPRODUCT(--(NOT(ISERR(SEARCH({"T","Ba"},'CDR Project Planner'!$C57))))),'CDR Project Planner'!E57,"")</f>
        <v/>
      </c>
      <c r="F52" s="43" t="str">
        <f>IF(SUMPRODUCT(--(NOT(ISERR(SEARCH({"T","Ba"},'CDR Project Planner'!$C57))))),'CDR Project Planner'!F57,"")</f>
        <v/>
      </c>
      <c r="G52" s="43" t="str">
        <f>IF(SUMPRODUCT(--(NOT(ISERR(SEARCH({"T","Ba"},'CDR Project Planner'!$C57))))),'CDR Project Planner'!G57,"")</f>
        <v/>
      </c>
      <c r="H52" s="43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225" priority="2">
      <formula>PercentComplete</formula>
    </cfRule>
    <cfRule type="expression" dxfId="224" priority="3">
      <formula>PercentCompleteBeyond</formula>
    </cfRule>
    <cfRule type="expression" dxfId="223" priority="4">
      <formula>Actual</formula>
    </cfRule>
    <cfRule type="expression" dxfId="222" priority="5">
      <formula>ActualBeyond</formula>
    </cfRule>
    <cfRule type="expression" dxfId="221" priority="6">
      <formula>Plan</formula>
    </cfRule>
    <cfRule type="expression" dxfId="220" priority="7">
      <formula>I$4=period_selected</formula>
    </cfRule>
    <cfRule type="expression" dxfId="219" priority="8">
      <formula>MOD(COLUMN(),2)</formula>
    </cfRule>
    <cfRule type="expression" dxfId="218" priority="9">
      <formula>MOD(COLUMN(),2)=0</formula>
    </cfRule>
  </conditionalFormatting>
  <conditionalFormatting sqref="I4:BP4">
    <cfRule type="expression" dxfId="217" priority="10">
      <formula>I$4=period_selected</formula>
    </cfRule>
  </conditionalFormatting>
  <conditionalFormatting sqref="I5:BP6 I39:BP39 I21:BP28 I42:BP42 I45:BP45 I48:BP48">
    <cfRule type="expression" dxfId="216" priority="11">
      <formula>PercentComplete</formula>
    </cfRule>
    <cfRule type="expression" dxfId="215" priority="12">
      <formula>PercentCompleteBeyond</formula>
    </cfRule>
    <cfRule type="expression" dxfId="214" priority="13">
      <formula>Actual</formula>
    </cfRule>
    <cfRule type="expression" dxfId="213" priority="14">
      <formula>ActualBeyond</formula>
    </cfRule>
    <cfRule type="expression" dxfId="212" priority="15">
      <formula>Plan</formula>
    </cfRule>
    <cfRule type="expression" dxfId="211" priority="16">
      <formula>I$4=period_selected</formula>
    </cfRule>
    <cfRule type="expression" dxfId="210" priority="17">
      <formula>MOD(COLUMN(),2)</formula>
    </cfRule>
    <cfRule type="expression" dxfId="209" priority="18">
      <formula>MOD(COLUMN(),2)=0</formula>
    </cfRule>
  </conditionalFormatting>
  <conditionalFormatting sqref="I38:BP38 I41:BP41 I44:BP44 I47:BP47">
    <cfRule type="expression" dxfId="208" priority="19">
      <formula>PercentComplete</formula>
    </cfRule>
    <cfRule type="expression" dxfId="207" priority="20">
      <formula>PercentCompleteBeyond</formula>
    </cfRule>
    <cfRule type="expression" dxfId="206" priority="21">
      <formula>Actual</formula>
    </cfRule>
    <cfRule type="expression" dxfId="205" priority="22">
      <formula>ActualBeyond</formula>
    </cfRule>
    <cfRule type="expression" dxfId="204" priority="23">
      <formula>Plan</formula>
    </cfRule>
    <cfRule type="expression" dxfId="203" priority="24">
      <formula>I$4=period_selected</formula>
    </cfRule>
    <cfRule type="expression" dxfId="202" priority="25">
      <formula>MOD(COLUMN(),2)</formula>
    </cfRule>
    <cfRule type="expression" dxfId="201" priority="26">
      <formula>MOD(COLUMN(),2)=0</formula>
    </cfRule>
  </conditionalFormatting>
  <conditionalFormatting sqref="I20:BP20">
    <cfRule type="expression" dxfId="200" priority="27">
      <formula>PercentComplete</formula>
    </cfRule>
    <cfRule type="expression" dxfId="199" priority="28">
      <formula>PercentCompleteBeyond</formula>
    </cfRule>
    <cfRule type="expression" dxfId="198" priority="29">
      <formula>Actual</formula>
    </cfRule>
    <cfRule type="expression" dxfId="197" priority="30">
      <formula>ActualBeyond</formula>
    </cfRule>
    <cfRule type="expression" dxfId="196" priority="31">
      <formula>Plan</formula>
    </cfRule>
    <cfRule type="expression" dxfId="195" priority="32">
      <formula>I$4=period_selected</formula>
    </cfRule>
    <cfRule type="expression" dxfId="194" priority="33">
      <formula>MOD(COLUMN(),2)</formula>
    </cfRule>
    <cfRule type="expression" dxfId="193" priority="34">
      <formula>MOD(COLUMN(),2)=0</formula>
    </cfRule>
  </conditionalFormatting>
  <conditionalFormatting sqref="I16:BP16 I18:BP19">
    <cfRule type="expression" dxfId="192" priority="35">
      <formula>PercentComplete</formula>
    </cfRule>
    <cfRule type="expression" dxfId="191" priority="36">
      <formula>PercentCompleteBeyond</formula>
    </cfRule>
    <cfRule type="expression" dxfId="190" priority="37">
      <formula>Actual</formula>
    </cfRule>
    <cfRule type="expression" dxfId="189" priority="38">
      <formula>ActualBeyond</formula>
    </cfRule>
    <cfRule type="expression" dxfId="188" priority="39">
      <formula>Plan</formula>
    </cfRule>
    <cfRule type="expression" dxfId="187" priority="40">
      <formula>I$4=period_selected</formula>
    </cfRule>
    <cfRule type="expression" dxfId="186" priority="41">
      <formula>MOD(COLUMN(),2)</formula>
    </cfRule>
    <cfRule type="expression" dxfId="185" priority="42">
      <formula>MOD(COLUMN(),2)=0</formula>
    </cfRule>
  </conditionalFormatting>
  <conditionalFormatting sqref="I17:BP17">
    <cfRule type="expression" dxfId="184" priority="43">
      <formula>PercentComplete</formula>
    </cfRule>
    <cfRule type="expression" dxfId="183" priority="44">
      <formula>PercentCompleteBeyond</formula>
    </cfRule>
    <cfRule type="expression" dxfId="182" priority="45">
      <formula>Actual</formula>
    </cfRule>
    <cfRule type="expression" dxfId="181" priority="46">
      <formula>ActualBeyond</formula>
    </cfRule>
    <cfRule type="expression" dxfId="180" priority="47">
      <formula>Plan</formula>
    </cfRule>
    <cfRule type="expression" dxfId="179" priority="48">
      <formula>I$4=period_selected</formula>
    </cfRule>
    <cfRule type="expression" dxfId="178" priority="49">
      <formula>MOD(COLUMN(),2)</formula>
    </cfRule>
    <cfRule type="expression" dxfId="177" priority="50">
      <formula>MOD(COLUMN(),2)=0</formula>
    </cfRule>
  </conditionalFormatting>
  <conditionalFormatting sqref="H53:H56">
    <cfRule type="cellIs" dxfId="176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75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I3" sqref="I3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61</v>
      </c>
      <c r="C1" s="7"/>
      <c r="D1" s="8"/>
      <c r="E1" s="8"/>
      <c r="F1" s="8"/>
      <c r="G1" s="8"/>
      <c r="H1" s="8"/>
    </row>
    <row r="2" spans="1:68" ht="21" customHeight="1" x14ac:dyDescent="0.3">
      <c r="B2" s="201">
        <f ca="1">NOW()</f>
        <v>43192.990386921294</v>
      </c>
      <c r="C2" s="201"/>
      <c r="D2" s="201"/>
      <c r="E2" s="201"/>
      <c r="F2" s="201"/>
      <c r="G2" s="201"/>
      <c r="H2" s="9" t="s">
        <v>1</v>
      </c>
      <c r="I2" s="10">
        <f ca="1">DAY(NOW())+31</f>
        <v>33</v>
      </c>
      <c r="K2" s="11"/>
      <c r="L2" s="202" t="s">
        <v>2</v>
      </c>
      <c r="M2" s="202"/>
      <c r="N2" s="202"/>
      <c r="O2" s="202"/>
      <c r="P2" s="202"/>
      <c r="Q2" s="12"/>
      <c r="R2" s="202" t="s">
        <v>3</v>
      </c>
      <c r="S2" s="202"/>
      <c r="T2" s="202"/>
      <c r="U2" s="202"/>
      <c r="V2" s="13"/>
      <c r="W2" s="202" t="s">
        <v>4</v>
      </c>
      <c r="X2" s="202"/>
      <c r="Y2" s="202"/>
      <c r="Z2" s="202"/>
      <c r="AA2" s="14"/>
      <c r="AB2" s="202" t="s">
        <v>5</v>
      </c>
      <c r="AC2" s="202"/>
      <c r="AD2" s="202"/>
      <c r="AE2" s="202"/>
      <c r="AF2" s="202"/>
      <c r="AG2" s="202"/>
      <c r="AH2" s="202"/>
      <c r="AI2" s="15"/>
      <c r="AJ2" s="196" t="s">
        <v>6</v>
      </c>
      <c r="AK2" s="196"/>
      <c r="AL2" s="196"/>
      <c r="AM2" s="196"/>
      <c r="AN2" s="196"/>
      <c r="AO2" s="196"/>
      <c r="AP2" s="196"/>
      <c r="AQ2" s="196"/>
    </row>
    <row r="3" spans="1:68" s="16" customFormat="1" ht="39.9" customHeight="1" x14ac:dyDescent="0.3">
      <c r="B3" s="197" t="s">
        <v>7</v>
      </c>
      <c r="C3" s="198" t="s">
        <v>8</v>
      </c>
      <c r="D3" s="199" t="s">
        <v>9</v>
      </c>
      <c r="E3" s="199" t="s">
        <v>10</v>
      </c>
      <c r="F3" s="199" t="s">
        <v>11</v>
      </c>
      <c r="G3" s="199" t="s">
        <v>12</v>
      </c>
      <c r="H3" s="200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197"/>
      <c r="C4" s="198"/>
      <c r="D4" s="199"/>
      <c r="E4" s="199"/>
      <c r="F4" s="199"/>
      <c r="G4" s="199"/>
      <c r="H4" s="200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8" t="str">
        <f>IF(SUMPRODUCT(--(NOT(ISERR(SEARCH({"T","Z"},'CDR Project Planner'!$C5))))),'CDR Project Planner'!B5,"")</f>
        <v>PDR</v>
      </c>
      <c r="C5" s="46" t="str">
        <f>IF(SUMPRODUCT(--(NOT(ISERR(SEARCH({"T","Z"},'CDR Project Planner'!$C5))))),'CDR Project Planner'!C5,"")</f>
        <v>T</v>
      </c>
      <c r="D5" s="46">
        <f>IF(SUMPRODUCT(--(NOT(ISERR(SEARCH({"T","Z"},'CDR Project Planner'!$C5))))),'CDR Project Planner'!D5,"")</f>
        <v>22</v>
      </c>
      <c r="E5" s="46">
        <f>IF(SUMPRODUCT(--(NOT(ISERR(SEARCH({"T","Z"},'CDR Project Planner'!$C5))))),'CDR Project Planner'!E5,"")</f>
        <v>1</v>
      </c>
      <c r="F5" s="46">
        <f>IF(SUMPRODUCT(--(NOT(ISERR(SEARCH({"T","Z"},'CDR Project Planner'!$C5))))),'CDR Project Planner'!F5,"")</f>
        <v>22</v>
      </c>
      <c r="G5" s="46">
        <f>IF(SUMPRODUCT(--(NOT(ISERR(SEARCH({"T","Z"},'CDR Project Planner'!$C5))))),'CDR Project Planner'!G5,"")</f>
        <v>1</v>
      </c>
      <c r="H5" s="49">
        <f>IF(SUMPRODUCT(--(NOT(ISERR(SEARCH({"T","Z"},'CDR Project Planner'!$C5))))),'CDR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x14ac:dyDescent="0.35">
      <c r="B6" s="34" t="str">
        <f>IF(SUMPRODUCT(--(NOT(ISERR(SEARCH({"T","Z"},'CDR Project Planner'!$C6))))),'CDR Project Planner'!B6,"")</f>
        <v/>
      </c>
      <c r="C6" s="35" t="str">
        <f>IF(SUMPRODUCT(--(NOT(ISERR(SEARCH({"T","Z"},'CDR Project Planner'!$C6))))),'CDR Project Planner'!C6,"")</f>
        <v/>
      </c>
      <c r="D6" s="35" t="str">
        <f>IF(SUMPRODUCT(--(NOT(ISERR(SEARCH({"T","Z"},'CDR Project Planner'!$C6))))),'CDR Project Planner'!D6,"")</f>
        <v/>
      </c>
      <c r="E6" s="35" t="str">
        <f>IF(SUMPRODUCT(--(NOT(ISERR(SEARCH({"T","Z"},'CDR Project Planner'!$C6))))),'CDR Project Planner'!E6,"")</f>
        <v/>
      </c>
      <c r="F6" s="35" t="str">
        <f>IF(SUMPRODUCT(--(NOT(ISERR(SEARCH({"T","Z"},'CDR Project Planner'!$C6))))),'CDR Project Planner'!F6,"")</f>
        <v/>
      </c>
      <c r="G6" s="35" t="str">
        <f>IF(SUMPRODUCT(--(NOT(ISERR(SEARCH({"T","Z"},'CDR Project Planner'!$C6))))),'CDR Project Planner'!G6,"")</f>
        <v/>
      </c>
      <c r="H6" s="49" t="str">
        <f>IF(SUMPRODUCT(--(NOT(ISERR(SEARCH({"T","Z"},'CDR Project Planner'!$C6))))),'CDR Project Planner'!H6,"")</f>
        <v/>
      </c>
    </row>
    <row r="7" spans="1:68" s="4" customFormat="1" outlineLevel="1" x14ac:dyDescent="0.35">
      <c r="A7" s="1"/>
      <c r="B7" s="34" t="str">
        <f>IF(SUMPRODUCT(--(NOT(ISERR(SEARCH({"T","Z"},'CDR Project Planner'!$C7))))),'CDR Project Planner'!B7,"")</f>
        <v/>
      </c>
      <c r="C7" s="35" t="str">
        <f>IF(SUMPRODUCT(--(NOT(ISERR(SEARCH({"T","Z"},'CDR Project Planner'!$C7))))),'CDR Project Planner'!C7,"")</f>
        <v/>
      </c>
      <c r="D7" s="35" t="str">
        <f>IF(SUMPRODUCT(--(NOT(ISERR(SEARCH({"T","Z"},'CDR Project Planner'!$C7))))),'CDR Project Planner'!D7,"")</f>
        <v/>
      </c>
      <c r="E7" s="35" t="str">
        <f>IF(SUMPRODUCT(--(NOT(ISERR(SEARCH({"T","Z"},'CDR Project Planner'!$C7))))),'CDR Project Planner'!E7,"")</f>
        <v/>
      </c>
      <c r="F7" s="35" t="str">
        <f>IF(SUMPRODUCT(--(NOT(ISERR(SEARCH({"T","Z"},'CDR Project Planner'!$C7))))),'CDR Project Planner'!F7,"")</f>
        <v/>
      </c>
      <c r="G7" s="35" t="str">
        <f>IF(SUMPRODUCT(--(NOT(ISERR(SEARCH({"T","Z"},'CDR Project Planner'!$C7))))),'CDR Project Planner'!G7,"")</f>
        <v/>
      </c>
      <c r="H7" s="49" t="str">
        <f>IF(SUMPRODUCT(--(NOT(ISERR(SEARCH({"T","Z"},'CDR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5">
      <c r="A8" s="1"/>
      <c r="B8" s="34" t="str">
        <f>IF(SUMPRODUCT(--(NOT(ISERR(SEARCH({"T","Z"},'CDR Project Planner'!$C8))))),'CDR Project Planner'!B8,"")</f>
        <v/>
      </c>
      <c r="C8" s="35" t="str">
        <f>IF(SUMPRODUCT(--(NOT(ISERR(SEARCH({"T","Z"},'CDR Project Planner'!$C8))))),'CDR Project Planner'!C8,"")</f>
        <v/>
      </c>
      <c r="D8" s="35" t="str">
        <f>IF(SUMPRODUCT(--(NOT(ISERR(SEARCH({"T","Z"},'CDR Project Planner'!$C8))))),'CDR Project Planner'!D8,"")</f>
        <v/>
      </c>
      <c r="E8" s="35" t="str">
        <f>IF(SUMPRODUCT(--(NOT(ISERR(SEARCH({"T","Z"},'CDR Project Planner'!$C8))))),'CDR Project Planner'!E8,"")</f>
        <v/>
      </c>
      <c r="F8" s="35" t="str">
        <f>IF(SUMPRODUCT(--(NOT(ISERR(SEARCH({"T","Z"},'CDR Project Planner'!$C8))))),'CDR Project Planner'!F8,"")</f>
        <v/>
      </c>
      <c r="G8" s="35" t="str">
        <f>IF(SUMPRODUCT(--(NOT(ISERR(SEARCH({"T","Z"},'CDR Project Planner'!$C8))))),'CDR Project Planner'!G8,"")</f>
        <v/>
      </c>
      <c r="H8" s="49" t="str">
        <f>IF(SUMPRODUCT(--(NOT(ISERR(SEARCH({"T","Z"},'CDR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5">
      <c r="A9" s="1"/>
      <c r="B9" s="34" t="str">
        <f>IF(SUMPRODUCT(--(NOT(ISERR(SEARCH({"T","Z"},'CDR Project Planner'!$C9))))),'CDR Project Planner'!B9,"")</f>
        <v/>
      </c>
      <c r="C9" s="35" t="str">
        <f>IF(SUMPRODUCT(--(NOT(ISERR(SEARCH({"T","Z"},'CDR Project Planner'!$C9))))),'CDR Project Planner'!C9,"")</f>
        <v/>
      </c>
      <c r="D9" s="35" t="str">
        <f>IF(SUMPRODUCT(--(NOT(ISERR(SEARCH({"T","Z"},'CDR Project Planner'!$C9))))),'CDR Project Planner'!D9,"")</f>
        <v/>
      </c>
      <c r="E9" s="35" t="str">
        <f>IF(SUMPRODUCT(--(NOT(ISERR(SEARCH({"T","Z"},'CDR Project Planner'!$C9))))),'CDR Project Planner'!E9,"")</f>
        <v/>
      </c>
      <c r="F9" s="35" t="str">
        <f>IF(SUMPRODUCT(--(NOT(ISERR(SEARCH({"T","Z"},'CDR Project Planner'!$C9))))),'CDR Project Planner'!F9,"")</f>
        <v/>
      </c>
      <c r="G9" s="35" t="str">
        <f>IF(SUMPRODUCT(--(NOT(ISERR(SEARCH({"T","Z"},'CDR Project Planner'!$C9))))),'CDR Project Planner'!G9,"")</f>
        <v/>
      </c>
      <c r="H9" s="49" t="str">
        <f>IF(SUMPRODUCT(--(NOT(ISERR(SEARCH({"T","Z"},'CDR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5">
      <c r="A10" s="1"/>
      <c r="B10" s="34" t="str">
        <f>IF(SUMPRODUCT(--(NOT(ISERR(SEARCH({"T","Z"},'CDR Project Planner'!$C10))))),'CDR Project Planner'!B10,"")</f>
        <v/>
      </c>
      <c r="C10" s="35" t="str">
        <f>IF(SUMPRODUCT(--(NOT(ISERR(SEARCH({"T","Z"},'CDR Project Planner'!$C10))))),'CDR Project Planner'!C10,"")</f>
        <v/>
      </c>
      <c r="D10" s="35" t="str">
        <f>IF(SUMPRODUCT(--(NOT(ISERR(SEARCH({"T","Z"},'CDR Project Planner'!$C10))))),'CDR Project Planner'!D10,"")</f>
        <v/>
      </c>
      <c r="E10" s="35" t="str">
        <f>IF(SUMPRODUCT(--(NOT(ISERR(SEARCH({"T","Z"},'CDR Project Planner'!$C10))))),'CDR Project Planner'!E10,"")</f>
        <v/>
      </c>
      <c r="F10" s="35" t="str">
        <f>IF(SUMPRODUCT(--(NOT(ISERR(SEARCH({"T","Z"},'CDR Project Planner'!$C10))))),'CDR Project Planner'!F10,"")</f>
        <v/>
      </c>
      <c r="G10" s="35" t="str">
        <f>IF(SUMPRODUCT(--(NOT(ISERR(SEARCH({"T","Z"},'CDR Project Planner'!$C10))))),'CDR Project Planner'!G10,"")</f>
        <v/>
      </c>
      <c r="H10" s="49" t="str">
        <f>IF(SUMPRODUCT(--(NOT(ISERR(SEARCH({"T","Z"},'CDR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5">
      <c r="A11" s="1"/>
      <c r="B11" s="34" t="str">
        <f>IF(SUMPRODUCT(--(NOT(ISERR(SEARCH({"T","Z"},'CDR Project Planner'!#REF!))))),'CDR Project Planner'!#REF!,"")</f>
        <v/>
      </c>
      <c r="C11" s="35" t="str">
        <f>IF(SUMPRODUCT(--(NOT(ISERR(SEARCH({"T","Z"},'CDR Project Planner'!#REF!))))),'CDR Project Planner'!#REF!,"")</f>
        <v/>
      </c>
      <c r="D11" s="35" t="str">
        <f>IF(SUMPRODUCT(--(NOT(ISERR(SEARCH({"T","Z"},'CDR Project Planner'!#REF!))))),'CDR Project Planner'!#REF!,"")</f>
        <v/>
      </c>
      <c r="E11" s="35" t="str">
        <f>IF(SUMPRODUCT(--(NOT(ISERR(SEARCH({"T","Z"},'CDR Project Planner'!#REF!))))),'CDR Project Planner'!#REF!,"")</f>
        <v/>
      </c>
      <c r="F11" s="35" t="str">
        <f>IF(SUMPRODUCT(--(NOT(ISERR(SEARCH({"T","Z"},'CDR Project Planner'!#REF!))))),'CDR Project Planner'!#REF!,"")</f>
        <v/>
      </c>
      <c r="G11" s="35" t="str">
        <f>IF(SUMPRODUCT(--(NOT(ISERR(SEARCH({"T","Z"},'CDR Project Planner'!#REF!))))),'CDR Project Planner'!#REF!,"")</f>
        <v/>
      </c>
      <c r="H11" s="49" t="str">
        <f>IF(SUMPRODUCT(--(NOT(ISERR(SEARCH({"T","Z"},'CDR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5">
      <c r="A12" s="1"/>
      <c r="B12" s="34" t="str">
        <f>IF(SUMPRODUCT(--(NOT(ISERR(SEARCH({"T","Z"},'CDR Project Planner'!$C11))))),'CDR Project Planner'!B11,"")</f>
        <v/>
      </c>
      <c r="C12" s="35" t="str">
        <f>IF(SUMPRODUCT(--(NOT(ISERR(SEARCH({"T","Z"},'CDR Project Planner'!$C11))))),'CDR Project Planner'!C11,"")</f>
        <v/>
      </c>
      <c r="D12" s="35" t="str">
        <f>IF(SUMPRODUCT(--(NOT(ISERR(SEARCH({"T","Z"},'CDR Project Planner'!$C11))))),'CDR Project Planner'!D11,"")</f>
        <v/>
      </c>
      <c r="E12" s="35" t="str">
        <f>IF(SUMPRODUCT(--(NOT(ISERR(SEARCH({"T","Z"},'CDR Project Planner'!$C11))))),'CDR Project Planner'!E11,"")</f>
        <v/>
      </c>
      <c r="F12" s="35" t="str">
        <f>IF(SUMPRODUCT(--(NOT(ISERR(SEARCH({"T","Z"},'CDR Project Planner'!$C11))))),'CDR Project Planner'!F11,"")</f>
        <v/>
      </c>
      <c r="G12" s="35" t="str">
        <f>IF(SUMPRODUCT(--(NOT(ISERR(SEARCH({"T","Z"},'CDR Project Planner'!$C11))))),'CDR Project Planner'!G11,"")</f>
        <v/>
      </c>
      <c r="H12" s="49" t="str">
        <f>IF(SUMPRODUCT(--(NOT(ISERR(SEARCH({"T","Z"},'CDR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5">
      <c r="A13" s="1"/>
      <c r="B13" s="34" t="str">
        <f>IF(SUMPRODUCT(--(NOT(ISERR(SEARCH({"T","Z"},'CDR Project Planner'!$C14))))),'CDR Project Planner'!B14,"")</f>
        <v xml:space="preserve">   Calibration - Python</v>
      </c>
      <c r="C13" s="35" t="str">
        <f>IF(SUMPRODUCT(--(NOT(ISERR(SEARCH({"T","Z"},'CDR Project Planner'!$C14))))),'CDR Project Planner'!C14,"")</f>
        <v>C &amp; Z</v>
      </c>
      <c r="D13" s="35">
        <f>IF(SUMPRODUCT(--(NOT(ISERR(SEARCH({"T","Z"},'CDR Project Planner'!$C14))))),'CDR Project Planner'!D14,"")</f>
        <v>31</v>
      </c>
      <c r="E13" s="35">
        <f>IF(SUMPRODUCT(--(NOT(ISERR(SEARCH({"T","Z"},'CDR Project Planner'!$C14))))),'CDR Project Planner'!E14,"")</f>
        <v>7</v>
      </c>
      <c r="F13" s="35">
        <f>IF(SUMPRODUCT(--(NOT(ISERR(SEARCH({"T","Z"},'CDR Project Planner'!$C14))))),'CDR Project Planner'!F14,"")</f>
        <v>0</v>
      </c>
      <c r="G13" s="35">
        <f>IF(SUMPRODUCT(--(NOT(ISERR(SEARCH({"T","Z"},'CDR Project Planner'!$C14))))),'CDR Project Planner'!G14,"")</f>
        <v>0</v>
      </c>
      <c r="H13" s="49">
        <f>IF(SUMPRODUCT(--(NOT(ISERR(SEARCH({"T","Z"},'CDR Project Planner'!$C14))))),'CDR Project Planner'!H14,"")</f>
        <v>0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4" t="str">
        <f>IF(SUMPRODUCT(--(NOT(ISERR(SEARCH({"T","Z"},'CDR Project Planner'!$C15))))),'CDR Project Planner'!B15,"")</f>
        <v/>
      </c>
      <c r="C14" s="35" t="str">
        <f>IF(SUMPRODUCT(--(NOT(ISERR(SEARCH({"T","Z"},'CDR Project Planner'!$C15))))),'CDR Project Planner'!C15,"")</f>
        <v/>
      </c>
      <c r="D14" s="35" t="str">
        <f>IF(SUMPRODUCT(--(NOT(ISERR(SEARCH({"T","Z"},'CDR Project Planner'!$C15))))),'CDR Project Planner'!D15,"")</f>
        <v/>
      </c>
      <c r="E14" s="35" t="str">
        <f>IF(SUMPRODUCT(--(NOT(ISERR(SEARCH({"T","Z"},'CDR Project Planner'!$C15))))),'CDR Project Planner'!E15,"")</f>
        <v/>
      </c>
      <c r="F14" s="35" t="str">
        <f>IF(SUMPRODUCT(--(NOT(ISERR(SEARCH({"T","Z"},'CDR Project Planner'!$C15))))),'CDR Project Planner'!F15,"")</f>
        <v/>
      </c>
      <c r="G14" s="35" t="str">
        <f>IF(SUMPRODUCT(--(NOT(ISERR(SEARCH({"T","Z"},'CDR Project Planner'!$C15))))),'CDR Project Planner'!G15,"")</f>
        <v/>
      </c>
      <c r="H14" s="50" t="str">
        <f>IF(SUMPRODUCT(--(NOT(ISERR(SEARCH({"T","Z"},'CDR Project Planner'!$C15))))),'CDR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4" t="str">
        <f>IF(SUMPRODUCT(--(NOT(ISERR(SEARCH({"T","Z"},'CDR Project Planner'!$C16))))),'CDR Project Planner'!B16,"")</f>
        <v/>
      </c>
      <c r="C15" s="35" t="str">
        <f>IF(SUMPRODUCT(--(NOT(ISERR(SEARCH({"T","Z"},'CDR Project Planner'!$C16))))),'CDR Project Planner'!C16,"")</f>
        <v/>
      </c>
      <c r="D15" s="35" t="str">
        <f>IF(SUMPRODUCT(--(NOT(ISERR(SEARCH({"T","Z"},'CDR Project Planner'!$C16))))),'CDR Project Planner'!D16,"")</f>
        <v/>
      </c>
      <c r="E15" s="35" t="str">
        <f>IF(SUMPRODUCT(--(NOT(ISERR(SEARCH({"T","Z"},'CDR Project Planner'!$C16))))),'CDR Project Planner'!E16,"")</f>
        <v/>
      </c>
      <c r="F15" s="35" t="str">
        <f>IF(SUMPRODUCT(--(NOT(ISERR(SEARCH({"T","Z"},'CDR Project Planner'!$C16))))),'CDR Project Planner'!F16,"")</f>
        <v/>
      </c>
      <c r="G15" s="35" t="str">
        <f>IF(SUMPRODUCT(--(NOT(ISERR(SEARCH({"T","Z"},'CDR Project Planner'!$C16))))),'CDR Project Planner'!G16,"")</f>
        <v/>
      </c>
      <c r="H15" s="50" t="str">
        <f>IF(SUMPRODUCT(--(NOT(ISERR(SEARCH({"T","Z"},'CDR Project Planner'!$C16))))),'CDR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4" t="str">
        <f>IF(SUMPRODUCT(--(NOT(ISERR(SEARCH({"T","Z"},'CDR Project Planner'!$C17))))),'CDR Project Planner'!B17,"")</f>
        <v/>
      </c>
      <c r="C16" s="35" t="str">
        <f>IF(SUMPRODUCT(--(NOT(ISERR(SEARCH({"T","Z"},'CDR Project Planner'!$C17))))),'CDR Project Planner'!C17,"")</f>
        <v/>
      </c>
      <c r="D16" s="35" t="str">
        <f>IF(SUMPRODUCT(--(NOT(ISERR(SEARCH({"T","Z"},'CDR Project Planner'!$C17))))),'CDR Project Planner'!D17,"")</f>
        <v/>
      </c>
      <c r="E16" s="35" t="str">
        <f>IF(SUMPRODUCT(--(NOT(ISERR(SEARCH({"T","Z"},'CDR Project Planner'!$C17))))),'CDR Project Planner'!E17,"")</f>
        <v/>
      </c>
      <c r="F16" s="35" t="str">
        <f>IF(SUMPRODUCT(--(NOT(ISERR(SEARCH({"T","Z"},'CDR Project Planner'!$C17))))),'CDR Project Planner'!F17,"")</f>
        <v/>
      </c>
      <c r="G16" s="35" t="str">
        <f>IF(SUMPRODUCT(--(NOT(ISERR(SEARCH({"T","Z"},'CDR Project Planner'!$C17))))),'CDR Project Planner'!G17,"")</f>
        <v/>
      </c>
      <c r="H16" s="50" t="str">
        <f>IF(SUMPRODUCT(--(NOT(ISERR(SEARCH({"T","Z"},'CDR Project Planner'!$C17))))),'CDR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4" t="str">
        <f>IF(SUMPRODUCT(--(NOT(ISERR(SEARCH({"T","Z"},'CDR Project Planner'!$C18))))),'CDR Project Planner'!B18,"")</f>
        <v/>
      </c>
      <c r="C17" s="35" t="str">
        <f>IF(SUMPRODUCT(--(NOT(ISERR(SEARCH({"T","Z"},'CDR Project Planner'!$C18))))),'CDR Project Planner'!C18,"")</f>
        <v/>
      </c>
      <c r="D17" s="35" t="str">
        <f>IF(SUMPRODUCT(--(NOT(ISERR(SEARCH({"T","Z"},'CDR Project Planner'!$C18))))),'CDR Project Planner'!D18,"")</f>
        <v/>
      </c>
      <c r="E17" s="35" t="str">
        <f>IF(SUMPRODUCT(--(NOT(ISERR(SEARCH({"T","Z"},'CDR Project Planner'!$C18))))),'CDR Project Planner'!E18,"")</f>
        <v/>
      </c>
      <c r="F17" s="35" t="str">
        <f>IF(SUMPRODUCT(--(NOT(ISERR(SEARCH({"T","Z"},'CDR Project Planner'!$C18))))),'CDR Project Planner'!F18,"")</f>
        <v/>
      </c>
      <c r="G17" s="35" t="str">
        <f>IF(SUMPRODUCT(--(NOT(ISERR(SEARCH({"T","Z"},'CDR Project Planner'!$C18))))),'CDR Project Planner'!G18,"")</f>
        <v/>
      </c>
      <c r="H17" s="50" t="str">
        <f>IF(SUMPRODUCT(--(NOT(ISERR(SEARCH({"T","Z"},'CDR Project Planner'!$C18))))),'CDR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4" t="str">
        <f>IF(SUMPRODUCT(--(NOT(ISERR(SEARCH({"T","Z"},'CDR Project Planner'!$C19))))),'CDR Project Planner'!B19,"")</f>
        <v/>
      </c>
      <c r="C18" s="35" t="str">
        <f>IF(SUMPRODUCT(--(NOT(ISERR(SEARCH({"T","Z"},'CDR Project Planner'!$C19))))),'CDR Project Planner'!C19,"")</f>
        <v/>
      </c>
      <c r="D18" s="35" t="str">
        <f>IF(SUMPRODUCT(--(NOT(ISERR(SEARCH({"T","Z"},'CDR Project Planner'!$C19))))),'CDR Project Planner'!D19,"")</f>
        <v/>
      </c>
      <c r="E18" s="35" t="str">
        <f>IF(SUMPRODUCT(--(NOT(ISERR(SEARCH({"T","Z"},'CDR Project Planner'!$C19))))),'CDR Project Planner'!E19,"")</f>
        <v/>
      </c>
      <c r="F18" s="35" t="str">
        <f>IF(SUMPRODUCT(--(NOT(ISERR(SEARCH({"T","Z"},'CDR Project Planner'!$C19))))),'CDR Project Planner'!F19,"")</f>
        <v/>
      </c>
      <c r="G18" s="35" t="str">
        <f>IF(SUMPRODUCT(--(NOT(ISERR(SEARCH({"T","Z"},'CDR Project Planner'!$C19))))),'CDR Project Planner'!G19,"")</f>
        <v/>
      </c>
      <c r="H18" s="50" t="str">
        <f>IF(SUMPRODUCT(--(NOT(ISERR(SEARCH({"T","Z"},'CDR Project Planner'!$C19))))),'CDR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4" t="str">
        <f>IF(SUMPRODUCT(--(NOT(ISERR(SEARCH({"T","Z"},'CDR Project Planner'!#REF!))))),'CDR Project Planner'!#REF!,"")</f>
        <v/>
      </c>
      <c r="C19" s="35" t="str">
        <f>IF(SUMPRODUCT(--(NOT(ISERR(SEARCH({"T","Z"},'CDR Project Planner'!#REF!))))),'CDR Project Planner'!#REF!,"")</f>
        <v/>
      </c>
      <c r="D19" s="35" t="str">
        <f>IF(SUMPRODUCT(--(NOT(ISERR(SEARCH({"T","Z"},'CDR Project Planner'!#REF!))))),'CDR Project Planner'!#REF!,"")</f>
        <v/>
      </c>
      <c r="E19" s="35" t="str">
        <f>IF(SUMPRODUCT(--(NOT(ISERR(SEARCH({"T","Z"},'CDR Project Planner'!#REF!))))),'CDR Project Planner'!#REF!,"")</f>
        <v/>
      </c>
      <c r="F19" s="35" t="str">
        <f>IF(SUMPRODUCT(--(NOT(ISERR(SEARCH({"T","Z"},'CDR Project Planner'!#REF!))))),'CDR Project Planner'!#REF!,"")</f>
        <v/>
      </c>
      <c r="G19" s="35" t="str">
        <f>IF(SUMPRODUCT(--(NOT(ISERR(SEARCH({"T","Z"},'CDR Project Planner'!#REF!))))),'CDR Project Planner'!#REF!,"")</f>
        <v/>
      </c>
      <c r="H19" s="50" t="str">
        <f>IF(SUMPRODUCT(--(NOT(ISERR(SEARCH({"T","Z"},'CDR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4" t="str">
        <f>IF(SUMPRODUCT(--(NOT(ISERR(SEARCH({"T","Z"},'CDR Project Planner'!#REF!))))),'CDR Project Planner'!#REF!,"")</f>
        <v/>
      </c>
      <c r="C20" s="35" t="str">
        <f>IF(SUMPRODUCT(--(NOT(ISERR(SEARCH({"T","Z"},'CDR Project Planner'!#REF!))))),'CDR Project Planner'!#REF!,"")</f>
        <v/>
      </c>
      <c r="D20" s="35" t="str">
        <f>IF(SUMPRODUCT(--(NOT(ISERR(SEARCH({"T","Z"},'CDR Project Planner'!#REF!))))),'CDR Project Planner'!#REF!,"")</f>
        <v/>
      </c>
      <c r="E20" s="35" t="str">
        <f>IF(SUMPRODUCT(--(NOT(ISERR(SEARCH({"T","Z"},'CDR Project Planner'!#REF!))))),'CDR Project Planner'!#REF!,"")</f>
        <v/>
      </c>
      <c r="F20" s="35" t="str">
        <f>IF(SUMPRODUCT(--(NOT(ISERR(SEARCH({"T","Z"},'CDR Project Planner'!#REF!))))),'CDR Project Planner'!#REF!,"")</f>
        <v/>
      </c>
      <c r="G20" s="35" t="str">
        <f>IF(SUMPRODUCT(--(NOT(ISERR(SEARCH({"T","Z"},'CDR Project Planner'!#REF!))))),'CDR Project Planner'!#REF!,"")</f>
        <v/>
      </c>
      <c r="H20" s="50" t="str">
        <f>IF(SUMPRODUCT(--(NOT(ISERR(SEARCH({"T","Z"},'CDR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41" t="str">
        <f>IF(SUMPRODUCT(--(NOT(ISERR(SEARCH({"T","Z"},'CDR Project Planner'!$C21))))),'CDR Project Planner'!B21,"")</f>
        <v>Python</v>
      </c>
      <c r="C21" s="35" t="str">
        <f>IF(SUMPRODUCT(--(NOT(ISERR(SEARCH({"T","Z"},'CDR Project Planner'!$C21))))),'CDR Project Planner'!C21,"")</f>
        <v>C &amp; Z</v>
      </c>
      <c r="D21" s="35"/>
      <c r="E21" s="35"/>
      <c r="F21" s="35"/>
      <c r="G21" s="35"/>
      <c r="H21" s="49">
        <f>IF(SUMPRODUCT(--(NOT(ISERR(SEARCH({"T","Z"},'CDR Project Planner'!$C21))))),'CDR Project Planner'!H21,"")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5">
      <c r="A22" s="1"/>
      <c r="B22" s="42" t="str">
        <f>IF(SUMPRODUCT(--(NOT(ISERR(SEARCH({"T","Z"},'CDR Project Planner'!$C22))))),'CDR Project Planner'!B22,"")</f>
        <v>GUI - Create camera feed</v>
      </c>
      <c r="C22" s="35" t="str">
        <f>IF(SUMPRODUCT(--(NOT(ISERR(SEARCH({"T","Z"},'CDR Project Planner'!$C22))))),'CDR Project Planner'!C22,"")</f>
        <v>Z</v>
      </c>
      <c r="D22" s="35">
        <f>IF(SUMPRODUCT(--(NOT(ISERR(SEARCH({"T","Z"},'CDR Project Planner'!$C22))))),'CDR Project Planner'!D22,"")</f>
        <v>23</v>
      </c>
      <c r="E22" s="35">
        <f>IF(SUMPRODUCT(--(NOT(ISERR(SEARCH({"T","Z"},'CDR Project Planner'!$C22))))),'CDR Project Planner'!E22,"")</f>
        <v>10</v>
      </c>
      <c r="F22" s="35">
        <f>IF(SUMPRODUCT(--(NOT(ISERR(SEARCH({"T","Z"},'CDR Project Planner'!$C22))))),'CDR Project Planner'!F22,"")</f>
        <v>0</v>
      </c>
      <c r="G22" s="35">
        <f>IF(SUMPRODUCT(--(NOT(ISERR(SEARCH({"T","Z"},'CDR Project Planner'!$C22))))),'CDR Project Planner'!G22,"")</f>
        <v>0</v>
      </c>
      <c r="H22" s="49">
        <f>IF(SUMPRODUCT(--(NOT(ISERR(SEARCH({"T","Z"},'CDR Project Planner'!$C22))))),'CDR Project Planner'!H22,"")</f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5">
      <c r="A23" s="1"/>
      <c r="B23" s="42" t="str">
        <f>IF(SUMPRODUCT(--(NOT(ISERR(SEARCH({"T","Z"},'CDR Project Planner'!$C23))))),'CDR Project Planner'!B23,"")</f>
        <v/>
      </c>
      <c r="C23" s="35" t="str">
        <f>IF(SUMPRODUCT(--(NOT(ISERR(SEARCH({"T","Z"},'CDR Project Planner'!$C23))))),'CDR Project Planner'!C23,"")</f>
        <v/>
      </c>
      <c r="D23" s="35" t="str">
        <f>IF(SUMPRODUCT(--(NOT(ISERR(SEARCH({"T","Z"},'CDR Project Planner'!$C23))))),'CDR Project Planner'!D23,"")</f>
        <v/>
      </c>
      <c r="E23" s="35" t="str">
        <f>IF(SUMPRODUCT(--(NOT(ISERR(SEARCH({"T","Z"},'CDR Project Planner'!$C23))))),'CDR Project Planner'!E23,"")</f>
        <v/>
      </c>
      <c r="F23" s="35" t="str">
        <f>IF(SUMPRODUCT(--(NOT(ISERR(SEARCH({"T","Z"},'CDR Project Planner'!$C23))))),'CDR Project Planner'!F23,"")</f>
        <v/>
      </c>
      <c r="G23" s="35" t="str">
        <f>IF(SUMPRODUCT(--(NOT(ISERR(SEARCH({"T","Z"},'CDR Project Planner'!$C23))))),'CDR Project Planner'!G23,"")</f>
        <v/>
      </c>
      <c r="H23" s="49" t="str">
        <f>IF(SUMPRODUCT(--(NOT(ISERR(SEARCH({"T","Z"},'CDR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5">
      <c r="A24" s="1"/>
      <c r="B24" s="42" t="str">
        <f>IF(SUMPRODUCT(--(NOT(ISERR(SEARCH({"T","Z"},'CDR Project Planner'!$C24))))),'CDR Project Planner'!B24,"")</f>
        <v>Create Movement functions</v>
      </c>
      <c r="C24" s="35" t="str">
        <f>IF(SUMPRODUCT(--(NOT(ISERR(SEARCH({"T","Z"},'CDR Project Planner'!$C24))))),'CDR Project Planner'!C24,"")</f>
        <v>Z</v>
      </c>
      <c r="D24" s="35">
        <f>IF(SUMPRODUCT(--(NOT(ISERR(SEARCH({"T","Z"},'CDR Project Planner'!$C24))))),'CDR Project Planner'!D24,"")</f>
        <v>32</v>
      </c>
      <c r="E24" s="35">
        <f>IF(SUMPRODUCT(--(NOT(ISERR(SEARCH({"T","Z"},'CDR Project Planner'!$C24))))),'CDR Project Planner'!E24,"")</f>
        <v>5</v>
      </c>
      <c r="F24" s="35">
        <f>IF(SUMPRODUCT(--(NOT(ISERR(SEARCH({"T","Z"},'CDR Project Planner'!$C24))))),'CDR Project Planner'!F24,"")</f>
        <v>0</v>
      </c>
      <c r="G24" s="35">
        <f>IF(SUMPRODUCT(--(NOT(ISERR(SEARCH({"T","Z"},'CDR Project Planner'!$C24))))),'CDR Project Planner'!G24,"")</f>
        <v>0</v>
      </c>
      <c r="H24" s="49">
        <f>IF(SUMPRODUCT(--(NOT(ISERR(SEARCH({"T","Z"},'CDR Project Planner'!$C24))))),'CDR Project Planner'!H24,"")</f>
        <v>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5">
      <c r="A25" s="1"/>
      <c r="B25" s="42" t="str">
        <f>IF(SUMPRODUCT(--(NOT(ISERR(SEARCH({"T","Z"},'CDR Project Planner'!#REF!))))),'CDR Project Planner'!#REF!,"")</f>
        <v/>
      </c>
      <c r="C25" s="35" t="str">
        <f>IF(SUMPRODUCT(--(NOT(ISERR(SEARCH({"T","Z"},'CDR Project Planner'!#REF!))))),'CDR Project Planner'!#REF!,"")</f>
        <v/>
      </c>
      <c r="D25" s="35" t="str">
        <f>IF(SUMPRODUCT(--(NOT(ISERR(SEARCH({"T","Z"},'CDR Project Planner'!#REF!))))),'CDR Project Planner'!#REF!,"")</f>
        <v/>
      </c>
      <c r="E25" s="35" t="str">
        <f>IF(SUMPRODUCT(--(NOT(ISERR(SEARCH({"T","Z"},'CDR Project Planner'!#REF!))))),'CDR Project Planner'!#REF!,"")</f>
        <v/>
      </c>
      <c r="F25" s="35" t="str">
        <f>IF(SUMPRODUCT(--(NOT(ISERR(SEARCH({"T","Z"},'CDR Project Planner'!#REF!))))),'CDR Project Planner'!#REF!,"")</f>
        <v/>
      </c>
      <c r="G25" s="35" t="str">
        <f>IF(SUMPRODUCT(--(NOT(ISERR(SEARCH({"T","Z"},'CDR Project Planner'!#REF!))))),'CDR Project Planner'!#REF!,"")</f>
        <v/>
      </c>
      <c r="H25" s="49" t="str">
        <f>IF(SUMPRODUCT(--(NOT(ISERR(SEARCH({"T","Z"},'CDR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outlineLevel="1" x14ac:dyDescent="0.35">
      <c r="A26" s="1"/>
      <c r="B26" s="42" t="str">
        <f>IF(SUMPRODUCT(--(NOT(ISERR(SEARCH({"T","Z"},'CDR Project Planner'!$C28))))),'CDR Project Planner'!B28,"")</f>
        <v>Make turning smart with gyro</v>
      </c>
      <c r="C26" s="35" t="str">
        <f>IF(SUMPRODUCT(--(NOT(ISERR(SEARCH({"T","Z"},'CDR Project Planner'!$C28))))),'CDR Project Planner'!C28,"")</f>
        <v>C &amp; Z</v>
      </c>
      <c r="D26" s="35">
        <f>IF(SUMPRODUCT(--(NOT(ISERR(SEARCH({"T","Z"},'CDR Project Planner'!$C28))))),'CDR Project Planner'!D28,"")</f>
        <v>35</v>
      </c>
      <c r="E26" s="35">
        <f>IF(SUMPRODUCT(--(NOT(ISERR(SEARCH({"T","Z"},'CDR Project Planner'!$C28))))),'CDR Project Planner'!E28,"")</f>
        <v>5</v>
      </c>
      <c r="F26" s="35">
        <f>IF(SUMPRODUCT(--(NOT(ISERR(SEARCH({"T","Z"},'CDR Project Planner'!$C28))))),'CDR Project Planner'!F28,"")</f>
        <v>0</v>
      </c>
      <c r="G26" s="35">
        <f>IF(SUMPRODUCT(--(NOT(ISERR(SEARCH({"T","Z"},'CDR Project Planner'!$C28))))),'CDR Project Planner'!G28,"")</f>
        <v>0</v>
      </c>
      <c r="H26" s="49">
        <f>IF(SUMPRODUCT(--(NOT(ISERR(SEARCH({"T","Z"},'CDR Project Planner'!$C28))))),'CDR Project Planner'!H28,"")</f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41" t="str">
        <f>IF(SUMPRODUCT(--(NOT(ISERR(SEARCH({"T","Z"},'CDR Project Planner'!$C29))))),'CDR Project Planner'!B29,"")</f>
        <v/>
      </c>
      <c r="C27" s="35" t="str">
        <f>IF(SUMPRODUCT(--(NOT(ISERR(SEARCH({"T","Z"},'CDR Project Planner'!$C29))))),'CDR Project Planner'!C29,"")</f>
        <v/>
      </c>
      <c r="D27" s="35"/>
      <c r="E27" s="35"/>
      <c r="F27" s="35"/>
      <c r="G27" s="35"/>
      <c r="H27" s="49" t="str">
        <f>IF(SUMPRODUCT(--(NOT(ISERR(SEARCH({"T","Z"},'CDR Project Planner'!$C29))))),'CDR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5">
      <c r="A28" s="1"/>
      <c r="B28" s="42" t="str">
        <f>IF(SUMPRODUCT(--(NOT(ISERR(SEARCH({"T","Z"},'CDR Project Planner'!#REF!))))),'CDR Project Planner'!#REF!,"")</f>
        <v/>
      </c>
      <c r="C28" s="35" t="str">
        <f>IF(SUMPRODUCT(--(NOT(ISERR(SEARCH({"T","Z"},'CDR Project Planner'!#REF!))))),'CDR Project Planner'!#REF!,"")</f>
        <v/>
      </c>
      <c r="D28" s="35" t="str">
        <f>IF(SUMPRODUCT(--(NOT(ISERR(SEARCH({"T","Z"},'CDR Project Planner'!#REF!))))),'CDR Project Planner'!#REF!,"")</f>
        <v/>
      </c>
      <c r="E28" s="35" t="str">
        <f>IF(SUMPRODUCT(--(NOT(ISERR(SEARCH({"T","Z"},'CDR Project Planner'!#REF!))))),'CDR Project Planner'!#REF!,"")</f>
        <v/>
      </c>
      <c r="F28" s="35" t="str">
        <f>IF(SUMPRODUCT(--(NOT(ISERR(SEARCH({"T","Z"},'CDR Project Planner'!#REF!))))),'CDR Project Planner'!#REF!,"")</f>
        <v/>
      </c>
      <c r="G28" s="35" t="str">
        <f>IF(SUMPRODUCT(--(NOT(ISERR(SEARCH({"T","Z"},'CDR Project Planner'!#REF!))))),'CDR Project Planner'!#REF!,"")</f>
        <v/>
      </c>
      <c r="H28" s="49" t="str">
        <f>IF(SUMPRODUCT(--(NOT(ISERR(SEARCH({"T","Z"},'CDR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outlineLevel="1" x14ac:dyDescent="0.35">
      <c r="A29" s="1"/>
      <c r="B29" s="34" t="str">
        <f>IF(SUMPRODUCT(--(NOT(ISERR(SEARCH({"T","Z"},'CDR Project Planner'!$C30))))),'CDR Project Planner'!B30,"")</f>
        <v/>
      </c>
      <c r="C29" s="35" t="str">
        <f>IF(SUMPRODUCT(--(NOT(ISERR(SEARCH({"T","Z"},'CDR Project Planner'!$C30))))),'CDR Project Planner'!C30,"")</f>
        <v/>
      </c>
      <c r="D29" s="35" t="str">
        <f>IF(SUMPRODUCT(--(NOT(ISERR(SEARCH({"T","Z"},'CDR Project Planner'!$C30))))),'CDR Project Planner'!D30,"")</f>
        <v/>
      </c>
      <c r="E29" s="35" t="str">
        <f>IF(SUMPRODUCT(--(NOT(ISERR(SEARCH({"T","Z"},'CDR Project Planner'!$C30))))),'CDR Project Planner'!E30,"")</f>
        <v/>
      </c>
      <c r="F29" s="35" t="str">
        <f>IF(SUMPRODUCT(--(NOT(ISERR(SEARCH({"T","Z"},'CDR Project Planner'!$C30))))),'CDR Project Planner'!F30,"")</f>
        <v/>
      </c>
      <c r="G29" s="35" t="str">
        <f>IF(SUMPRODUCT(--(NOT(ISERR(SEARCH({"T","Z"},'CDR Project Planner'!$C30))))),'CDR Project Planner'!G30,"")</f>
        <v/>
      </c>
      <c r="H29" s="49" t="str">
        <f>IF(SUMPRODUCT(--(NOT(ISERR(SEARCH({"T","Z"},'CDR Project Planner'!$C30))))),'CDR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41" t="str">
        <f>IF(SUMPRODUCT(--(NOT(ISERR(SEARCH({"T","Z"},'CDR Project Planner'!$C35))))),'CDR Project Planner'!B35,"")</f>
        <v>Project Management</v>
      </c>
      <c r="C30" s="35" t="str">
        <f>IF(SUMPRODUCT(--(NOT(ISERR(SEARCH({"T","Z"},'CDR Project Planner'!$C35))))),'CDR Project Planner'!C35,"")</f>
        <v>An &amp; T &amp; ?</v>
      </c>
      <c r="D30" s="35"/>
      <c r="E30" s="35"/>
      <c r="F30" s="35"/>
      <c r="G30" s="35"/>
      <c r="H30" s="49">
        <f>IF(SUMPRODUCT(--(NOT(ISERR(SEARCH({"T","Z"},'CDR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5">
      <c r="A31" s="1"/>
      <c r="B31" s="34" t="str">
        <f>IF(SUMPRODUCT(--(NOT(ISERR(SEARCH({"T","Z"},'CDR Project Planner'!$C36))))),'CDR Project Planner'!B36,"")</f>
        <v/>
      </c>
      <c r="C31" s="35" t="str">
        <f>IF(SUMPRODUCT(--(NOT(ISERR(SEARCH({"T","Z"},'CDR Project Planner'!$C36))))),'CDR Project Planner'!C36,"")</f>
        <v/>
      </c>
      <c r="D31" s="35" t="str">
        <f>IF(SUMPRODUCT(--(NOT(ISERR(SEARCH({"T","Z"},'CDR Project Planner'!$C36))))),'CDR Project Planner'!D36,"")</f>
        <v/>
      </c>
      <c r="E31" s="35" t="str">
        <f>IF(SUMPRODUCT(--(NOT(ISERR(SEARCH({"T","Z"},'CDR Project Planner'!$C36))))),'CDR Project Planner'!E36,"")</f>
        <v/>
      </c>
      <c r="F31" s="35" t="str">
        <f>IF(SUMPRODUCT(--(NOT(ISERR(SEARCH({"T","Z"},'CDR Project Planner'!$C36))))),'CDR Project Planner'!F36,"")</f>
        <v/>
      </c>
      <c r="G31" s="35" t="str">
        <f>IF(SUMPRODUCT(--(NOT(ISERR(SEARCH({"T","Z"},'CDR Project Planner'!$C36))))),'CDR Project Planner'!G36,"")</f>
        <v/>
      </c>
      <c r="H31" s="49" t="str">
        <f>IF(SUMPRODUCT(--(NOT(ISERR(SEARCH({"T","Z"},'CDR Project Planner'!$C36))))),'CDR Project Planner'!H36,"")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35">
      <c r="A32" s="1"/>
      <c r="B32" s="34" t="str">
        <f>IF(SUMPRODUCT(--(NOT(ISERR(SEARCH({"T","Z"},'CDR Project Planner'!$C37))))),'CDR Project Planner'!B37,"")</f>
        <v/>
      </c>
      <c r="C32" s="35" t="str">
        <f>IF(SUMPRODUCT(--(NOT(ISERR(SEARCH({"T","Z"},'CDR Project Planner'!$C37))))),'CDR Project Planner'!C37,"")</f>
        <v/>
      </c>
      <c r="D32" s="35" t="str">
        <f>IF(SUMPRODUCT(--(NOT(ISERR(SEARCH({"T","Z"},'CDR Project Planner'!$C37))))),'CDR Project Planner'!D37,"")</f>
        <v/>
      </c>
      <c r="E32" s="35" t="str">
        <f>IF(SUMPRODUCT(--(NOT(ISERR(SEARCH({"T","Z"},'CDR Project Planner'!$C37))))),'CDR Project Planner'!E37,"")</f>
        <v/>
      </c>
      <c r="F32" s="35" t="str">
        <f>IF(SUMPRODUCT(--(NOT(ISERR(SEARCH({"T","Z"},'CDR Project Planner'!$C37))))),'CDR Project Planner'!F37,"")</f>
        <v/>
      </c>
      <c r="G32" s="35" t="str">
        <f>IF(SUMPRODUCT(--(NOT(ISERR(SEARCH({"T","Z"},'CDR Project Planner'!$C37))))),'CDR Project Planner'!G37,"")</f>
        <v/>
      </c>
      <c r="H32" s="49" t="str">
        <f>IF(SUMPRODUCT(--(NOT(ISERR(SEARCH({"T","Z"},'CDR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35">
      <c r="A33" s="1"/>
      <c r="B33" s="34" t="str">
        <f>IF(SUMPRODUCT(--(NOT(ISERR(SEARCH({"T","Z"},'CDR Project Planner'!$C38))))),'CDR Project Planner'!B38,"")</f>
        <v/>
      </c>
      <c r="C33" s="35" t="str">
        <f>IF(SUMPRODUCT(--(NOT(ISERR(SEARCH({"T","Z"},'CDR Project Planner'!$C38))))),'CDR Project Planner'!C38,"")</f>
        <v/>
      </c>
      <c r="D33" s="35" t="str">
        <f>IF(SUMPRODUCT(--(NOT(ISERR(SEARCH({"T","Z"},'CDR Project Planner'!$C38))))),'CDR Project Planner'!D38,"")</f>
        <v/>
      </c>
      <c r="E33" s="35" t="str">
        <f>IF(SUMPRODUCT(--(NOT(ISERR(SEARCH({"T","Z"},'CDR Project Planner'!$C38))))),'CDR Project Planner'!E38,"")</f>
        <v/>
      </c>
      <c r="F33" s="35" t="str">
        <f>IF(SUMPRODUCT(--(NOT(ISERR(SEARCH({"T","Z"},'CDR Project Planner'!$C38))))),'CDR Project Planner'!F38,"")</f>
        <v/>
      </c>
      <c r="G33" s="35" t="str">
        <f>IF(SUMPRODUCT(--(NOT(ISERR(SEARCH({"T","Z"},'CDR Project Planner'!$C38))))),'CDR Project Planner'!G38,"")</f>
        <v/>
      </c>
      <c r="H33" s="49" t="str">
        <f>IF(SUMPRODUCT(--(NOT(ISERR(SEARCH({"T","Z"},'CDR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5">
      <c r="A34" s="1"/>
      <c r="B34" s="34" t="str">
        <f>IF(SUMPRODUCT(--(NOT(ISERR(SEARCH({"T","Z"},'CDR Project Planner'!$C39))))),'CDR Project Planner'!B39,"")</f>
        <v/>
      </c>
      <c r="C34" s="35" t="str">
        <f>IF(SUMPRODUCT(--(NOT(ISERR(SEARCH({"T","Z"},'CDR Project Planner'!$C39))))),'CDR Project Planner'!C39,"")</f>
        <v/>
      </c>
      <c r="D34" s="35" t="str">
        <f>IF(SUMPRODUCT(--(NOT(ISERR(SEARCH({"T","Z"},'CDR Project Planner'!$C39))))),'CDR Project Planner'!D39,"")</f>
        <v/>
      </c>
      <c r="E34" s="35" t="str">
        <f>IF(SUMPRODUCT(--(NOT(ISERR(SEARCH({"T","Z"},'CDR Project Planner'!$C39))))),'CDR Project Planner'!E39,"")</f>
        <v/>
      </c>
      <c r="F34" s="35" t="str">
        <f>IF(SUMPRODUCT(--(NOT(ISERR(SEARCH({"T","Z"},'CDR Project Planner'!$C39))))),'CDR Project Planner'!F39,"")</f>
        <v/>
      </c>
      <c r="G34" s="35" t="str">
        <f>IF(SUMPRODUCT(--(NOT(ISERR(SEARCH({"T","Z"},'CDR Project Planner'!$C39))))),'CDR Project Planner'!G39,"")</f>
        <v/>
      </c>
      <c r="H34" s="49" t="str">
        <f>IF(SUMPRODUCT(--(NOT(ISERR(SEARCH({"T","Z"},'CDR Project Planner'!$C39))))),'CDR Project Planner'!H39,"")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5">
      <c r="A35" s="1"/>
      <c r="B35" s="42" t="str">
        <f>IF(SUMPRODUCT(--(NOT(ISERR(SEARCH({"T","Z"},'CDR Project Planner'!$C40))))),'CDR Project Planner'!B40,"")</f>
        <v>CDR PowerPoint</v>
      </c>
      <c r="C35" s="35" t="str">
        <f>IF(SUMPRODUCT(--(NOT(ISERR(SEARCH({"T","Z"},'CDR Project Planner'!$C40))))),'CDR Project Planner'!C40,"")</f>
        <v>T</v>
      </c>
      <c r="D35" s="35">
        <f>IF(SUMPRODUCT(--(NOT(ISERR(SEARCH({"T","Z"},'CDR Project Planner'!$C40))))),'CDR Project Planner'!D40,"")</f>
        <v>45</v>
      </c>
      <c r="E35" s="35">
        <f>IF(SUMPRODUCT(--(NOT(ISERR(SEARCH({"T","Z"},'CDR Project Planner'!$C40))))),'CDR Project Planner'!E40,"")</f>
        <v>10</v>
      </c>
      <c r="F35" s="35">
        <f>IF(SUMPRODUCT(--(NOT(ISERR(SEARCH({"T","Z"},'CDR Project Planner'!$C40))))),'CDR Project Planner'!F40,"")</f>
        <v>0</v>
      </c>
      <c r="G35" s="35">
        <f>IF(SUMPRODUCT(--(NOT(ISERR(SEARCH({"T","Z"},'CDR Project Planner'!$C40))))),'CDR Project Planner'!G40,"")</f>
        <v>0</v>
      </c>
      <c r="H35" s="49">
        <f>IF(SUMPRODUCT(--(NOT(ISERR(SEARCH({"T","Z"},'CDR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8" t="str">
        <f>IF(SUMPRODUCT(--(NOT(ISERR(SEARCH({"T","Z"},'CDR Project Planner'!$C41))))),'CDR Project Planner'!B41,"")</f>
        <v>CDR</v>
      </c>
      <c r="C36" s="39" t="str">
        <f>IF(SUMPRODUCT(--(NOT(ISERR(SEARCH({"T","Z"},'CDR Project Planner'!$C41))))),'CDR Project Planner'!C41,"")</f>
        <v>T</v>
      </c>
      <c r="D36" s="39">
        <f>IF(SUMPRODUCT(--(NOT(ISERR(SEARCH({"T","Z"},'CDR Project Planner'!$C41))))),'CDR Project Planner'!D41,"")</f>
        <v>55</v>
      </c>
      <c r="E36" s="39">
        <f>IF(SUMPRODUCT(--(NOT(ISERR(SEARCH({"T","Z"},'CDR Project Planner'!$C41))))),'CDR Project Planner'!E41,"")</f>
        <v>1</v>
      </c>
      <c r="F36" s="39">
        <f>IF(SUMPRODUCT(--(NOT(ISERR(SEARCH({"T","Z"},'CDR Project Planner'!$C41))))),'CDR Project Planner'!F41,"")</f>
        <v>55</v>
      </c>
      <c r="G36" s="39">
        <f>IF(SUMPRODUCT(--(NOT(ISERR(SEARCH({"T","Z"},'CDR Project Planner'!$C41))))),'CDR Project Planner'!G41,"")</f>
        <v>1</v>
      </c>
      <c r="H36" s="49">
        <f>IF(SUMPRODUCT(--(NOT(ISERR(SEARCH({"T","Z"},'CDR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34" t="str">
        <f>IF(SUMPRODUCT(--(NOT(ISERR(SEARCH({"T","Z"},'CDR Project Planner'!$C42))))),'CDR Project Planner'!B42,"")</f>
        <v/>
      </c>
      <c r="C37" s="35" t="str">
        <f>IF(SUMPRODUCT(--(NOT(ISERR(SEARCH({"T","Z"},'CDR Project Planner'!$C42))))),'CDR Project Planner'!C42,"")</f>
        <v/>
      </c>
      <c r="D37" s="35" t="str">
        <f>IF(SUMPRODUCT(--(NOT(ISERR(SEARCH({"T","Z"},'CDR Project Planner'!$C42))))),'CDR Project Planner'!D42,"")</f>
        <v/>
      </c>
      <c r="E37" s="35" t="str">
        <f>IF(SUMPRODUCT(--(NOT(ISERR(SEARCH({"T","Z"},'CDR Project Planner'!$C42))))),'CDR Project Planner'!E42,"")</f>
        <v/>
      </c>
      <c r="F37" s="35" t="str">
        <f>IF(SUMPRODUCT(--(NOT(ISERR(SEARCH({"T","Z"},'CDR Project Planner'!$C42))))),'CDR Project Planner'!F42,"")</f>
        <v/>
      </c>
      <c r="G37" s="35" t="str">
        <f>IF(SUMPRODUCT(--(NOT(ISERR(SEARCH({"T","Z"},'CDR Project Planner'!$C42))))),'CDR Project Planner'!G42,"")</f>
        <v/>
      </c>
      <c r="H37" s="49" t="str">
        <f>IF(SUMPRODUCT(--(NOT(ISERR(SEARCH({"T","Z"},'CDR Project Planner'!$C42))))),'CDR Project Planner'!H42,"")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x14ac:dyDescent="0.35">
      <c r="A38" s="1"/>
      <c r="B38" s="34" t="str">
        <f>IF(SUMPRODUCT(--(NOT(ISERR(SEARCH({"T","Z"},'CDR Project Planner'!$C43))))),'CDR Project Planner'!B43,"")</f>
        <v/>
      </c>
      <c r="C38" s="35" t="str">
        <f>IF(SUMPRODUCT(--(NOT(ISERR(SEARCH({"T","Z"},'CDR Project Planner'!$C43))))),'CDR Project Planner'!C43,"")</f>
        <v/>
      </c>
      <c r="D38" s="35" t="str">
        <f>IF(SUMPRODUCT(--(NOT(ISERR(SEARCH({"T","Z"},'CDR Project Planner'!$C43))))),'CDR Project Planner'!D43,"")</f>
        <v/>
      </c>
      <c r="E38" s="35" t="str">
        <f>IF(SUMPRODUCT(--(NOT(ISERR(SEARCH({"T","Z"},'CDR Project Planner'!$C43))))),'CDR Project Planner'!E43,"")</f>
        <v/>
      </c>
      <c r="F38" s="35" t="str">
        <f>IF(SUMPRODUCT(--(NOT(ISERR(SEARCH({"T","Z"},'CDR Project Planner'!$C43))))),'CDR Project Planner'!F43,"")</f>
        <v/>
      </c>
      <c r="G38" s="35" t="str">
        <f>IF(SUMPRODUCT(--(NOT(ISERR(SEARCH({"T","Z"},'CDR Project Planner'!$C43))))),'CDR Project Planner'!G43,"")</f>
        <v/>
      </c>
      <c r="H38" s="49" t="str">
        <f>IF(SUMPRODUCT(--(NOT(ISERR(SEARCH({"T","Z"},'CDR Project Planner'!$C43))))),'CDR Project Planner'!H43,"")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x14ac:dyDescent="0.35">
      <c r="A39" s="1"/>
      <c r="B39" s="34" t="str">
        <f>IF(SUMPRODUCT(--(NOT(ISERR(SEARCH({"T","Z"},'CDR Project Planner'!$C44))))),'CDR Project Planner'!B44,"")</f>
        <v/>
      </c>
      <c r="C39" s="35" t="str">
        <f>IF(SUMPRODUCT(--(NOT(ISERR(SEARCH({"T","Z"},'CDR Project Planner'!$C44))))),'CDR Project Planner'!C44,"")</f>
        <v/>
      </c>
      <c r="D39" s="35" t="str">
        <f>IF(SUMPRODUCT(--(NOT(ISERR(SEARCH({"T","Z"},'CDR Project Planner'!$C44))))),'CDR Project Planner'!D44,"")</f>
        <v/>
      </c>
      <c r="E39" s="35" t="str">
        <f>IF(SUMPRODUCT(--(NOT(ISERR(SEARCH({"T","Z"},'CDR Project Planner'!$C44))))),'CDR Project Planner'!E44,"")</f>
        <v/>
      </c>
      <c r="F39" s="35" t="str">
        <f>IF(SUMPRODUCT(--(NOT(ISERR(SEARCH({"T","Z"},'CDR Project Planner'!$C44))))),'CDR Project Planner'!F44,"")</f>
        <v/>
      </c>
      <c r="G39" s="35" t="str">
        <f>IF(SUMPRODUCT(--(NOT(ISERR(SEARCH({"T","Z"},'CDR Project Planner'!$C44))))),'CDR Project Planner'!G44,"")</f>
        <v/>
      </c>
      <c r="H39" s="49" t="str">
        <f>IF(SUMPRODUCT(--(NOT(ISERR(SEARCH({"T","Z"},'CDR Project Planner'!$C44))))),'CDR Project Planner'!H44,"")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x14ac:dyDescent="0.35">
      <c r="A40" s="1"/>
      <c r="B40" s="34" t="str">
        <f>IF(SUMPRODUCT(--(NOT(ISERR(SEARCH({"T","Z"},'CDR Project Planner'!$C45))))),'CDR Project Planner'!B45,"")</f>
        <v/>
      </c>
      <c r="C40" s="35" t="str">
        <f>IF(SUMPRODUCT(--(NOT(ISERR(SEARCH({"T","Z"},'CDR Project Planner'!$C45))))),'CDR Project Planner'!C45,"")</f>
        <v/>
      </c>
      <c r="D40" s="35" t="str">
        <f>IF(SUMPRODUCT(--(NOT(ISERR(SEARCH({"T","Z"},'CDR Project Planner'!$C45))))),'CDR Project Planner'!D45,"")</f>
        <v/>
      </c>
      <c r="E40" s="35" t="str">
        <f>IF(SUMPRODUCT(--(NOT(ISERR(SEARCH({"T","Z"},'CDR Project Planner'!$C45))))),'CDR Project Planner'!E45,"")</f>
        <v/>
      </c>
      <c r="F40" s="35" t="str">
        <f>IF(SUMPRODUCT(--(NOT(ISERR(SEARCH({"T","Z"},'CDR Project Planner'!$C45))))),'CDR Project Planner'!F45,"")</f>
        <v/>
      </c>
      <c r="G40" s="35" t="str">
        <f>IF(SUMPRODUCT(--(NOT(ISERR(SEARCH({"T","Z"},'CDR Project Planner'!$C45))))),'CDR Project Planner'!G45,"")</f>
        <v/>
      </c>
      <c r="H40" s="49" t="str">
        <f>IF(SUMPRODUCT(--(NOT(ISERR(SEARCH({"T","Z"},'CDR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5">
      <c r="B41" s="34" t="str">
        <f>IF(SUMPRODUCT(--(NOT(ISERR(SEARCH({"T","Z"},'CDR Project Planner'!$C46))))),'CDR Project Planner'!B46,"")</f>
        <v/>
      </c>
      <c r="C41" s="35" t="str">
        <f>IF(SUMPRODUCT(--(NOT(ISERR(SEARCH({"T","Z"},'CDR Project Planner'!$C46))))),'CDR Project Planner'!C46,"")</f>
        <v/>
      </c>
      <c r="D41" s="35" t="str">
        <f>IF(SUMPRODUCT(--(NOT(ISERR(SEARCH({"T","Z"},'CDR Project Planner'!$C46))))),'CDR Project Planner'!D46,"")</f>
        <v/>
      </c>
      <c r="E41" s="35" t="str">
        <f>IF(SUMPRODUCT(--(NOT(ISERR(SEARCH({"T","Z"},'CDR Project Planner'!$C46))))),'CDR Project Planner'!E46,"")</f>
        <v/>
      </c>
      <c r="F41" s="35" t="str">
        <f>IF(SUMPRODUCT(--(NOT(ISERR(SEARCH({"T","Z"},'CDR Project Planner'!$C46))))),'CDR Project Planner'!F46,"")</f>
        <v/>
      </c>
      <c r="G41" s="35" t="str">
        <f>IF(SUMPRODUCT(--(NOT(ISERR(SEARCH({"T","Z"},'CDR Project Planner'!$C46))))),'CDR Project Planner'!G46,"")</f>
        <v/>
      </c>
      <c r="H41" s="49" t="str">
        <f>IF(SUMPRODUCT(--(NOT(ISERR(SEARCH({"T","Z"},'CDR Project Planner'!$C46))))),'CDR Project Planner'!H46,"")</f>
        <v/>
      </c>
    </row>
    <row r="42" spans="1:68" ht="30" customHeight="1" x14ac:dyDescent="0.35">
      <c r="B42" s="34" t="str">
        <f>IF(SUMPRODUCT(--(NOT(ISERR(SEARCH({"T","Z"},'CDR Project Planner'!$C47))))),'CDR Project Planner'!B47,"")</f>
        <v/>
      </c>
      <c r="C42" s="35" t="str">
        <f>IF(SUMPRODUCT(--(NOT(ISERR(SEARCH({"T","Z"},'CDR Project Planner'!$C47))))),'CDR Project Planner'!C47,"")</f>
        <v/>
      </c>
      <c r="D42" s="35" t="str">
        <f>IF(SUMPRODUCT(--(NOT(ISERR(SEARCH({"T","Z"},'CDR Project Planner'!$C47))))),'CDR Project Planner'!D47,"")</f>
        <v/>
      </c>
      <c r="E42" s="35" t="str">
        <f>IF(SUMPRODUCT(--(NOT(ISERR(SEARCH({"T","Z"},'CDR Project Planner'!$C47))))),'CDR Project Planner'!E47,"")</f>
        <v/>
      </c>
      <c r="F42" s="35" t="str">
        <f>IF(SUMPRODUCT(--(NOT(ISERR(SEARCH({"T","Z"},'CDR Project Planner'!$C47))))),'CDR Project Planner'!F47,"")</f>
        <v/>
      </c>
      <c r="G42" s="35" t="str">
        <f>IF(SUMPRODUCT(--(NOT(ISERR(SEARCH({"T","Z"},'CDR Project Planner'!$C47))))),'CDR Project Planner'!G47,"")</f>
        <v/>
      </c>
      <c r="H42" s="49" t="str">
        <f>IF(SUMPRODUCT(--(NOT(ISERR(SEARCH({"T","Z"},'CDR Project Planner'!$C47))))),'CDR Project Planner'!H47,"")</f>
        <v/>
      </c>
    </row>
    <row r="43" spans="1:68" ht="30" customHeight="1" x14ac:dyDescent="0.35">
      <c r="B43" s="34" t="str">
        <f>IF(SUMPRODUCT(--(NOT(ISERR(SEARCH({"T","Z"},'CDR Project Planner'!$C48))))),'CDR Project Planner'!B48,"")</f>
        <v/>
      </c>
      <c r="C43" s="35" t="str">
        <f>IF(SUMPRODUCT(--(NOT(ISERR(SEARCH({"T","Z"},'CDR Project Planner'!$C48))))),'CDR Project Planner'!C48,"")</f>
        <v/>
      </c>
      <c r="D43" s="35" t="str">
        <f>IF(SUMPRODUCT(--(NOT(ISERR(SEARCH({"T","Z"},'CDR Project Planner'!$C48))))),'CDR Project Planner'!D48,"")</f>
        <v/>
      </c>
      <c r="E43" s="35" t="str">
        <f>IF(SUMPRODUCT(--(NOT(ISERR(SEARCH({"T","Z"},'CDR Project Planner'!$C48))))),'CDR Project Planner'!E48,"")</f>
        <v/>
      </c>
      <c r="F43" s="35" t="str">
        <f>IF(SUMPRODUCT(--(NOT(ISERR(SEARCH({"T","Z"},'CDR Project Planner'!$C48))))),'CDR Project Planner'!F48,"")</f>
        <v/>
      </c>
      <c r="G43" s="35" t="str">
        <f>IF(SUMPRODUCT(--(NOT(ISERR(SEARCH({"T","Z"},'CDR Project Planner'!$C48))))),'CDR Project Planner'!G48,"")</f>
        <v/>
      </c>
      <c r="H43" s="49" t="str">
        <f>IF(SUMPRODUCT(--(NOT(ISERR(SEARCH({"T","Z"},'CDR Project Planner'!$C48))))),'CDR Project Planner'!H48,"")</f>
        <v/>
      </c>
    </row>
    <row r="44" spans="1:68" s="4" customFormat="1" ht="30" customHeight="1" x14ac:dyDescent="0.35">
      <c r="A44" s="1"/>
      <c r="B44" s="34" t="str">
        <f>IF(SUMPRODUCT(--(NOT(ISERR(SEARCH({"T","Z"},'CDR Project Planner'!$C49))))),'CDR Project Planner'!B49,"")</f>
        <v/>
      </c>
      <c r="C44" s="35" t="str">
        <f>IF(SUMPRODUCT(--(NOT(ISERR(SEARCH({"T","Z"},'CDR Project Planner'!$C49))))),'CDR Project Planner'!C49,"")</f>
        <v/>
      </c>
      <c r="D44" s="35" t="str">
        <f>IF(SUMPRODUCT(--(NOT(ISERR(SEARCH({"T","Z"},'CDR Project Planner'!$C49))))),'CDR Project Planner'!D49,"")</f>
        <v/>
      </c>
      <c r="E44" s="35" t="str">
        <f>IF(SUMPRODUCT(--(NOT(ISERR(SEARCH({"T","Z"},'CDR Project Planner'!$C49))))),'CDR Project Planner'!E49,"")</f>
        <v/>
      </c>
      <c r="F44" s="35" t="str">
        <f>IF(SUMPRODUCT(--(NOT(ISERR(SEARCH({"T","Z"},'CDR Project Planner'!$C49))))),'CDR Project Planner'!F49,"")</f>
        <v/>
      </c>
      <c r="G44" s="35" t="str">
        <f>IF(SUMPRODUCT(--(NOT(ISERR(SEARCH({"T","Z"},'CDR Project Planner'!$C49))))),'CDR Project Planner'!G49,"")</f>
        <v/>
      </c>
      <c r="H44" s="49" t="str">
        <f>IF(SUMPRODUCT(--(NOT(ISERR(SEARCH({"T","Z"},'CDR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5">
      <c r="A45" s="1"/>
      <c r="B45" s="34" t="str">
        <f>IF(SUMPRODUCT(--(NOT(ISERR(SEARCH({"T","Z"},'CDR Project Planner'!$C50))))),'CDR Project Planner'!B50,"")</f>
        <v/>
      </c>
      <c r="C45" s="35" t="str">
        <f>IF(SUMPRODUCT(--(NOT(ISERR(SEARCH({"T","Z"},'CDR Project Planner'!$C50))))),'CDR Project Planner'!C50,"")</f>
        <v/>
      </c>
      <c r="D45" s="35" t="str">
        <f>IF(SUMPRODUCT(--(NOT(ISERR(SEARCH({"T","Z"},'CDR Project Planner'!$C50))))),'CDR Project Planner'!D50,"")</f>
        <v/>
      </c>
      <c r="E45" s="35" t="str">
        <f>IF(SUMPRODUCT(--(NOT(ISERR(SEARCH({"T","Z"},'CDR Project Planner'!$C50))))),'CDR Project Planner'!E50,"")</f>
        <v/>
      </c>
      <c r="F45" s="35" t="str">
        <f>IF(SUMPRODUCT(--(NOT(ISERR(SEARCH({"T","Z"},'CDR Project Planner'!$C50))))),'CDR Project Planner'!F50,"")</f>
        <v/>
      </c>
      <c r="G45" s="35" t="str">
        <f>IF(SUMPRODUCT(--(NOT(ISERR(SEARCH({"T","Z"},'CDR Project Planner'!$C50))))),'CDR Project Planner'!G50,"")</f>
        <v/>
      </c>
      <c r="H45" s="49" t="str">
        <f>IF(SUMPRODUCT(--(NOT(ISERR(SEARCH({"T","Z"},'CDR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5">
      <c r="A46" s="1"/>
      <c r="B46" s="34" t="str">
        <f>IF(SUMPRODUCT(--(NOT(ISERR(SEARCH({"T","Z"},'CDR Project Planner'!$C51))))),'CDR Project Planner'!B51,"")</f>
        <v/>
      </c>
      <c r="C46" s="35" t="str">
        <f>IF(SUMPRODUCT(--(NOT(ISERR(SEARCH({"T","Z"},'CDR Project Planner'!$C51))))),'CDR Project Planner'!C51,"")</f>
        <v/>
      </c>
      <c r="D46" s="35" t="str">
        <f>IF(SUMPRODUCT(--(NOT(ISERR(SEARCH({"T","Z"},'CDR Project Planner'!$C51))))),'CDR Project Planner'!D51,"")</f>
        <v/>
      </c>
      <c r="E46" s="35" t="str">
        <f>IF(SUMPRODUCT(--(NOT(ISERR(SEARCH({"T","Z"},'CDR Project Planner'!$C51))))),'CDR Project Planner'!E51,"")</f>
        <v/>
      </c>
      <c r="F46" s="35" t="str">
        <f>IF(SUMPRODUCT(--(NOT(ISERR(SEARCH({"T","Z"},'CDR Project Planner'!$C51))))),'CDR Project Planner'!F51,"")</f>
        <v/>
      </c>
      <c r="G46" s="35" t="str">
        <f>IF(SUMPRODUCT(--(NOT(ISERR(SEARCH({"T","Z"},'CDR Project Planner'!$C51))))),'CDR Project Planner'!G51,"")</f>
        <v/>
      </c>
      <c r="H46" s="49" t="str">
        <f>IF(SUMPRODUCT(--(NOT(ISERR(SEARCH({"T","Z"},'CDR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5">
      <c r="A47" s="1"/>
      <c r="B47" s="34" t="str">
        <f>IF(SUMPRODUCT(--(NOT(ISERR(SEARCH({"T","Z"},'CDR Project Planner'!$C52))))),'CDR Project Planner'!B52,"")</f>
        <v/>
      </c>
      <c r="C47" s="35" t="str">
        <f>IF(SUMPRODUCT(--(NOT(ISERR(SEARCH({"T","Z"},'CDR Project Planner'!$C52))))),'CDR Project Planner'!C52,"")</f>
        <v/>
      </c>
      <c r="D47" s="35" t="str">
        <f>IF(SUMPRODUCT(--(NOT(ISERR(SEARCH({"T","Z"},'CDR Project Planner'!$C52))))),'CDR Project Planner'!D52,"")</f>
        <v/>
      </c>
      <c r="E47" s="35" t="str">
        <f>IF(SUMPRODUCT(--(NOT(ISERR(SEARCH({"T","Z"},'CDR Project Planner'!$C52))))),'CDR Project Planner'!E52,"")</f>
        <v/>
      </c>
      <c r="F47" s="35" t="str">
        <f>IF(SUMPRODUCT(--(NOT(ISERR(SEARCH({"T","Z"},'CDR Project Planner'!$C52))))),'CDR Project Planner'!F52,"")</f>
        <v/>
      </c>
      <c r="G47" s="35" t="str">
        <f>IF(SUMPRODUCT(--(NOT(ISERR(SEARCH({"T","Z"},'CDR Project Planner'!$C52))))),'CDR Project Planner'!G52,"")</f>
        <v/>
      </c>
      <c r="H47" s="49" t="str">
        <f>IF(SUMPRODUCT(--(NOT(ISERR(SEARCH({"T","Z"},'CDR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5">
      <c r="A48" s="1"/>
      <c r="B48" s="34" t="str">
        <f>IF(SUMPRODUCT(--(NOT(ISERR(SEARCH({"T","Z"},'CDR Project Planner'!$C53))))),'CDR Project Planner'!B53,"")</f>
        <v/>
      </c>
      <c r="C48" s="35" t="str">
        <f>IF(SUMPRODUCT(--(NOT(ISERR(SEARCH({"T","Z"},'CDR Project Planner'!$C53))))),'CDR Project Planner'!C53,"")</f>
        <v/>
      </c>
      <c r="D48" s="35" t="str">
        <f>IF(SUMPRODUCT(--(NOT(ISERR(SEARCH({"T","Z"},'CDR Project Planner'!$C53))))),'CDR Project Planner'!D53,"")</f>
        <v/>
      </c>
      <c r="E48" s="35" t="str">
        <f>IF(SUMPRODUCT(--(NOT(ISERR(SEARCH({"T","Z"},'CDR Project Planner'!$C53))))),'CDR Project Planner'!E53,"")</f>
        <v/>
      </c>
      <c r="F48" s="35" t="str">
        <f>IF(SUMPRODUCT(--(NOT(ISERR(SEARCH({"T","Z"},'CDR Project Planner'!$C53))))),'CDR Project Planner'!F53,"")</f>
        <v/>
      </c>
      <c r="G48" s="35" t="str">
        <f>IF(SUMPRODUCT(--(NOT(ISERR(SEARCH({"T","Z"},'CDR Project Planner'!$C53))))),'CDR Project Planner'!G53,"")</f>
        <v/>
      </c>
      <c r="H48" s="49" t="str">
        <f>IF(SUMPRODUCT(--(NOT(ISERR(SEARCH({"T","Z"},'CDR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5">
      <c r="A49" s="1"/>
      <c r="B49" s="34" t="str">
        <f>IF(SUMPRODUCT(--(NOT(ISERR(SEARCH({"T","Z"},'CDR Project Planner'!$C54))))),'CDR Project Planner'!B54,"")</f>
        <v/>
      </c>
      <c r="C49" s="35" t="str">
        <f>IF(SUMPRODUCT(--(NOT(ISERR(SEARCH({"T","Z"},'CDR Project Planner'!$C54))))),'CDR Project Planner'!C54,"")</f>
        <v/>
      </c>
      <c r="D49" s="35" t="str">
        <f>IF(SUMPRODUCT(--(NOT(ISERR(SEARCH({"T","Z"},'CDR Project Planner'!$C54))))),'CDR Project Planner'!D54,"")</f>
        <v/>
      </c>
      <c r="E49" s="35" t="str">
        <f>IF(SUMPRODUCT(--(NOT(ISERR(SEARCH({"T","Z"},'CDR Project Planner'!$C54))))),'CDR Project Planner'!E54,"")</f>
        <v/>
      </c>
      <c r="F49" s="35" t="str">
        <f>IF(SUMPRODUCT(--(NOT(ISERR(SEARCH({"T","Z"},'CDR Project Planner'!$C54))))),'CDR Project Planner'!F54,"")</f>
        <v/>
      </c>
      <c r="G49" s="35" t="str">
        <f>IF(SUMPRODUCT(--(NOT(ISERR(SEARCH({"T","Z"},'CDR Project Planner'!$C54))))),'CDR Project Planner'!G54,"")</f>
        <v/>
      </c>
      <c r="H49" s="49" t="str">
        <f>IF(SUMPRODUCT(--(NOT(ISERR(SEARCH({"T","Z"},'CDR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6" t="str">
        <f>IF(SUMPRODUCT(--(NOT(ISERR(SEARCH({"T","Ba"},'CDR Project Planner'!$C55))))),'CDR Project Planner'!B55,"")</f>
        <v/>
      </c>
      <c r="C50" s="36" t="str">
        <f>IF(SUMPRODUCT(--(NOT(ISERR(SEARCH({"T","Ba"},'CDR Project Planner'!$C55))))),'CDR Project Planner'!C55,"")</f>
        <v/>
      </c>
      <c r="D50" s="43" t="str">
        <f>IF(SUMPRODUCT(--(NOT(ISERR(SEARCH({"T","Ba"},'CDR Project Planner'!$C55))))),'CDR Project Planner'!D55,"")</f>
        <v/>
      </c>
      <c r="E50" s="43" t="str">
        <f>IF(SUMPRODUCT(--(NOT(ISERR(SEARCH({"T","Ba"},'CDR Project Planner'!$C55))))),'CDR Project Planner'!E55,"")</f>
        <v/>
      </c>
      <c r="F50" s="43" t="str">
        <f>IF(SUMPRODUCT(--(NOT(ISERR(SEARCH({"T","Ba"},'CDR Project Planner'!$C55))))),'CDR Project Planner'!F55,"")</f>
        <v/>
      </c>
      <c r="G50" s="43" t="str">
        <f>IF(SUMPRODUCT(--(NOT(ISERR(SEARCH({"T","Ba"},'CDR Project Planner'!$C55))))),'CDR Project Planner'!G55,"")</f>
        <v/>
      </c>
      <c r="H50" s="43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6" t="str">
        <f>IF(SUMPRODUCT(--(NOT(ISERR(SEARCH({"T","Ba"},'CDR Project Planner'!$C56))))),'CDR Project Planner'!B56,"")</f>
        <v/>
      </c>
      <c r="C51" s="36" t="str">
        <f>IF(SUMPRODUCT(--(NOT(ISERR(SEARCH({"T","Ba"},'CDR Project Planner'!$C56))))),'CDR Project Planner'!C56,"")</f>
        <v/>
      </c>
      <c r="D51" s="43" t="str">
        <f>IF(SUMPRODUCT(--(NOT(ISERR(SEARCH({"T","Ba"},'CDR Project Planner'!$C56))))),'CDR Project Planner'!D56,"")</f>
        <v/>
      </c>
      <c r="E51" s="43" t="str">
        <f>IF(SUMPRODUCT(--(NOT(ISERR(SEARCH({"T","Ba"},'CDR Project Planner'!$C56))))),'CDR Project Planner'!E56,"")</f>
        <v/>
      </c>
      <c r="F51" s="43" t="str">
        <f>IF(SUMPRODUCT(--(NOT(ISERR(SEARCH({"T","Ba"},'CDR Project Planner'!$C56))))),'CDR Project Planner'!F56,"")</f>
        <v/>
      </c>
      <c r="G51" s="43" t="str">
        <f>IF(SUMPRODUCT(--(NOT(ISERR(SEARCH({"T","Ba"},'CDR Project Planner'!$C56))))),'CDR Project Planner'!G56,"")</f>
        <v/>
      </c>
      <c r="H51" s="43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6" t="str">
        <f>IF(SUMPRODUCT(--(NOT(ISERR(SEARCH({"T","Ba"},'CDR Project Planner'!$C57))))),'CDR Project Planner'!B57,"")</f>
        <v/>
      </c>
      <c r="C52" s="36" t="str">
        <f>IF(SUMPRODUCT(--(NOT(ISERR(SEARCH({"T","Ba"},'CDR Project Planner'!$C57))))),'CDR Project Planner'!C57,"")</f>
        <v/>
      </c>
      <c r="D52" s="43" t="str">
        <f>IF(SUMPRODUCT(--(NOT(ISERR(SEARCH({"T","Ba"},'CDR Project Planner'!$C57))))),'CDR Project Planner'!D57,"")</f>
        <v/>
      </c>
      <c r="E52" s="43" t="str">
        <f>IF(SUMPRODUCT(--(NOT(ISERR(SEARCH({"T","Ba"},'CDR Project Planner'!$C57))))),'CDR Project Planner'!E57,"")</f>
        <v/>
      </c>
      <c r="F52" s="43" t="str">
        <f>IF(SUMPRODUCT(--(NOT(ISERR(SEARCH({"T","Ba"},'CDR Project Planner'!$C57))))),'CDR Project Planner'!F57,"")</f>
        <v/>
      </c>
      <c r="G52" s="43" t="str">
        <f>IF(SUMPRODUCT(--(NOT(ISERR(SEARCH({"T","Ba"},'CDR Project Planner'!$C57))))),'CDR Project Planner'!G57,"")</f>
        <v/>
      </c>
      <c r="H52" s="43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174" priority="2">
      <formula>PercentComplete</formula>
    </cfRule>
    <cfRule type="expression" dxfId="173" priority="3">
      <formula>PercentCompleteBeyond</formula>
    </cfRule>
    <cfRule type="expression" dxfId="172" priority="4">
      <formula>Actual</formula>
    </cfRule>
    <cfRule type="expression" dxfId="171" priority="5">
      <formula>ActualBeyond</formula>
    </cfRule>
    <cfRule type="expression" dxfId="170" priority="6">
      <formula>Plan</formula>
    </cfRule>
    <cfRule type="expression" dxfId="169" priority="7">
      <formula>I$4=period_selected</formula>
    </cfRule>
    <cfRule type="expression" dxfId="168" priority="8">
      <formula>MOD(COLUMN(),2)</formula>
    </cfRule>
    <cfRule type="expression" dxfId="167" priority="9">
      <formula>MOD(COLUMN(),2)=0</formula>
    </cfRule>
  </conditionalFormatting>
  <conditionalFormatting sqref="I4:BP4">
    <cfRule type="expression" dxfId="166" priority="10">
      <formula>I$4=period_selected</formula>
    </cfRule>
  </conditionalFormatting>
  <conditionalFormatting sqref="I5:BP6 I39:BP39 I27:BP28 I42:BP42 I45:BP45 I48:BP48">
    <cfRule type="expression" dxfId="165" priority="11">
      <formula>PercentComplete</formula>
    </cfRule>
    <cfRule type="expression" dxfId="164" priority="12">
      <formula>PercentCompleteBeyond</formula>
    </cfRule>
    <cfRule type="expression" dxfId="163" priority="13">
      <formula>Actual</formula>
    </cfRule>
    <cfRule type="expression" dxfId="162" priority="14">
      <formula>ActualBeyond</formula>
    </cfRule>
    <cfRule type="expression" dxfId="161" priority="15">
      <formula>Plan</formula>
    </cfRule>
    <cfRule type="expression" dxfId="160" priority="16">
      <formula>I$4=period_selected</formula>
    </cfRule>
    <cfRule type="expression" dxfId="159" priority="17">
      <formula>MOD(COLUMN(),2)</formula>
    </cfRule>
    <cfRule type="expression" dxfId="158" priority="18">
      <formula>MOD(COLUMN(),2)=0</formula>
    </cfRule>
  </conditionalFormatting>
  <conditionalFormatting sqref="I38:BP38 I41:BP41 I44:BP44 I47:BP47">
    <cfRule type="expression" dxfId="157" priority="19">
      <formula>PercentComplete</formula>
    </cfRule>
    <cfRule type="expression" dxfId="156" priority="20">
      <formula>PercentCompleteBeyond</formula>
    </cfRule>
    <cfRule type="expression" dxfId="155" priority="21">
      <formula>Actual</formula>
    </cfRule>
    <cfRule type="expression" dxfId="154" priority="22">
      <formula>ActualBeyond</formula>
    </cfRule>
    <cfRule type="expression" dxfId="153" priority="23">
      <formula>Plan</formula>
    </cfRule>
    <cfRule type="expression" dxfId="152" priority="24">
      <formula>I$4=period_selected</formula>
    </cfRule>
    <cfRule type="expression" dxfId="151" priority="25">
      <formula>MOD(COLUMN(),2)</formula>
    </cfRule>
    <cfRule type="expression" dxfId="150" priority="26">
      <formula>MOD(COLUMN(),2)=0</formula>
    </cfRule>
  </conditionalFormatting>
  <conditionalFormatting sqref="I20:BP20">
    <cfRule type="expression" dxfId="149" priority="27">
      <formula>PercentComplete</formula>
    </cfRule>
    <cfRule type="expression" dxfId="148" priority="28">
      <formula>PercentCompleteBeyond</formula>
    </cfRule>
    <cfRule type="expression" dxfId="147" priority="29">
      <formula>Actual</formula>
    </cfRule>
    <cfRule type="expression" dxfId="146" priority="30">
      <formula>ActualBeyond</formula>
    </cfRule>
    <cfRule type="expression" dxfId="145" priority="31">
      <formula>Plan</formula>
    </cfRule>
    <cfRule type="expression" dxfId="144" priority="32">
      <formula>I$4=period_selected</formula>
    </cfRule>
    <cfRule type="expression" dxfId="143" priority="33">
      <formula>MOD(COLUMN(),2)</formula>
    </cfRule>
    <cfRule type="expression" dxfId="142" priority="34">
      <formula>MOD(COLUMN(),2)=0</formula>
    </cfRule>
  </conditionalFormatting>
  <conditionalFormatting sqref="I16:BP16 I18:BP19">
    <cfRule type="expression" dxfId="141" priority="35">
      <formula>PercentComplete</formula>
    </cfRule>
    <cfRule type="expression" dxfId="140" priority="36">
      <formula>PercentCompleteBeyond</formula>
    </cfRule>
    <cfRule type="expression" dxfId="139" priority="37">
      <formula>Actual</formula>
    </cfRule>
    <cfRule type="expression" dxfId="138" priority="38">
      <formula>ActualBeyond</formula>
    </cfRule>
    <cfRule type="expression" dxfId="137" priority="39">
      <formula>Plan</formula>
    </cfRule>
    <cfRule type="expression" dxfId="136" priority="40">
      <formula>I$4=period_selected</formula>
    </cfRule>
    <cfRule type="expression" dxfId="135" priority="41">
      <formula>MOD(COLUMN(),2)</formula>
    </cfRule>
    <cfRule type="expression" dxfId="134" priority="42">
      <formula>MOD(COLUMN(),2)=0</formula>
    </cfRule>
  </conditionalFormatting>
  <conditionalFormatting sqref="I17:BP17">
    <cfRule type="expression" dxfId="133" priority="43">
      <formula>PercentComplete</formula>
    </cfRule>
    <cfRule type="expression" dxfId="132" priority="44">
      <formula>PercentCompleteBeyond</formula>
    </cfRule>
    <cfRule type="expression" dxfId="131" priority="45">
      <formula>Actual</formula>
    </cfRule>
    <cfRule type="expression" dxfId="130" priority="46">
      <formula>ActualBeyond</formula>
    </cfRule>
    <cfRule type="expression" dxfId="129" priority="47">
      <formula>Plan</formula>
    </cfRule>
    <cfRule type="expression" dxfId="128" priority="48">
      <formula>I$4=period_selected</formula>
    </cfRule>
    <cfRule type="expression" dxfId="127" priority="49">
      <formula>MOD(COLUMN(),2)</formula>
    </cfRule>
    <cfRule type="expression" dxfId="126" priority="50">
      <formula>MOD(COLUMN(),2)=0</formula>
    </cfRule>
  </conditionalFormatting>
  <conditionalFormatting sqref="H53:H56">
    <cfRule type="cellIs" dxfId="125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24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K62"/>
  <sheetViews>
    <sheetView zoomScale="70" zoomScaleNormal="70" workbookViewId="0">
      <selection activeCell="G28" sqref="G28"/>
    </sheetView>
  </sheetViews>
  <sheetFormatPr defaultColWidth="8.88671875" defaultRowHeight="14.4" outlineLevelCol="1" x14ac:dyDescent="0.3"/>
  <cols>
    <col min="1" max="1" width="9.44140625" style="118" customWidth="1"/>
    <col min="2" max="3" width="9.77734375" style="116" customWidth="1"/>
    <col min="4" max="4" width="8.6640625" style="116" customWidth="1"/>
    <col min="5" max="5" width="8.21875" style="116" bestFit="1" customWidth="1"/>
    <col min="6" max="6" width="10.109375" style="116" customWidth="1"/>
    <col min="7" max="7" width="9.77734375" style="116" customWidth="1"/>
    <col min="8" max="8" width="9.77734375" style="116" bestFit="1" customWidth="1"/>
    <col min="9" max="9" width="9.6640625" style="116" customWidth="1"/>
    <col min="10" max="10" width="6.88671875" style="117" customWidth="1"/>
    <col min="11" max="11" width="6" style="116" bestFit="1" customWidth="1"/>
    <col min="12" max="12" width="8.6640625" style="116" bestFit="1" customWidth="1"/>
    <col min="13" max="13" width="5.5546875" style="116" bestFit="1" customWidth="1"/>
    <col min="14" max="14" width="6" style="116" bestFit="1" customWidth="1"/>
    <col min="15" max="15" width="6" style="116" bestFit="1" customWidth="1" outlineLevel="1"/>
    <col min="16" max="16" width="9.77734375" style="116" bestFit="1" customWidth="1" outlineLevel="1"/>
    <col min="17" max="17" width="8.6640625" style="116" customWidth="1" outlineLevel="1"/>
    <col min="18" max="19" width="8.21875" style="116" bestFit="1" customWidth="1" outlineLevel="1"/>
    <col min="20" max="20" width="9.77734375" style="116" bestFit="1" customWidth="1" outlineLevel="1"/>
    <col min="21" max="21" width="9.77734375" style="116" bestFit="1" customWidth="1"/>
    <col min="22" max="22" width="8.6640625" style="116" customWidth="1"/>
    <col min="23" max="28" width="8.6640625" style="116" customWidth="1" outlineLevel="1"/>
    <col min="29" max="1025" width="8.6640625" style="116" customWidth="1"/>
    <col min="1026" max="16384" width="8.88671875" style="71"/>
  </cols>
  <sheetData>
    <row r="1" spans="1:15" x14ac:dyDescent="0.3">
      <c r="A1" s="121" t="s">
        <v>150</v>
      </c>
      <c r="C1" s="121"/>
      <c r="I1" s="119" t="s">
        <v>149</v>
      </c>
      <c r="J1" s="116"/>
    </row>
    <row r="2" spans="1:15" x14ac:dyDescent="0.3">
      <c r="A2" s="116"/>
      <c r="B2" s="119" t="s">
        <v>101</v>
      </c>
      <c r="C2" s="120" t="s">
        <v>66</v>
      </c>
      <c r="D2" s="120" t="s">
        <v>136</v>
      </c>
      <c r="E2" s="120" t="s">
        <v>74</v>
      </c>
      <c r="F2" s="120" t="s">
        <v>135</v>
      </c>
      <c r="G2" s="120" t="s">
        <v>126</v>
      </c>
      <c r="H2" s="119"/>
      <c r="I2" s="119"/>
      <c r="J2" s="119" t="s">
        <v>101</v>
      </c>
      <c r="K2" s="119" t="s">
        <v>66</v>
      </c>
      <c r="L2" s="119" t="s">
        <v>136</v>
      </c>
      <c r="M2" s="119" t="s">
        <v>74</v>
      </c>
      <c r="N2" s="119" t="s">
        <v>135</v>
      </c>
      <c r="O2" s="119" t="s">
        <v>126</v>
      </c>
    </row>
    <row r="3" spans="1:15" x14ac:dyDescent="0.3">
      <c r="A3" s="116"/>
      <c r="B3" s="119"/>
      <c r="C3" s="120"/>
      <c r="D3" s="120"/>
      <c r="E3" s="120"/>
      <c r="F3" s="120"/>
      <c r="G3" s="120"/>
      <c r="H3" s="119"/>
      <c r="I3" s="119"/>
      <c r="J3" s="119"/>
      <c r="K3" s="119"/>
      <c r="L3" s="119"/>
      <c r="M3" s="119"/>
      <c r="N3" s="119"/>
      <c r="O3" s="119"/>
    </row>
    <row r="4" spans="1:15" x14ac:dyDescent="0.3">
      <c r="A4" s="116"/>
      <c r="B4" s="116">
        <f>IF('[1]Burn Report'!D4=1,Overview!$C$1*'[1]Burn Report'!$C4,0)</f>
        <v>50</v>
      </c>
      <c r="C4" s="116">
        <f>IF('[1]Burn Report'!E4=1,Overview!$C$1*'[1]Burn Report'!$C4,0)</f>
        <v>0</v>
      </c>
      <c r="D4" s="116">
        <f>IF('[1]Burn Report'!F4=1,Overview!$C$1*'[1]Burn Report'!$C4,0)</f>
        <v>0</v>
      </c>
      <c r="E4" s="116">
        <f>IF('[1]Burn Report'!G4=1,Overview!$C$1*'[1]Burn Report'!$C4,0)</f>
        <v>0</v>
      </c>
      <c r="F4" s="116">
        <f>IF('[1]Burn Report'!H4=1,Overview!$C$1*'[1]Burn Report'!$C4,0)</f>
        <v>0</v>
      </c>
      <c r="G4" s="116">
        <f>IF('[1]Burn Report'!I4=1,Overview!$C$1*'[1]Burn Report'!$C4,0)</f>
        <v>0</v>
      </c>
      <c r="J4" s="190">
        <f>IF('[1]Burn Report'!D4=1,'[1]Burn Report'!$C4,0)</f>
        <v>0.5</v>
      </c>
      <c r="K4" s="116">
        <f>IF('[1]Burn Report'!E4=1,'[1]Burn Report'!$C4,0)</f>
        <v>0</v>
      </c>
      <c r="L4" s="116">
        <f>IF('[1]Burn Report'!F4=1,'[1]Burn Report'!$C4,0)</f>
        <v>0</v>
      </c>
      <c r="M4" s="116">
        <f>IF('[1]Burn Report'!G4=1,'[1]Burn Report'!$C4,0)</f>
        <v>0</v>
      </c>
      <c r="N4" s="116">
        <f>IF('[1]Burn Report'!H4=1,'[1]Burn Report'!$C4,0)</f>
        <v>0</v>
      </c>
      <c r="O4" s="116">
        <f>IF('[1]Burn Report'!I4=1,'[1]Burn Report'!$C4,0)</f>
        <v>0</v>
      </c>
    </row>
    <row r="5" spans="1:15" x14ac:dyDescent="0.3">
      <c r="A5" s="116"/>
      <c r="B5" s="116">
        <f>IF('[1]Burn Report'!D5=1,Overview!$C$1*'[1]Burn Report'!$C5,0)</f>
        <v>50</v>
      </c>
      <c r="C5" s="116">
        <f>IF('[1]Burn Report'!E5=1,Overview!$C$1*'[1]Burn Report'!$C5,0)</f>
        <v>0</v>
      </c>
      <c r="D5" s="116">
        <f>IF('[1]Burn Report'!F5=1,Overview!$C$1*'[1]Burn Report'!$C5,0)</f>
        <v>0</v>
      </c>
      <c r="E5" s="116">
        <f>IF('[1]Burn Report'!G5=1,Overview!$C$1*'[1]Burn Report'!$C5,0)</f>
        <v>0</v>
      </c>
      <c r="F5" s="116">
        <f>IF('[1]Burn Report'!H5=1,Overview!$C$1*'[1]Burn Report'!$C5,0)</f>
        <v>0</v>
      </c>
      <c r="G5" s="116">
        <f>IF('[1]Burn Report'!I5=1,Overview!$C$1*'[1]Burn Report'!$C5,0)</f>
        <v>0</v>
      </c>
      <c r="J5" s="190">
        <f>IF('[1]Burn Report'!D5=1,'[1]Burn Report'!$C5,0)</f>
        <v>0.5</v>
      </c>
      <c r="K5" s="116">
        <f>IF('[1]Burn Report'!E5=1,'[1]Burn Report'!$C5,0)</f>
        <v>0</v>
      </c>
      <c r="L5" s="116">
        <f>IF('[1]Burn Report'!F5=1,'[1]Burn Report'!$C5,0)</f>
        <v>0</v>
      </c>
      <c r="M5" s="116">
        <f>IF('[1]Burn Report'!G5=1,'[1]Burn Report'!$C5,0)</f>
        <v>0</v>
      </c>
      <c r="N5" s="116">
        <f>IF('[1]Burn Report'!H5=1,'[1]Burn Report'!$C5,0)</f>
        <v>0</v>
      </c>
      <c r="O5" s="116">
        <f>IF('[1]Burn Report'!I5=1,'[1]Burn Report'!$C5,0)</f>
        <v>0</v>
      </c>
    </row>
    <row r="6" spans="1:15" x14ac:dyDescent="0.3">
      <c r="A6" s="116"/>
      <c r="B6" s="116">
        <f>IF('[1]Burn Report'!D6=1,Overview!$C$1*'[1]Burn Report'!$C6,0)</f>
        <v>0</v>
      </c>
      <c r="C6" s="116">
        <f>IF('[1]Burn Report'!E6=1,Overview!$C$1*'[1]Burn Report'!$C6,0)</f>
        <v>200</v>
      </c>
      <c r="D6" s="116">
        <f>IF('[1]Burn Report'!F6=1,Overview!$C$1*'[1]Burn Report'!$C6,0)</f>
        <v>200</v>
      </c>
      <c r="E6" s="116">
        <f>IF('[1]Burn Report'!G6=1,Overview!$C$1*'[1]Burn Report'!$C6,0)</f>
        <v>200</v>
      </c>
      <c r="F6" s="116">
        <f>IF('[1]Burn Report'!H6=1,Overview!$C$1*'[1]Burn Report'!$C6,0)</f>
        <v>0</v>
      </c>
      <c r="G6" s="116">
        <f>IF('[1]Burn Report'!I6=1,Overview!$C$1*'[1]Burn Report'!$C6,0)</f>
        <v>0</v>
      </c>
      <c r="J6" s="190">
        <f>IF('[1]Burn Report'!D6=1,'[1]Burn Report'!$C6,0)</f>
        <v>0</v>
      </c>
      <c r="K6" s="116">
        <f>IF('[1]Burn Report'!E6=1,'[1]Burn Report'!$C6,0)</f>
        <v>2</v>
      </c>
      <c r="L6" s="116">
        <f>IF('[1]Burn Report'!F6=1,'[1]Burn Report'!$C6,0)</f>
        <v>2</v>
      </c>
      <c r="M6" s="116">
        <f>IF('[1]Burn Report'!G6=1,'[1]Burn Report'!$C6,0)</f>
        <v>2</v>
      </c>
      <c r="N6" s="116">
        <f>IF('[1]Burn Report'!H6=1,'[1]Burn Report'!$C6,0)</f>
        <v>0</v>
      </c>
      <c r="O6" s="116">
        <f>IF('[1]Burn Report'!I6=1,'[1]Burn Report'!$C6,0)</f>
        <v>0</v>
      </c>
    </row>
    <row r="7" spans="1:15" x14ac:dyDescent="0.3">
      <c r="A7" s="116"/>
      <c r="B7" s="116">
        <f>IF('[1]Burn Report'!D7=1,Overview!$C$1*'[1]Burn Report'!$C7,0)</f>
        <v>0</v>
      </c>
      <c r="C7" s="116">
        <f>IF('[1]Burn Report'!E7=1,Overview!$C$1*'[1]Burn Report'!$C7,0)</f>
        <v>100</v>
      </c>
      <c r="D7" s="116">
        <f>IF('[1]Burn Report'!F7=1,Overview!$C$1*'[1]Burn Report'!$C7,0)</f>
        <v>0</v>
      </c>
      <c r="E7" s="116">
        <f>IF('[1]Burn Report'!G7=1,Overview!$C$1*'[1]Burn Report'!$C7,0)</f>
        <v>0</v>
      </c>
      <c r="F7" s="116">
        <f>IF('[1]Burn Report'!H7=1,Overview!$C$1*'[1]Burn Report'!$C7,0)</f>
        <v>0</v>
      </c>
      <c r="G7" s="116">
        <f>IF('[1]Burn Report'!I7=1,Overview!$C$1*'[1]Burn Report'!$C7,0)</f>
        <v>0</v>
      </c>
      <c r="J7" s="190">
        <f>IF('[1]Burn Report'!D7=1,'[1]Burn Report'!$C7,0)</f>
        <v>0</v>
      </c>
      <c r="K7" s="116">
        <f>IF('[1]Burn Report'!E7=1,'[1]Burn Report'!$C7,0)</f>
        <v>1</v>
      </c>
      <c r="L7" s="116">
        <f>IF('[1]Burn Report'!F7=1,'[1]Burn Report'!$C7,0)</f>
        <v>0</v>
      </c>
      <c r="M7" s="116">
        <f>IF('[1]Burn Report'!G7=1,'[1]Burn Report'!$C7,0)</f>
        <v>0</v>
      </c>
      <c r="N7" s="116">
        <f>IF('[1]Burn Report'!H7=1,'[1]Burn Report'!$C7,0)</f>
        <v>0</v>
      </c>
      <c r="O7" s="116">
        <f>IF('[1]Burn Report'!I7=1,'[1]Burn Report'!$C7,0)</f>
        <v>0</v>
      </c>
    </row>
    <row r="8" spans="1:15" x14ac:dyDescent="0.3">
      <c r="A8" s="116"/>
      <c r="B8" s="116">
        <f>IF('[1]Burn Report'!D8=1,Overview!$C$1*'[1]Burn Report'!$C8,0)</f>
        <v>0</v>
      </c>
      <c r="C8" s="116">
        <f>IF('[1]Burn Report'!E8=1,Overview!$C$1*'[1]Burn Report'!$C8,0)</f>
        <v>0</v>
      </c>
      <c r="D8" s="116">
        <f>IF('[1]Burn Report'!F8=1,Overview!$C$1*'[1]Burn Report'!$C8,0)</f>
        <v>0</v>
      </c>
      <c r="E8" s="116">
        <f>IF('[1]Burn Report'!G8=1,Overview!$C$1*'[1]Burn Report'!$C8,0)</f>
        <v>100</v>
      </c>
      <c r="F8" s="116">
        <f>IF('[1]Burn Report'!H8=1,Overview!$C$1*'[1]Burn Report'!$C8,0)</f>
        <v>0</v>
      </c>
      <c r="G8" s="116">
        <f>IF('[1]Burn Report'!I8=1,Overview!$C$1*'[1]Burn Report'!$C8,0)</f>
        <v>100</v>
      </c>
      <c r="J8" s="190">
        <f>IF('[1]Burn Report'!D8=1,'[1]Burn Report'!$C8,0)</f>
        <v>0</v>
      </c>
      <c r="K8" s="116">
        <f>IF('[1]Burn Report'!E8=1,'[1]Burn Report'!$C8,0)</f>
        <v>0</v>
      </c>
      <c r="L8" s="116">
        <f>IF('[1]Burn Report'!F8=1,'[1]Burn Report'!$C8,0)</f>
        <v>0</v>
      </c>
      <c r="M8" s="116">
        <f>IF('[1]Burn Report'!G8=1,'[1]Burn Report'!$C8,0)</f>
        <v>1</v>
      </c>
      <c r="N8" s="116">
        <f>IF('[1]Burn Report'!H8=1,'[1]Burn Report'!$C8,0)</f>
        <v>0</v>
      </c>
      <c r="O8" s="116">
        <f>IF('[1]Burn Report'!I8=1,'[1]Burn Report'!$C8,0)</f>
        <v>1</v>
      </c>
    </row>
    <row r="9" spans="1:15" x14ac:dyDescent="0.3">
      <c r="A9" s="116"/>
      <c r="B9" s="116">
        <f>IF('[1]Burn Report'!D9=1,Overview!$C$1*'[1]Burn Report'!$C9,0)</f>
        <v>0</v>
      </c>
      <c r="C9" s="116">
        <f>IF('[1]Burn Report'!E9=1,Overview!$C$1*'[1]Burn Report'!$C9,0)</f>
        <v>200</v>
      </c>
      <c r="D9" s="116">
        <f>IF('[1]Burn Report'!F9=1,Overview!$C$1*'[1]Burn Report'!$C9,0)</f>
        <v>0</v>
      </c>
      <c r="E9" s="116">
        <f>IF('[1]Burn Report'!G9=1,Overview!$C$1*'[1]Burn Report'!$C9,0)</f>
        <v>0</v>
      </c>
      <c r="F9" s="116">
        <f>IF('[1]Burn Report'!H9=1,Overview!$C$1*'[1]Burn Report'!$C9,0)</f>
        <v>0</v>
      </c>
      <c r="G9" s="116">
        <f>IF('[1]Burn Report'!I9=1,Overview!$C$1*'[1]Burn Report'!$C9,0)</f>
        <v>0</v>
      </c>
      <c r="J9" s="190">
        <f>IF('[1]Burn Report'!D9=1,'[1]Burn Report'!$C9,0)</f>
        <v>0</v>
      </c>
      <c r="K9" s="116">
        <f>IF('[1]Burn Report'!E9=1,'[1]Burn Report'!$C9,0)</f>
        <v>2</v>
      </c>
      <c r="L9" s="116">
        <f>IF('[1]Burn Report'!F9=1,'[1]Burn Report'!$C9,0)</f>
        <v>0</v>
      </c>
      <c r="N9" s="116">
        <f>IF('[1]Burn Report'!H9=1,'[1]Burn Report'!$C9,0)</f>
        <v>0</v>
      </c>
      <c r="O9" s="116">
        <f>IF('[1]Burn Report'!I9=1,'[1]Burn Report'!$C9,0)</f>
        <v>0</v>
      </c>
    </row>
    <row r="10" spans="1:15" x14ac:dyDescent="0.3">
      <c r="A10" s="116"/>
      <c r="B10" s="116">
        <f>IF('[1]Burn Report'!D10=1,Overview!$C$1*'[1]Burn Report'!$C10,0)</f>
        <v>0</v>
      </c>
      <c r="C10" s="116">
        <f>IF('[1]Burn Report'!E10=1,Overview!$C$1*'[1]Burn Report'!$C10,0)</f>
        <v>0</v>
      </c>
      <c r="D10" s="116">
        <f>IF('[1]Burn Report'!F10=1,Overview!$C$1*'[1]Burn Report'!$C10,0)</f>
        <v>0</v>
      </c>
      <c r="E10" s="116">
        <f>IF('[1]Burn Report'!G10=1,Overview!$C$1*'[1]Burn Report'!$C10,0)</f>
        <v>0</v>
      </c>
      <c r="F10" s="116">
        <f>IF('[1]Burn Report'!H10=1,Overview!$C$1*'[1]Burn Report'!$C10,0)</f>
        <v>100</v>
      </c>
      <c r="G10" s="116">
        <f>IF('[1]Burn Report'!I10=1,Overview!$C$1*'[1]Burn Report'!$C10,0)</f>
        <v>0</v>
      </c>
      <c r="J10" s="190">
        <f>IF('[1]Burn Report'!D10=1,'[1]Burn Report'!$C10,0)</f>
        <v>0</v>
      </c>
      <c r="K10" s="116">
        <f>IF('[1]Burn Report'!E10=1,'[1]Burn Report'!$C10,0)</f>
        <v>0</v>
      </c>
      <c r="L10" s="116">
        <f>IF('[1]Burn Report'!F10=1,'[1]Burn Report'!$C10,0)</f>
        <v>0</v>
      </c>
      <c r="M10" s="116">
        <f>IF('[1]Burn Report'!G10=1,'[1]Burn Report'!$C10,0)</f>
        <v>0</v>
      </c>
      <c r="N10" s="116">
        <f>IF('[1]Burn Report'!H10=1,'[1]Burn Report'!$C10,0)</f>
        <v>1</v>
      </c>
      <c r="O10" s="116">
        <f>IF('[1]Burn Report'!I10=1,'[1]Burn Report'!$C10,0)</f>
        <v>0</v>
      </c>
    </row>
    <row r="11" spans="1:15" x14ac:dyDescent="0.3">
      <c r="A11" s="116"/>
      <c r="B11" s="116">
        <f>IF('[1]Burn Report'!D11=1,Overview!$C$1*'[1]Burn Report'!$C11,0)</f>
        <v>0</v>
      </c>
      <c r="C11" s="116">
        <f>IF('[1]Burn Report'!E11=1,Overview!$C$1*'[1]Burn Report'!$C11,0)</f>
        <v>0</v>
      </c>
      <c r="D11" s="116">
        <f>IF('[1]Burn Report'!F11=1,Overview!$C$1*'[1]Burn Report'!$C11,0)</f>
        <v>0</v>
      </c>
      <c r="E11" s="116">
        <f>IF('[1]Burn Report'!G11=1,Overview!$C$1*'[1]Burn Report'!$C11,0)</f>
        <v>100</v>
      </c>
      <c r="F11" s="116">
        <f>IF('[1]Burn Report'!H11=1,Overview!$C$1*'[1]Burn Report'!$C11,0)</f>
        <v>0</v>
      </c>
      <c r="G11" s="116">
        <f>IF('[1]Burn Report'!I11=1,Overview!$C$1*'[1]Burn Report'!$C11,0)</f>
        <v>0</v>
      </c>
      <c r="J11" s="190">
        <f>IF('[1]Burn Report'!D11=1,'[1]Burn Report'!$C11,0)</f>
        <v>0</v>
      </c>
      <c r="K11" s="116">
        <f>IF('[1]Burn Report'!E11=1,'[1]Burn Report'!$C11,0)</f>
        <v>0</v>
      </c>
      <c r="L11" s="116">
        <f>IF('[1]Burn Report'!F11=1,'[1]Burn Report'!$C11,0)</f>
        <v>0</v>
      </c>
      <c r="M11" s="116">
        <f>IF('[1]Burn Report'!G11=1,'[1]Burn Report'!$C11,0)</f>
        <v>1</v>
      </c>
      <c r="N11" s="116">
        <f>IF('[1]Burn Report'!H11=1,'[1]Burn Report'!$C11,0)</f>
        <v>0</v>
      </c>
      <c r="O11" s="116">
        <f>IF('[1]Burn Report'!I11=1,'[1]Burn Report'!$C11,0)</f>
        <v>0</v>
      </c>
    </row>
    <row r="12" spans="1:15" x14ac:dyDescent="0.3">
      <c r="A12" s="116"/>
      <c r="B12" s="116">
        <f>IF('[1]Burn Report'!D12=1,Overview!$C$1*'[1]Burn Report'!$C12,0)</f>
        <v>0</v>
      </c>
      <c r="C12" s="116">
        <f>IF('[1]Burn Report'!E12=1,Overview!$C$1*'[1]Burn Report'!$C12,0)</f>
        <v>100</v>
      </c>
      <c r="D12" s="116">
        <f>IF('[1]Burn Report'!F12=1,Overview!$C$1*'[1]Burn Report'!$C12,0)</f>
        <v>0</v>
      </c>
      <c r="E12" s="116">
        <f>IF('[1]Burn Report'!G12=1,Overview!$C$1*'[1]Burn Report'!$C12,0)</f>
        <v>0</v>
      </c>
      <c r="F12" s="116">
        <f>IF('[1]Burn Report'!H12=1,Overview!$C$1*'[1]Burn Report'!$C12,0)</f>
        <v>0</v>
      </c>
      <c r="G12" s="116">
        <f>IF('[1]Burn Report'!I12=1,Overview!$C$1*'[1]Burn Report'!$C12,0)</f>
        <v>0</v>
      </c>
      <c r="J12" s="190">
        <f>IF('[1]Burn Report'!D12=1,'[1]Burn Report'!$C12,0)</f>
        <v>0</v>
      </c>
      <c r="K12" s="116">
        <f>IF('[1]Burn Report'!E12=1,'[1]Burn Report'!$C12,0)</f>
        <v>1</v>
      </c>
      <c r="L12" s="116">
        <f>IF('[1]Burn Report'!F12=1,'[1]Burn Report'!$C12,0)</f>
        <v>0</v>
      </c>
      <c r="N12" s="116">
        <f>IF('[1]Burn Report'!H12=1,'[1]Burn Report'!$C12,0)</f>
        <v>0</v>
      </c>
      <c r="O12" s="116">
        <f>IF('[1]Burn Report'!I12=1,'[1]Burn Report'!$C12,0)</f>
        <v>0</v>
      </c>
    </row>
    <row r="13" spans="1:15" x14ac:dyDescent="0.3">
      <c r="A13" s="116"/>
      <c r="B13" s="116">
        <f>IF('[1]Burn Report'!D13=1,Overview!$C$1*'[1]Burn Report'!$C13,0)</f>
        <v>0</v>
      </c>
      <c r="C13" s="116">
        <f>IF('[1]Burn Report'!E13=1,Overview!$C$1*'[1]Burn Report'!$C13,0)</f>
        <v>50</v>
      </c>
      <c r="D13" s="116">
        <f>IF('[1]Burn Report'!F13=1,Overview!$C$1*'[1]Burn Report'!$C13,0)</f>
        <v>0</v>
      </c>
      <c r="E13" s="116">
        <f>IF('[1]Burn Report'!G13=1,Overview!$C$1*'[1]Burn Report'!$C13,0)</f>
        <v>0</v>
      </c>
      <c r="F13" s="116">
        <f>IF('[1]Burn Report'!H13=1,Overview!$C$1*'[1]Burn Report'!$C13,0)</f>
        <v>50</v>
      </c>
      <c r="G13" s="116">
        <f>IF('[1]Burn Report'!I13=1,Overview!$C$1*'[1]Burn Report'!$C13,0)</f>
        <v>0</v>
      </c>
      <c r="J13" s="190">
        <f>IF('[1]Burn Report'!D13=1,'[1]Burn Report'!$C13,0)</f>
        <v>0</v>
      </c>
      <c r="K13" s="116">
        <f>IF('[1]Burn Report'!E13=1,'[1]Burn Report'!$C13,0)</f>
        <v>0.5</v>
      </c>
      <c r="L13" s="116">
        <f>IF('[1]Burn Report'!F13=1,'[1]Burn Report'!$C13,0)</f>
        <v>0</v>
      </c>
      <c r="M13" s="116">
        <f>IF('[1]Burn Report'!G13=1,'[1]Burn Report'!$C13,0)</f>
        <v>0</v>
      </c>
      <c r="N13" s="116">
        <f>IF('[1]Burn Report'!H13=1,'[1]Burn Report'!$C13,0)</f>
        <v>0.5</v>
      </c>
      <c r="O13" s="116">
        <f>IF('[1]Burn Report'!I13=1,'[1]Burn Report'!$C13,0)</f>
        <v>0</v>
      </c>
    </row>
    <row r="14" spans="1:15" x14ac:dyDescent="0.3">
      <c r="A14" s="116"/>
      <c r="B14" s="116">
        <f>IF('[1]Burn Report'!D14=1,Overview!$C$1*'[1]Burn Report'!$C14,0)</f>
        <v>0</v>
      </c>
      <c r="C14" s="116">
        <f>IF('[1]Burn Report'!E14=1,Overview!$C$1*'[1]Burn Report'!$C14,0)</f>
        <v>200</v>
      </c>
      <c r="D14" s="116">
        <f>IF('[1]Burn Report'!F14=1,Overview!$C$1*'[1]Burn Report'!$C14,0)</f>
        <v>0</v>
      </c>
      <c r="E14" s="116">
        <f>IF('[1]Burn Report'!G14=1,Overview!$C$1*'[1]Burn Report'!$C14,0)</f>
        <v>0</v>
      </c>
      <c r="F14" s="116">
        <f>IF('[1]Burn Report'!H14=1,Overview!$C$1*'[1]Burn Report'!$C14,0)</f>
        <v>0</v>
      </c>
      <c r="G14" s="116">
        <f>IF('[1]Burn Report'!I14=1,Overview!$C$1*'[1]Burn Report'!$C14,0)</f>
        <v>0</v>
      </c>
      <c r="J14" s="190">
        <f>IF('[1]Burn Report'!D14=1,'[1]Burn Report'!$C14,0)</f>
        <v>0</v>
      </c>
      <c r="K14" s="116">
        <f>IF('[1]Burn Report'!E14=1,'[1]Burn Report'!$C14,0)</f>
        <v>2</v>
      </c>
      <c r="L14" s="116">
        <f>IF('[1]Burn Report'!F14=1,'[1]Burn Report'!$C14,0)</f>
        <v>0</v>
      </c>
      <c r="M14" s="116">
        <f>IF('[1]Burn Report'!G14=1,'[1]Burn Report'!$C14,0)</f>
        <v>0</v>
      </c>
      <c r="N14" s="116">
        <f>IF('[1]Burn Report'!H14=1,'[1]Burn Report'!$C14,0)</f>
        <v>0</v>
      </c>
      <c r="O14" s="116">
        <f>IF('[1]Burn Report'!I14=1,'[1]Burn Report'!$C14,0)</f>
        <v>0</v>
      </c>
    </row>
    <row r="15" spans="1:15" x14ac:dyDescent="0.3">
      <c r="A15" s="116"/>
      <c r="B15" s="116">
        <f>IF('[1]Burn Report'!D15=1,Overview!$C$1*'[1]Burn Report'!$C15,0)</f>
        <v>0</v>
      </c>
      <c r="C15" s="116">
        <f>IF('[1]Burn Report'!E15=1,Overview!$C$1*'[1]Burn Report'!$C15,0)</f>
        <v>0</v>
      </c>
      <c r="D15" s="116">
        <f>IF('[1]Burn Report'!F15=1,Overview!$C$1*'[1]Burn Report'!$C15,0)</f>
        <v>50</v>
      </c>
      <c r="E15" s="116">
        <f>IF('[1]Burn Report'!G15=1,Overview!$C$1*'[1]Burn Report'!$C15,0)</f>
        <v>0</v>
      </c>
      <c r="F15" s="116">
        <f>IF('[1]Burn Report'!H15=1,Overview!$C$1*'[1]Burn Report'!$C15,0)</f>
        <v>0</v>
      </c>
      <c r="G15" s="116">
        <f>IF('[1]Burn Report'!I15=1,Overview!$C$1*'[1]Burn Report'!$C15,0)</f>
        <v>0</v>
      </c>
      <c r="J15" s="190">
        <f>IF('[1]Burn Report'!D15=1,'[1]Burn Report'!$C15,0)</f>
        <v>0</v>
      </c>
      <c r="K15" s="116">
        <f>IF('[1]Burn Report'!E15=1,'[1]Burn Report'!$C15,0)</f>
        <v>0</v>
      </c>
      <c r="L15" s="116">
        <f>IF('[1]Burn Report'!F15=1,'[1]Burn Report'!$C15,0)</f>
        <v>0.5</v>
      </c>
      <c r="M15" s="116">
        <f>IF('[1]Burn Report'!G15=1,'[1]Burn Report'!$C15,0)</f>
        <v>0</v>
      </c>
      <c r="N15" s="116">
        <f>IF('[1]Burn Report'!H15=1,'[1]Burn Report'!$C15,0)</f>
        <v>0</v>
      </c>
      <c r="O15" s="116">
        <f>IF('[1]Burn Report'!I15=1,'[1]Burn Report'!$C15,0)</f>
        <v>0</v>
      </c>
    </row>
    <row r="16" spans="1:15" x14ac:dyDescent="0.3">
      <c r="A16" s="116"/>
      <c r="B16" s="116">
        <f>IF('[1]Burn Report'!D16=1,Overview!$C$1*'[1]Burn Report'!$C16,0)</f>
        <v>0</v>
      </c>
      <c r="C16" s="116">
        <f>IF('[1]Burn Report'!E16=1,Overview!$C$1*'[1]Burn Report'!$C16,0)</f>
        <v>0</v>
      </c>
      <c r="D16" s="116">
        <f>IF('[1]Burn Report'!F16=1,Overview!$C$1*'[1]Burn Report'!$C16,0)</f>
        <v>0</v>
      </c>
      <c r="E16" s="116">
        <f>IF('[1]Burn Report'!G16=1,Overview!$C$1*'[1]Burn Report'!$C16,0)</f>
        <v>50</v>
      </c>
      <c r="F16" s="116">
        <f>IF('[1]Burn Report'!H16=1,Overview!$C$1*'[1]Burn Report'!$C16,0)</f>
        <v>0</v>
      </c>
      <c r="G16" s="116">
        <f>IF('[1]Burn Report'!I16=1,Overview!$C$1*'[1]Burn Report'!$C16,0)</f>
        <v>0</v>
      </c>
      <c r="J16" s="190">
        <f>IF('[1]Burn Report'!D16=1,'[1]Burn Report'!$C16,0)</f>
        <v>0</v>
      </c>
      <c r="K16" s="116">
        <f>IF('[1]Burn Report'!E16=1,'[1]Burn Report'!$C16,0)</f>
        <v>0</v>
      </c>
      <c r="L16" s="116">
        <f>IF('[1]Burn Report'!F16=1,'[1]Burn Report'!$C16,0)</f>
        <v>0</v>
      </c>
      <c r="M16" s="116">
        <f>IF('[1]Burn Report'!G16=1,'[1]Burn Report'!$C16,0)</f>
        <v>0.5</v>
      </c>
      <c r="N16" s="116">
        <f>IF('[1]Burn Report'!H16=1,'[1]Burn Report'!$C16,0)</f>
        <v>0</v>
      </c>
      <c r="O16" s="116">
        <f>IF('[1]Burn Report'!I16=1,'[1]Burn Report'!$C16,0)</f>
        <v>0</v>
      </c>
    </row>
    <row r="17" spans="1:15" x14ac:dyDescent="0.3">
      <c r="A17" s="116"/>
      <c r="B17" s="116">
        <f>IF('[1]Burn Report'!D17=1,Overview!$C$1*'[1]Burn Report'!$C17,0)</f>
        <v>0</v>
      </c>
      <c r="C17" s="116">
        <f>IF('[1]Burn Report'!E17=1,Overview!$C$1*'[1]Burn Report'!$C17,0)</f>
        <v>0</v>
      </c>
      <c r="D17" s="116">
        <f>IF('[1]Burn Report'!F17=1,Overview!$C$1*'[1]Burn Report'!$C17,0)</f>
        <v>0</v>
      </c>
      <c r="E17" s="116">
        <f>IF('[1]Burn Report'!G17=1,Overview!$C$1*'[1]Burn Report'!$C17,0)</f>
        <v>0</v>
      </c>
      <c r="F17" s="116">
        <f>IF('[1]Burn Report'!H17=1,Overview!$C$1*'[1]Burn Report'!$C17,0)</f>
        <v>0</v>
      </c>
      <c r="G17" s="116">
        <f>IF('[1]Burn Report'!I17=1,Overview!$C$1*'[1]Burn Report'!$C17,0)</f>
        <v>50</v>
      </c>
      <c r="J17" s="190">
        <f>IF('[1]Burn Report'!D17=1,'[1]Burn Report'!$C17,0)</f>
        <v>0</v>
      </c>
      <c r="K17" s="116">
        <f>IF('[1]Burn Report'!E17=1,'[1]Burn Report'!$C17,0)</f>
        <v>0</v>
      </c>
      <c r="L17" s="116">
        <f>IF('[1]Burn Report'!F17=1,'[1]Burn Report'!$C17,0)</f>
        <v>0</v>
      </c>
      <c r="M17" s="116">
        <f>IF('[1]Burn Report'!G17=1,'[1]Burn Report'!$C17,0)</f>
        <v>0</v>
      </c>
      <c r="N17" s="116">
        <f>IF('[1]Burn Report'!H17=1,'[1]Burn Report'!$C17,0)</f>
        <v>0</v>
      </c>
      <c r="O17" s="116">
        <f>IF('[1]Burn Report'!I17=1,'[1]Burn Report'!$C17,0)</f>
        <v>0.5</v>
      </c>
    </row>
    <row r="18" spans="1:15" x14ac:dyDescent="0.3">
      <c r="A18" s="116"/>
      <c r="B18" s="116">
        <f>IF('[1]Burn Report'!D18=1,Overview!$C$1*'[1]Burn Report'!$C18,0)</f>
        <v>150</v>
      </c>
      <c r="C18" s="116">
        <f>IF('[1]Burn Report'!E18=1,Overview!$C$1*'[1]Burn Report'!$C18,0)</f>
        <v>0</v>
      </c>
      <c r="D18" s="116">
        <f>IF('[1]Burn Report'!F18=1,Overview!$C$1*'[1]Burn Report'!$C18,0)</f>
        <v>0</v>
      </c>
      <c r="E18" s="116">
        <f>IF('[1]Burn Report'!G18=1,Overview!$C$1*'[1]Burn Report'!$C18,0)</f>
        <v>0</v>
      </c>
      <c r="F18" s="116">
        <f>IF('[1]Burn Report'!H18=1,Overview!$C$1*'[1]Burn Report'!$C18,0)</f>
        <v>0</v>
      </c>
      <c r="G18" s="116">
        <f>IF('[1]Burn Report'!I18=1,Overview!$C$1*'[1]Burn Report'!$C18,0)</f>
        <v>0</v>
      </c>
      <c r="J18" s="190">
        <f>IF('[1]Burn Report'!D18=1,'[1]Burn Report'!$C18,0)</f>
        <v>1.5</v>
      </c>
      <c r="K18" s="116">
        <f>IF('[1]Burn Report'!E18=1,'[1]Burn Report'!$C18,0)</f>
        <v>0</v>
      </c>
      <c r="L18" s="116">
        <f>IF('[1]Burn Report'!F18=1,'[1]Burn Report'!$C18,0)</f>
        <v>0</v>
      </c>
      <c r="M18" s="116">
        <f>IF('[1]Burn Report'!G18=1,'[1]Burn Report'!$C18,0)</f>
        <v>0</v>
      </c>
      <c r="N18" s="116">
        <f>IF('[1]Burn Report'!H18=1,'[1]Burn Report'!$C18,0)</f>
        <v>0</v>
      </c>
      <c r="O18" s="116">
        <f>IF('[1]Burn Report'!I18=1,'[1]Burn Report'!$C18,0)</f>
        <v>0</v>
      </c>
    </row>
    <row r="19" spans="1:15" x14ac:dyDescent="0.3">
      <c r="A19" s="116"/>
      <c r="B19" s="116">
        <f>IF('[1]Burn Report'!D19=1,Overview!$C$1*'[1]Burn Report'!$C19,0)</f>
        <v>0</v>
      </c>
      <c r="C19" s="116">
        <f>IF('[1]Burn Report'!E19=1,Overview!$C$1*'[1]Burn Report'!$C19,0)</f>
        <v>0</v>
      </c>
      <c r="D19" s="116">
        <f>IF('[1]Burn Report'!F19=1,Overview!$C$1*'[1]Burn Report'!$C19,0)</f>
        <v>0</v>
      </c>
      <c r="E19" s="116">
        <f>IF('[1]Burn Report'!G19=1,Overview!$C$1*'[1]Burn Report'!$C19,0)</f>
        <v>0</v>
      </c>
      <c r="F19" s="116">
        <f>IF('[1]Burn Report'!H19=1,Overview!$C$1*'[1]Burn Report'!$C19,0)</f>
        <v>0</v>
      </c>
      <c r="G19" s="116">
        <f>IF('[1]Burn Report'!I19=1,Overview!$C$1*'[1]Burn Report'!$C19,0)</f>
        <v>100</v>
      </c>
      <c r="J19" s="190">
        <f>IF('[1]Burn Report'!D19=1,'[1]Burn Report'!$C19,0)</f>
        <v>0</v>
      </c>
      <c r="K19" s="116">
        <f>IF('[1]Burn Report'!E19=1,'[1]Burn Report'!$C19,0)</f>
        <v>0</v>
      </c>
      <c r="L19" s="116">
        <f>IF('[1]Burn Report'!F19=1,'[1]Burn Report'!$C19,0)</f>
        <v>0</v>
      </c>
      <c r="M19" s="116">
        <f>IF('[1]Burn Report'!G19=1,'[1]Burn Report'!$C19,0)</f>
        <v>0</v>
      </c>
      <c r="N19" s="116">
        <f>IF('[1]Burn Report'!H19=1,'[1]Burn Report'!$C19,0)</f>
        <v>0</v>
      </c>
      <c r="O19" s="116">
        <f>IF('[1]Burn Report'!I19=1,'[1]Burn Report'!$C19,0)</f>
        <v>1</v>
      </c>
    </row>
    <row r="20" spans="1:15" x14ac:dyDescent="0.3">
      <c r="A20" s="116"/>
      <c r="B20" s="116">
        <f>IF('[1]Burn Report'!D20=1,Overview!$C$1*'[1]Burn Report'!$C20,0)</f>
        <v>0</v>
      </c>
      <c r="C20" s="116">
        <f>IF('[1]Burn Report'!E20=1,Overview!$C$1*'[1]Burn Report'!$C20,0)</f>
        <v>0</v>
      </c>
      <c r="D20" s="116">
        <f>IF('[1]Burn Report'!F20=1,Overview!$C$1*'[1]Burn Report'!$C20,0)</f>
        <v>0</v>
      </c>
      <c r="E20" s="116">
        <f>IF('[1]Burn Report'!G20=1,Overview!$C$1*'[1]Burn Report'!$C20,0)</f>
        <v>0</v>
      </c>
      <c r="F20" s="116">
        <f>IF('[1]Burn Report'!H20=1,Overview!$C$1*'[1]Burn Report'!$C20,0)</f>
        <v>0</v>
      </c>
      <c r="G20" s="116">
        <f>IF('[1]Burn Report'!I20=1,Overview!$C$1*'[1]Burn Report'!$C20,0)</f>
        <v>100</v>
      </c>
      <c r="J20" s="190">
        <f>IF('[1]Burn Report'!D20=1,'[1]Burn Report'!$C20,0)</f>
        <v>0</v>
      </c>
      <c r="K20" s="116">
        <f>IF('[1]Burn Report'!E20=1,'[1]Burn Report'!$C20,0)</f>
        <v>0</v>
      </c>
      <c r="L20" s="116">
        <f>IF('[1]Burn Report'!F20=1,'[1]Burn Report'!$C20,0)</f>
        <v>0</v>
      </c>
      <c r="M20" s="116">
        <f>IF('[1]Burn Report'!G20=1,'[1]Burn Report'!$C20,0)</f>
        <v>0</v>
      </c>
      <c r="N20" s="116">
        <f>IF('[1]Burn Report'!H20=1,'[1]Burn Report'!$C20,0)</f>
        <v>0</v>
      </c>
      <c r="O20" s="116">
        <f>IF('[1]Burn Report'!I20=1,'[1]Burn Report'!$C20,0)</f>
        <v>1</v>
      </c>
    </row>
    <row r="21" spans="1:15" x14ac:dyDescent="0.3">
      <c r="A21" s="116"/>
      <c r="B21" s="116">
        <f>IF('[1]Burn Report'!D21=1,Overview!$C$1*'[1]Burn Report'!$C21,0)</f>
        <v>0</v>
      </c>
      <c r="C21" s="116">
        <f>IF('[1]Burn Report'!E21=1,Overview!$C$1*'[1]Burn Report'!$C21,0)</f>
        <v>0</v>
      </c>
      <c r="D21" s="116">
        <f>IF('[1]Burn Report'!F21=1,Overview!$C$1*'[1]Burn Report'!$C21,0)</f>
        <v>0</v>
      </c>
      <c r="E21" s="116">
        <f>IF('[1]Burn Report'!G21=1,Overview!$C$1*'[1]Burn Report'!$C21,0)</f>
        <v>0</v>
      </c>
      <c r="F21" s="116">
        <f>IF('[1]Burn Report'!H21=1,Overview!$C$1*'[1]Burn Report'!$C21,0)</f>
        <v>0</v>
      </c>
      <c r="G21" s="116">
        <f>IF('[1]Burn Report'!I21=1,Overview!$C$1*'[1]Burn Report'!$C21,0)</f>
        <v>200</v>
      </c>
      <c r="J21" s="190">
        <f>IF('[1]Burn Report'!D21=1,'[1]Burn Report'!$C21,0)</f>
        <v>0</v>
      </c>
      <c r="K21" s="116">
        <f>IF('[1]Burn Report'!E21=1,'[1]Burn Report'!$C21,0)</f>
        <v>0</v>
      </c>
      <c r="L21" s="116">
        <f>IF('[1]Burn Report'!F21=1,'[1]Burn Report'!$C21,0)</f>
        <v>0</v>
      </c>
      <c r="M21" s="116">
        <f>IF('[1]Burn Report'!G21=1,'[1]Burn Report'!$C21,0)</f>
        <v>0</v>
      </c>
      <c r="N21" s="116">
        <f>IF('[1]Burn Report'!H21=1,'[1]Burn Report'!$C21,0)</f>
        <v>0</v>
      </c>
      <c r="O21" s="116">
        <f>IF('[1]Burn Report'!I21=1,'[1]Burn Report'!$C21,0)</f>
        <v>2</v>
      </c>
    </row>
    <row r="22" spans="1:15" x14ac:dyDescent="0.3">
      <c r="A22" s="116"/>
      <c r="B22" s="116">
        <f>IF('[1]Burn Report'!D22=1,Overview!$C$1*'[1]Burn Report'!$C22,0)</f>
        <v>0</v>
      </c>
      <c r="C22" s="116">
        <f>IF('[1]Burn Report'!E22=1,Overview!$C$1*'[1]Burn Report'!$C22,0)</f>
        <v>0</v>
      </c>
      <c r="D22" s="116">
        <f>IF('[1]Burn Report'!F22=1,Overview!$C$1*'[1]Burn Report'!$C22,0)</f>
        <v>0</v>
      </c>
      <c r="E22" s="116">
        <f>IF('[1]Burn Report'!G22=1,Overview!$C$1*'[1]Burn Report'!$C22,0)</f>
        <v>100</v>
      </c>
      <c r="F22" s="116">
        <f>IF('[1]Burn Report'!H22=1,Overview!$C$1*'[1]Burn Report'!$C22,0)</f>
        <v>0</v>
      </c>
      <c r="G22" s="116">
        <f>IF('[1]Burn Report'!I22=1,Overview!$C$1*'[1]Burn Report'!$C22,0)</f>
        <v>0</v>
      </c>
      <c r="J22" s="190">
        <f>IF('[1]Burn Report'!D22=1,'[1]Burn Report'!$C22,0)</f>
        <v>0</v>
      </c>
      <c r="K22" s="116">
        <f>IF('[1]Burn Report'!E22=1,'[1]Burn Report'!$C22,0)</f>
        <v>0</v>
      </c>
      <c r="L22" s="116">
        <f>IF('[1]Burn Report'!F22=1,'[1]Burn Report'!$C22,0)</f>
        <v>0</v>
      </c>
      <c r="M22" s="116">
        <f>IF('[1]Burn Report'!G22=1,'[1]Burn Report'!$C22,0)</f>
        <v>1</v>
      </c>
      <c r="N22" s="116">
        <f>IF('[1]Burn Report'!H22=1,'[1]Burn Report'!$C22,0)</f>
        <v>0</v>
      </c>
      <c r="O22" s="116">
        <f>IF('[1]Burn Report'!I22=1,'[1]Burn Report'!$C22,0)</f>
        <v>0</v>
      </c>
    </row>
    <row r="23" spans="1:15" x14ac:dyDescent="0.3">
      <c r="A23" s="116"/>
      <c r="B23" s="116">
        <f>IF('[1]Burn Report'!D23=1,Overview!$C$1*'[1]Burn Report'!$C23,0)</f>
        <v>100</v>
      </c>
      <c r="C23" s="116">
        <f>IF('[1]Burn Report'!E23=1,Overview!$C$1*'[1]Burn Report'!$C23,0)</f>
        <v>0</v>
      </c>
      <c r="D23" s="116">
        <f>IF('[1]Burn Report'!F23=1,Overview!$C$1*'[1]Burn Report'!$C23,0)</f>
        <v>0</v>
      </c>
      <c r="E23" s="116">
        <f>IF('[1]Burn Report'!G23=1,Overview!$C$1*'[1]Burn Report'!$C23,0)</f>
        <v>0</v>
      </c>
      <c r="F23" s="116">
        <f>IF('[1]Burn Report'!H23=1,Overview!$C$1*'[1]Burn Report'!$C23,0)</f>
        <v>0</v>
      </c>
      <c r="G23" s="116">
        <f>IF('[1]Burn Report'!I23=1,Overview!$C$1*'[1]Burn Report'!$C23,0)</f>
        <v>100</v>
      </c>
      <c r="J23" s="190">
        <f>IF('[1]Burn Report'!D23=1,'[1]Burn Report'!$C23,0)</f>
        <v>1</v>
      </c>
      <c r="K23" s="116">
        <f>IF('[1]Burn Report'!E23=1,'[1]Burn Report'!$C23,0)</f>
        <v>0</v>
      </c>
      <c r="L23" s="116">
        <f>IF('[1]Burn Report'!F23=1,'[1]Burn Report'!$C23,0)</f>
        <v>0</v>
      </c>
      <c r="M23" s="116">
        <f>IF('[1]Burn Report'!G23=1,'[1]Burn Report'!$C23,0)</f>
        <v>0</v>
      </c>
      <c r="N23" s="116">
        <f>IF('[1]Burn Report'!H23=1,'[1]Burn Report'!$C23,0)</f>
        <v>0</v>
      </c>
      <c r="O23" s="116">
        <f>IF('[1]Burn Report'!I23=1,'[1]Burn Report'!$C23,0)</f>
        <v>1</v>
      </c>
    </row>
    <row r="24" spans="1:15" x14ac:dyDescent="0.3">
      <c r="A24" s="116"/>
      <c r="B24" s="116">
        <f>IF('[1]Burn Report'!D24=1,Overview!$C$1*'[1]Burn Report'!$C24,0)</f>
        <v>0</v>
      </c>
      <c r="C24" s="116">
        <f>IF('[1]Burn Report'!E24=1,Overview!$C$1*'[1]Burn Report'!$C24,0)</f>
        <v>0</v>
      </c>
      <c r="D24" s="116">
        <f>IF('[1]Burn Report'!F24=1,Overview!$C$1*'[1]Burn Report'!$C24,0)</f>
        <v>0</v>
      </c>
      <c r="E24" s="116">
        <f>IF('[1]Burn Report'!G24=1,Overview!$C$1*'[1]Burn Report'!$C24,0)</f>
        <v>0</v>
      </c>
      <c r="F24" s="116">
        <f>IF('[1]Burn Report'!H24=1,Overview!$C$1*'[1]Burn Report'!$C24,0)</f>
        <v>0</v>
      </c>
      <c r="G24" s="116">
        <f>IF('[1]Burn Report'!I24=1,Overview!$C$1*'[1]Burn Report'!$C24,0)</f>
        <v>50</v>
      </c>
      <c r="J24" s="190">
        <f>IF('[1]Burn Report'!D24=1,'[1]Burn Report'!$C24,0)</f>
        <v>0</v>
      </c>
      <c r="K24" s="116">
        <f>IF('[1]Burn Report'!E24=1,'[1]Burn Report'!$C24,0)</f>
        <v>0</v>
      </c>
      <c r="L24" s="116">
        <f>IF('[1]Burn Report'!F24=1,'[1]Burn Report'!$C24,0)</f>
        <v>0</v>
      </c>
      <c r="M24" s="116">
        <f>IF('[1]Burn Report'!G24=1,'[1]Burn Report'!$C24,0)</f>
        <v>0</v>
      </c>
      <c r="N24" s="116">
        <f>IF('[1]Burn Report'!H24=1,'[1]Burn Report'!$C24,0)</f>
        <v>0</v>
      </c>
      <c r="O24" s="116">
        <f>IF('[1]Burn Report'!I24=1,'[1]Burn Report'!$C24,0)</f>
        <v>0.5</v>
      </c>
    </row>
    <row r="25" spans="1:15" x14ac:dyDescent="0.3">
      <c r="A25" s="116"/>
      <c r="B25" s="116">
        <f>IF('[1]Burn Report'!D25=1,Overview!$C$1*'[1]Burn Report'!$C25,0)</f>
        <v>100</v>
      </c>
      <c r="C25" s="116">
        <f>IF('[1]Burn Report'!E25=1,Overview!$C$1*'[1]Burn Report'!$C25,0)</f>
        <v>0</v>
      </c>
      <c r="D25" s="116">
        <f>IF('[1]Burn Report'!F25=1,Overview!$C$1*'[1]Burn Report'!$C25,0)</f>
        <v>0</v>
      </c>
      <c r="E25" s="116">
        <f>IF('[1]Burn Report'!G25=1,Overview!$C$1*'[1]Burn Report'!$C25,0)</f>
        <v>0</v>
      </c>
      <c r="F25" s="116">
        <f>IF('[1]Burn Report'!H25=1,Overview!$C$1*'[1]Burn Report'!$C25,0)</f>
        <v>0</v>
      </c>
      <c r="G25" s="116">
        <f>IF('[1]Burn Report'!I25=1,Overview!$C$1*'[1]Burn Report'!$C25,0)</f>
        <v>0</v>
      </c>
      <c r="J25" s="190">
        <f>IF('[1]Burn Report'!D25=1,'[1]Burn Report'!$C25,0)</f>
        <v>1</v>
      </c>
      <c r="K25" s="116">
        <f>IF('[1]Burn Report'!E25=1,'[1]Burn Report'!$C25,0)</f>
        <v>0</v>
      </c>
      <c r="L25" s="116">
        <f>IF('[1]Burn Report'!F25=1,'[1]Burn Report'!$C25,0)</f>
        <v>0</v>
      </c>
      <c r="M25" s="116">
        <f>IF('[1]Burn Report'!G25=1,'[1]Burn Report'!$C25,0)</f>
        <v>0</v>
      </c>
      <c r="N25" s="116">
        <f>IF('[1]Burn Report'!H25=1,'[1]Burn Report'!$C25,0)</f>
        <v>0</v>
      </c>
      <c r="O25" s="116">
        <f>IF('[1]Burn Report'!I25=1,'[1]Burn Report'!$C25,0)</f>
        <v>0</v>
      </c>
    </row>
    <row r="26" spans="1:15" x14ac:dyDescent="0.3">
      <c r="A26" s="116"/>
      <c r="B26" s="116">
        <f>IF('[1]Burn Report'!D26=1,Overview!$C$1*'[1]Burn Report'!$C26,0)</f>
        <v>0</v>
      </c>
      <c r="C26" s="116">
        <f>IF('[1]Burn Report'!E26=1,Overview!$C$1*'[1]Burn Report'!$C26,0)</f>
        <v>100</v>
      </c>
      <c r="D26" s="116">
        <f>IF('[1]Burn Report'!F26=1,Overview!$C$1*'[1]Burn Report'!$C26,0)</f>
        <v>0</v>
      </c>
      <c r="E26" s="116">
        <f>IF('[1]Burn Report'!G26=1,Overview!$C$1*'[1]Burn Report'!$C26,0)</f>
        <v>0</v>
      </c>
      <c r="F26" s="116">
        <f>IF('[1]Burn Report'!H26=1,Overview!$C$1*'[1]Burn Report'!$C26,0)</f>
        <v>0</v>
      </c>
      <c r="G26" s="116">
        <f>IF('[1]Burn Report'!I26=1,Overview!$C$1*'[1]Burn Report'!$C26,0)</f>
        <v>0</v>
      </c>
      <c r="J26" s="190">
        <f>IF('[1]Burn Report'!D26=1,'[1]Burn Report'!$C26,0)</f>
        <v>0</v>
      </c>
      <c r="K26" s="116">
        <f>IF('[1]Burn Report'!E26=1,'[1]Burn Report'!$C26,0)</f>
        <v>1</v>
      </c>
      <c r="L26" s="116">
        <f>IF('[1]Burn Report'!F26=1,'[1]Burn Report'!$C26,0)</f>
        <v>0</v>
      </c>
      <c r="M26" s="116">
        <f>IF('[1]Burn Report'!G26=1,'[1]Burn Report'!$C26,0)</f>
        <v>0</v>
      </c>
      <c r="N26" s="116">
        <f>IF('[1]Burn Report'!H26=1,'[1]Burn Report'!$C26,0)</f>
        <v>0</v>
      </c>
      <c r="O26" s="116">
        <f>IF('[1]Burn Report'!I26=1,'[1]Burn Report'!$C26,0)</f>
        <v>0</v>
      </c>
    </row>
    <row r="27" spans="1:15" x14ac:dyDescent="0.3">
      <c r="A27" s="116"/>
      <c r="B27" s="116">
        <f>IF('[1]Burn Report'!D27=1,Overview!$C$1*'[1]Burn Report'!$C27,0)</f>
        <v>0</v>
      </c>
      <c r="C27" s="116">
        <f>IF('[1]Burn Report'!E27=1,Overview!$C$1*'[1]Burn Report'!$C27,0)</f>
        <v>0</v>
      </c>
      <c r="D27" s="116">
        <f>IF('[1]Burn Report'!F27=1,Overview!$C$1*'[1]Burn Report'!$C27,0)</f>
        <v>0</v>
      </c>
      <c r="E27" s="116">
        <f>IF('[1]Burn Report'!G27=1,Overview!$C$1*'[1]Burn Report'!$C27,0)</f>
        <v>200</v>
      </c>
      <c r="F27" s="116">
        <f>IF('[1]Burn Report'!H27=1,Overview!$C$1*'[1]Burn Report'!$C27,0)</f>
        <v>0</v>
      </c>
      <c r="G27" s="116">
        <f>IF('[1]Burn Report'!I27=1,Overview!$C$1*'[1]Burn Report'!$C27,0)</f>
        <v>0</v>
      </c>
      <c r="J27" s="190">
        <f>IF('[1]Burn Report'!D27=1,'[1]Burn Report'!$C27,0)</f>
        <v>0</v>
      </c>
      <c r="K27" s="116">
        <f>IF('[1]Burn Report'!E27=1,'[1]Burn Report'!$C27,0)</f>
        <v>0</v>
      </c>
      <c r="L27" s="116">
        <f>IF('[1]Burn Report'!F27=1,'[1]Burn Report'!$C27,0)</f>
        <v>0</v>
      </c>
      <c r="M27" s="116">
        <f>IF('[1]Burn Report'!G27=1,'[1]Burn Report'!$C27,0)</f>
        <v>2</v>
      </c>
      <c r="N27" s="116">
        <f>IF('[1]Burn Report'!H27=1,'[1]Burn Report'!$C27,0)</f>
        <v>0</v>
      </c>
      <c r="O27" s="116">
        <f>IF('[1]Burn Report'!I27=1,'[1]Burn Report'!$C27,0)</f>
        <v>0</v>
      </c>
    </row>
    <row r="28" spans="1:15" x14ac:dyDescent="0.3">
      <c r="A28" s="116"/>
      <c r="B28" s="116">
        <f>IF('[1]Burn Report'!D28=1,Overview!$C$1*'[1]Burn Report'!$C28,0)</f>
        <v>25</v>
      </c>
      <c r="C28" s="116">
        <f>IF('[1]Burn Report'!E28=1,Overview!$C$1*'[1]Burn Report'!$C28,0)</f>
        <v>0</v>
      </c>
      <c r="D28" s="116">
        <f>IF('[1]Burn Report'!F28=1,Overview!$C$1*'[1]Burn Report'!$C28,0)</f>
        <v>0</v>
      </c>
      <c r="E28" s="116">
        <f>IF('[1]Burn Report'!G28=1,Overview!$C$1*'[1]Burn Report'!$C28,0)</f>
        <v>0</v>
      </c>
      <c r="F28" s="116">
        <f>IF('[1]Burn Report'!H28=1,Overview!$C$1*'[1]Burn Report'!$C28,0)</f>
        <v>0</v>
      </c>
      <c r="G28" s="116">
        <f>IF('[1]Burn Report'!I28=1,Overview!$C$1*'[1]Burn Report'!$C28,0)</f>
        <v>0</v>
      </c>
      <c r="J28" s="190">
        <f>IF('[1]Burn Report'!D28=1,'[1]Burn Report'!$C28,0)</f>
        <v>0.25</v>
      </c>
      <c r="K28" s="116">
        <f>IF('[1]Burn Report'!E28=1,'[1]Burn Report'!$C28,0)</f>
        <v>0</v>
      </c>
      <c r="L28" s="116">
        <f>IF('[1]Burn Report'!F28=1,'[1]Burn Report'!$C28,0)</f>
        <v>0</v>
      </c>
      <c r="M28" s="116">
        <f>IF('[1]Burn Report'!G28=1,'[1]Burn Report'!$C28,0)</f>
        <v>0</v>
      </c>
      <c r="N28" s="116">
        <f>IF('[1]Burn Report'!H28=1,'[1]Burn Report'!$C28,0)</f>
        <v>0</v>
      </c>
      <c r="O28" s="116">
        <f>IF('[1]Burn Report'!I28=1,'[1]Burn Report'!$C28,0)</f>
        <v>0</v>
      </c>
    </row>
    <row r="29" spans="1:15" x14ac:dyDescent="0.3">
      <c r="A29" s="116"/>
      <c r="B29" s="116">
        <f>IF('[1]Burn Report'!D29=1,Overview!$C$1*'[1]Burn Report'!$C29,0)</f>
        <v>100</v>
      </c>
      <c r="C29" s="116">
        <f>IF('[1]Burn Report'!E29=1,Overview!$C$1*'[1]Burn Report'!$C29,0)</f>
        <v>0</v>
      </c>
      <c r="D29" s="116">
        <f>IF('[1]Burn Report'!F29=1,Overview!$C$1*'[1]Burn Report'!$C29,0)</f>
        <v>0</v>
      </c>
      <c r="E29" s="116">
        <f>IF('[1]Burn Report'!G29=1,Overview!$C$1*'[1]Burn Report'!$C29,0)</f>
        <v>0</v>
      </c>
      <c r="F29" s="116">
        <f>IF('[1]Burn Report'!H29=1,Overview!$C$1*'[1]Burn Report'!$C29,0)</f>
        <v>0</v>
      </c>
      <c r="G29" s="116">
        <f>IF('[1]Burn Report'!I29=1,Overview!$C$1*'[1]Burn Report'!$C29,0)</f>
        <v>0</v>
      </c>
      <c r="J29" s="190">
        <f>IF('[1]Burn Report'!D29=1,'[1]Burn Report'!$C29,0)</f>
        <v>1</v>
      </c>
      <c r="K29" s="116">
        <f>IF('[1]Burn Report'!E29=1,'[1]Burn Report'!$C29,0)</f>
        <v>0</v>
      </c>
      <c r="L29" s="116">
        <f>IF('[1]Burn Report'!F29=1,'[1]Burn Report'!$C29,0)</f>
        <v>0</v>
      </c>
      <c r="M29" s="116">
        <f>IF('[1]Burn Report'!G29=1,'[1]Burn Report'!$C29,0)</f>
        <v>0</v>
      </c>
      <c r="N29" s="116">
        <f>IF('[1]Burn Report'!H29=1,'[1]Burn Report'!$C29,0)</f>
        <v>0</v>
      </c>
      <c r="O29" s="116">
        <f>IF('[1]Burn Report'!I29=1,'[1]Burn Report'!$C29,0)</f>
        <v>0</v>
      </c>
    </row>
    <row r="30" spans="1:15" x14ac:dyDescent="0.3">
      <c r="A30" s="116"/>
      <c r="B30" s="116">
        <f>IF('[1]Burn Report'!D30=1,Overview!$C$1*'[1]Burn Report'!$C30,0)</f>
        <v>0</v>
      </c>
      <c r="C30" s="116">
        <f>IF('[1]Burn Report'!E30=1,Overview!$C$1*'[1]Burn Report'!$C30,0)</f>
        <v>0</v>
      </c>
      <c r="D30" s="116">
        <f>IF('[1]Burn Report'!F30=1,Overview!$C$1*'[1]Burn Report'!$C30,0)</f>
        <v>0</v>
      </c>
      <c r="E30" s="116">
        <f>IF('[1]Burn Report'!G30=1,Overview!$C$1*'[1]Burn Report'!$C30,0)</f>
        <v>0</v>
      </c>
      <c r="F30" s="116">
        <f>IF('[1]Burn Report'!H30=1,Overview!$C$1*'[1]Burn Report'!$C30,0)</f>
        <v>0</v>
      </c>
      <c r="G30" s="116">
        <f>IF('[1]Burn Report'!I30=1,Overview!$C$1*'[1]Burn Report'!$C30,0)</f>
        <v>50</v>
      </c>
      <c r="J30" s="190">
        <f>IF('[1]Burn Report'!D30=1,'[1]Burn Report'!$C30,0)</f>
        <v>0</v>
      </c>
      <c r="K30" s="116">
        <f>IF('[1]Burn Report'!E30=1,'[1]Burn Report'!$C30,0)</f>
        <v>0</v>
      </c>
      <c r="L30" s="116">
        <f>IF('[1]Burn Report'!F30=1,'[1]Burn Report'!$C30,0)</f>
        <v>0</v>
      </c>
      <c r="M30" s="116">
        <f>IF('[1]Burn Report'!G30=1,'[1]Burn Report'!$C30,0)</f>
        <v>0</v>
      </c>
      <c r="N30" s="116">
        <f>IF('[1]Burn Report'!H30=1,'[1]Burn Report'!$C30,0)</f>
        <v>0</v>
      </c>
      <c r="O30" s="116">
        <f>IF('[1]Burn Report'!I30=1,'[1]Burn Report'!$C30,0)</f>
        <v>0.5</v>
      </c>
    </row>
    <row r="31" spans="1:15" x14ac:dyDescent="0.3">
      <c r="A31" s="116"/>
      <c r="B31" s="116">
        <f>IF('[1]Burn Report'!D31=1,Overview!$C$1*'[1]Burn Report'!$C31,0)</f>
        <v>100</v>
      </c>
      <c r="C31" s="116">
        <f>IF('[1]Burn Report'!E31=1,Overview!$C$1*'[1]Burn Report'!$C31,0)</f>
        <v>0</v>
      </c>
      <c r="D31" s="116">
        <f>IF('[1]Burn Report'!F31=1,Overview!$C$1*'[1]Burn Report'!$C31,0)</f>
        <v>0</v>
      </c>
      <c r="E31" s="116">
        <f>IF('[1]Burn Report'!G31=1,Overview!$C$1*'[1]Burn Report'!$C31,0)</f>
        <v>0</v>
      </c>
      <c r="F31" s="116">
        <f>IF('[1]Burn Report'!H31=1,Overview!$C$1*'[1]Burn Report'!$C31,0)</f>
        <v>0</v>
      </c>
      <c r="G31" s="116">
        <f>IF('[1]Burn Report'!I31=1,Overview!$C$1*'[1]Burn Report'!$C31,0)</f>
        <v>0</v>
      </c>
      <c r="J31" s="190">
        <f>IF('[1]Burn Report'!D31=1,'[1]Burn Report'!$C31,0)</f>
        <v>1</v>
      </c>
      <c r="K31" s="116">
        <f>IF('[1]Burn Report'!E31=1,'[1]Burn Report'!$C31,0)</f>
        <v>0</v>
      </c>
      <c r="L31" s="116">
        <f>IF('[1]Burn Report'!F31=1,'[1]Burn Report'!$C31,0)</f>
        <v>0</v>
      </c>
      <c r="M31" s="116">
        <f>IF('[1]Burn Report'!G31=1,'[1]Burn Report'!$C31,0)</f>
        <v>0</v>
      </c>
      <c r="N31" s="116">
        <f>IF('[1]Burn Report'!H31=1,'[1]Burn Report'!$C31,0)</f>
        <v>0</v>
      </c>
      <c r="O31" s="116">
        <f>IF('[1]Burn Report'!I31=1,'[1]Burn Report'!$C31,0)</f>
        <v>0</v>
      </c>
    </row>
    <row r="32" spans="1:15" x14ac:dyDescent="0.3">
      <c r="A32" s="116"/>
      <c r="B32" s="116">
        <f>IF('[1]Burn Report'!D32=1,Overview!$C$1*'[1]Burn Report'!$C32,0)</f>
        <v>50</v>
      </c>
      <c r="C32" s="116">
        <f>IF('[1]Burn Report'!E32=1,Overview!$C$1*'[1]Burn Report'!$C32,0)</f>
        <v>0</v>
      </c>
      <c r="D32" s="116">
        <f>IF('[1]Burn Report'!F32=1,Overview!$C$1*'[1]Burn Report'!$C32,0)</f>
        <v>0</v>
      </c>
      <c r="E32" s="116">
        <f>IF('[1]Burn Report'!G32=1,Overview!$C$1*'[1]Burn Report'!$C32,0)</f>
        <v>0</v>
      </c>
      <c r="F32" s="116">
        <f>IF('[1]Burn Report'!H32=1,Overview!$C$1*'[1]Burn Report'!$C32,0)</f>
        <v>0</v>
      </c>
      <c r="G32" s="116">
        <f>IF('[1]Burn Report'!I32=1,Overview!$C$1*'[1]Burn Report'!$C32,0)</f>
        <v>0</v>
      </c>
      <c r="J32" s="190">
        <f>IF('[1]Burn Report'!D32=1,'[1]Burn Report'!$C32,0)</f>
        <v>0.5</v>
      </c>
      <c r="K32" s="116">
        <f>IF('[1]Burn Report'!E32=1,'[1]Burn Report'!$C32,0)</f>
        <v>0</v>
      </c>
      <c r="L32" s="116">
        <f>IF('[1]Burn Report'!F32=1,'[1]Burn Report'!$C32,0)</f>
        <v>0</v>
      </c>
      <c r="M32" s="116">
        <f>IF('[1]Burn Report'!G32=1,'[1]Burn Report'!$C32,0)</f>
        <v>0</v>
      </c>
      <c r="N32" s="116">
        <f>IF('[1]Burn Report'!H32=1,'[1]Burn Report'!$C32,0)</f>
        <v>0</v>
      </c>
      <c r="O32" s="116">
        <f>IF('[1]Burn Report'!I32=1,'[1]Burn Report'!$C32,0)</f>
        <v>0</v>
      </c>
    </row>
    <row r="33" spans="1:15" x14ac:dyDescent="0.3">
      <c r="A33" s="116"/>
      <c r="B33" s="116">
        <f>IF('[1]Burn Report'!D33=1,Overview!$C$1*'[1]Burn Report'!$C33,0)</f>
        <v>100</v>
      </c>
      <c r="C33" s="116">
        <f>IF('[1]Burn Report'!E33=1,Overview!$C$1*'[1]Burn Report'!$C33,0)</f>
        <v>0</v>
      </c>
      <c r="D33" s="116">
        <f>IF('[1]Burn Report'!F33=1,Overview!$C$1*'[1]Burn Report'!$C33,0)</f>
        <v>0</v>
      </c>
      <c r="E33" s="116">
        <f>IF('[1]Burn Report'!G33=1,Overview!$C$1*'[1]Burn Report'!$C33,0)</f>
        <v>0</v>
      </c>
      <c r="F33" s="116">
        <f>IF('[1]Burn Report'!H33=1,Overview!$C$1*'[1]Burn Report'!$C33,0)</f>
        <v>0</v>
      </c>
      <c r="G33" s="116">
        <f>IF('[1]Burn Report'!I33=1,Overview!$C$1*'[1]Burn Report'!$C33,0)</f>
        <v>0</v>
      </c>
      <c r="J33" s="190">
        <f>IF('[1]Burn Report'!D33=1,'[1]Burn Report'!$C33,0)</f>
        <v>1</v>
      </c>
      <c r="K33" s="116">
        <f>IF('[1]Burn Report'!E33=1,'[1]Burn Report'!$C33,0)</f>
        <v>0</v>
      </c>
      <c r="L33" s="116">
        <f>IF('[1]Burn Report'!F33=1,'[1]Burn Report'!$C33,0)</f>
        <v>0</v>
      </c>
      <c r="M33" s="116">
        <f>IF('[1]Burn Report'!G33=1,'[1]Burn Report'!$C33,0)</f>
        <v>0</v>
      </c>
      <c r="N33" s="116">
        <f>IF('[1]Burn Report'!H33=1,'[1]Burn Report'!$C33,0)</f>
        <v>0</v>
      </c>
      <c r="O33" s="116">
        <f>IF('[1]Burn Report'!I33=1,'[1]Burn Report'!$C33,0)</f>
        <v>0</v>
      </c>
    </row>
    <row r="34" spans="1:15" x14ac:dyDescent="0.3">
      <c r="A34" s="116"/>
      <c r="B34" s="116">
        <f>IF('[1]Burn Report'!D34=1,Overview!$C$1*'[1]Burn Report'!$C34,0)</f>
        <v>0</v>
      </c>
      <c r="C34" s="116">
        <f>IF('[1]Burn Report'!E34=1,Overview!$C$1*'[1]Burn Report'!$C34,0)</f>
        <v>0</v>
      </c>
      <c r="D34" s="116">
        <f>IF('[1]Burn Report'!F34=1,Overview!$C$1*'[1]Burn Report'!$C34,0)</f>
        <v>0</v>
      </c>
      <c r="E34" s="116">
        <f>IF('[1]Burn Report'!G34=1,Overview!$C$1*'[1]Burn Report'!$C34,0)</f>
        <v>0</v>
      </c>
      <c r="F34" s="116">
        <f>IF('[1]Burn Report'!H34=1,Overview!$C$1*'[1]Burn Report'!$C34,0)</f>
        <v>150</v>
      </c>
      <c r="G34" s="116">
        <f>IF('[1]Burn Report'!I34=1,Overview!$C$1*'[1]Burn Report'!$C34,0)</f>
        <v>0</v>
      </c>
      <c r="J34" s="190">
        <f>IF('[1]Burn Report'!D34=1,'[1]Burn Report'!$C34,0)</f>
        <v>0</v>
      </c>
      <c r="K34" s="116">
        <f>IF('[1]Burn Report'!E34=1,'[1]Burn Report'!$C34,0)</f>
        <v>0</v>
      </c>
      <c r="L34" s="116">
        <f>IF('[1]Burn Report'!F34=1,'[1]Burn Report'!$C34,0)</f>
        <v>0</v>
      </c>
      <c r="M34" s="116">
        <f>IF('[1]Burn Report'!G34=1,'[1]Burn Report'!$C34,0)</f>
        <v>0</v>
      </c>
      <c r="N34" s="116">
        <f>IF('[1]Burn Report'!H34=1,'[1]Burn Report'!$C34,0)</f>
        <v>1.5</v>
      </c>
      <c r="O34" s="116">
        <f>IF('[1]Burn Report'!I34=1,'[1]Burn Report'!$C34,0)</f>
        <v>0</v>
      </c>
    </row>
    <row r="35" spans="1:15" x14ac:dyDescent="0.3">
      <c r="A35" s="116"/>
      <c r="B35" s="116">
        <f>IF('[1]Burn Report'!D35=1,Overview!$C$1*'[1]Burn Report'!$C35,0)</f>
        <v>0</v>
      </c>
      <c r="C35" s="116">
        <f>IF('[1]Burn Report'!E35=1,Overview!$C$1*'[1]Burn Report'!$C35,0)</f>
        <v>0</v>
      </c>
      <c r="D35" s="116">
        <f>IF('[1]Burn Report'!F35=1,Overview!$C$1*'[1]Burn Report'!$C35,0)</f>
        <v>0</v>
      </c>
      <c r="E35" s="116">
        <f>IF('[1]Burn Report'!G35=1,Overview!$C$1*'[1]Burn Report'!$C35,0)</f>
        <v>0</v>
      </c>
      <c r="F35" s="116">
        <f>IF('[1]Burn Report'!H35=1,Overview!$C$1*'[1]Burn Report'!$C35,0)</f>
        <v>250</v>
      </c>
      <c r="G35" s="116">
        <f>IF('[1]Burn Report'!I35=1,Overview!$C$1*'[1]Burn Report'!$C35,0)</f>
        <v>0</v>
      </c>
      <c r="J35" s="190">
        <f>IF('[1]Burn Report'!D35=1,'[1]Burn Report'!$C35,0)</f>
        <v>0</v>
      </c>
      <c r="K35" s="116">
        <f>IF('[1]Burn Report'!E35=1,'[1]Burn Report'!$C35,0)</f>
        <v>0</v>
      </c>
      <c r="L35" s="116">
        <f>IF('[1]Burn Report'!F35=1,'[1]Burn Report'!$C35,0)</f>
        <v>0</v>
      </c>
      <c r="M35" s="116">
        <f>IF('[1]Burn Report'!G35=1,'[1]Burn Report'!$C35,0)</f>
        <v>0</v>
      </c>
      <c r="N35" s="116">
        <f>IF('[1]Burn Report'!H35=1,'[1]Burn Report'!$C35,0)</f>
        <v>2.5</v>
      </c>
      <c r="O35" s="116">
        <f>IF('[1]Burn Report'!I35=1,'[1]Burn Report'!$C35,0)</f>
        <v>0</v>
      </c>
    </row>
    <row r="36" spans="1:15" x14ac:dyDescent="0.3">
      <c r="A36" s="116"/>
      <c r="B36" s="116">
        <f>IF('[1]Burn Report'!D36=1,Overview!$C$1*'[1]Burn Report'!$C36,0)</f>
        <v>0</v>
      </c>
      <c r="C36" s="116">
        <f>IF('[1]Burn Report'!E36=1,Overview!$C$1*'[1]Burn Report'!$C36,0)</f>
        <v>0</v>
      </c>
      <c r="D36" s="116">
        <f>IF('[1]Burn Report'!F36=1,Overview!$C$1*'[1]Burn Report'!$C36,0)</f>
        <v>0</v>
      </c>
      <c r="E36" s="116">
        <f>IF('[1]Burn Report'!G36=1,Overview!$C$1*'[1]Burn Report'!$C36,0)</f>
        <v>0</v>
      </c>
      <c r="F36" s="116">
        <f>IF('[1]Burn Report'!H36=1,Overview!$C$1*'[1]Burn Report'!$C36,0)</f>
        <v>0</v>
      </c>
      <c r="G36" s="116">
        <f>IF('[1]Burn Report'!I36=1,Overview!$C$1*'[1]Burn Report'!$C36,0)</f>
        <v>100</v>
      </c>
      <c r="J36" s="190">
        <f>IF('[1]Burn Report'!D36=1,'[1]Burn Report'!$C36,0)</f>
        <v>0</v>
      </c>
      <c r="K36" s="116">
        <f>IF('[1]Burn Report'!E36=1,'[1]Burn Report'!$C36,0)</f>
        <v>0</v>
      </c>
      <c r="L36" s="116">
        <f>IF('[1]Burn Report'!F36=1,'[1]Burn Report'!$C36,0)</f>
        <v>0</v>
      </c>
      <c r="M36" s="116">
        <f>IF('[1]Burn Report'!G36=1,'[1]Burn Report'!$C36,0)</f>
        <v>0</v>
      </c>
      <c r="N36" s="116">
        <f>IF('[1]Burn Report'!H36=1,'[1]Burn Report'!$C36,0)</f>
        <v>0</v>
      </c>
      <c r="O36" s="116">
        <f>IF('[1]Burn Report'!I36=1,'[1]Burn Report'!$C36,0)</f>
        <v>1</v>
      </c>
    </row>
    <row r="37" spans="1:15" x14ac:dyDescent="0.3">
      <c r="A37" s="116"/>
      <c r="B37" s="116">
        <f>IF('[1]Burn Report'!D37=1,Overview!$C$1*'[1]Burn Report'!$C37,0)</f>
        <v>150</v>
      </c>
      <c r="C37" s="116">
        <f>IF('[1]Burn Report'!E37=1,Overview!$C$1*'[1]Burn Report'!$C37,0)</f>
        <v>0</v>
      </c>
      <c r="D37" s="116">
        <f>IF('[1]Burn Report'!F37=1,Overview!$C$1*'[1]Burn Report'!$C37,0)</f>
        <v>0</v>
      </c>
      <c r="E37" s="116">
        <f>IF('[1]Burn Report'!G37=1,Overview!$C$1*'[1]Burn Report'!$C37,0)</f>
        <v>0</v>
      </c>
      <c r="F37" s="116">
        <f>IF('[1]Burn Report'!H37=1,Overview!$C$1*'[1]Burn Report'!$C37,0)</f>
        <v>0</v>
      </c>
      <c r="G37" s="116">
        <f>IF('[1]Burn Report'!I37=1,Overview!$C$1*'[1]Burn Report'!$C37,0)</f>
        <v>0</v>
      </c>
      <c r="J37" s="190">
        <f>IF('[1]Burn Report'!D37=1,'[1]Burn Report'!$C37,0)</f>
        <v>1.5</v>
      </c>
      <c r="K37" s="116">
        <f>IF('[1]Burn Report'!E37=1,'[1]Burn Report'!$C37,0)</f>
        <v>0</v>
      </c>
      <c r="L37" s="116">
        <f>IF('[1]Burn Report'!F37=1,'[1]Burn Report'!$C37,0)</f>
        <v>0</v>
      </c>
      <c r="M37" s="116">
        <f>IF('[1]Burn Report'!G37=1,'[1]Burn Report'!$C37,0)</f>
        <v>0</v>
      </c>
      <c r="N37" s="116">
        <f>IF('[1]Burn Report'!H37=1,'[1]Burn Report'!$C37,0)</f>
        <v>0</v>
      </c>
      <c r="O37" s="116">
        <f>IF('[1]Burn Report'!I37=1,'[1]Burn Report'!$C37,0)</f>
        <v>0</v>
      </c>
    </row>
    <row r="38" spans="1:15" x14ac:dyDescent="0.3">
      <c r="A38" s="116"/>
      <c r="B38" s="116">
        <f>IF('[1]Burn Report'!D38=1,Overview!$C$1*'[1]Burn Report'!$C38,0)</f>
        <v>100</v>
      </c>
      <c r="C38" s="116">
        <f>IF('[1]Burn Report'!E38=1,Overview!$C$1*'[1]Burn Report'!$C38,0)</f>
        <v>0</v>
      </c>
      <c r="D38" s="116">
        <f>IF('[1]Burn Report'!F38=1,Overview!$C$1*'[1]Burn Report'!$C38,0)</f>
        <v>0</v>
      </c>
      <c r="E38" s="116">
        <f>IF('[1]Burn Report'!G38=1,Overview!$C$1*'[1]Burn Report'!$C38,0)</f>
        <v>0</v>
      </c>
      <c r="F38" s="116">
        <f>IF('[1]Burn Report'!H38=1,Overview!$C$1*'[1]Burn Report'!$C38,0)</f>
        <v>0</v>
      </c>
      <c r="G38" s="116">
        <f>IF('[1]Burn Report'!I38=1,Overview!$C$1*'[1]Burn Report'!$C38,0)</f>
        <v>0</v>
      </c>
      <c r="J38" s="190">
        <f>IF('[1]Burn Report'!D38=1,'[1]Burn Report'!$C38,0)</f>
        <v>1</v>
      </c>
      <c r="K38" s="116">
        <f>IF('[1]Burn Report'!E38=1,'[1]Burn Report'!$C38,0)</f>
        <v>0</v>
      </c>
      <c r="L38" s="116">
        <f>IF('[1]Burn Report'!F38=1,'[1]Burn Report'!$C38,0)</f>
        <v>0</v>
      </c>
      <c r="M38" s="116">
        <f>IF('[1]Burn Report'!G38=1,'[1]Burn Report'!$C38,0)</f>
        <v>0</v>
      </c>
      <c r="N38" s="116">
        <f>IF('[1]Burn Report'!H38=1,'[1]Burn Report'!$C38,0)</f>
        <v>0</v>
      </c>
      <c r="O38" s="116">
        <f>IF('[1]Burn Report'!I38=1,'[1]Burn Report'!$C38,0)</f>
        <v>0</v>
      </c>
    </row>
    <row r="39" spans="1:15" x14ac:dyDescent="0.3">
      <c r="A39" s="116"/>
      <c r="B39" s="116">
        <f>IF('[1]Burn Report'!D39=1,Overview!$C$1*'[1]Burn Report'!$C39,0)</f>
        <v>0</v>
      </c>
      <c r="C39" s="116">
        <f>IF('[1]Burn Report'!E39=1,Overview!$C$1*'[1]Burn Report'!$C39,0)</f>
        <v>300</v>
      </c>
      <c r="D39" s="116">
        <f>IF('[1]Burn Report'!F39=1,Overview!$C$1*'[1]Burn Report'!$C39,0)</f>
        <v>0</v>
      </c>
      <c r="E39" s="116">
        <f>IF('[1]Burn Report'!G39=1,Overview!$C$1*'[1]Burn Report'!$C39,0)</f>
        <v>0</v>
      </c>
      <c r="F39" s="116">
        <f>IF('[1]Burn Report'!H39=1,Overview!$C$1*'[1]Burn Report'!$C39,0)</f>
        <v>0</v>
      </c>
      <c r="G39" s="116">
        <f>IF('[1]Burn Report'!I39=1,Overview!$C$1*'[1]Burn Report'!$C39,0)</f>
        <v>0</v>
      </c>
      <c r="J39" s="190">
        <f>IF('[1]Burn Report'!D39=1,'[1]Burn Report'!$C39,0)</f>
        <v>0</v>
      </c>
      <c r="K39" s="116">
        <f>IF('[1]Burn Report'!E39=1,'[1]Burn Report'!$C39,0)</f>
        <v>3</v>
      </c>
      <c r="L39" s="116">
        <f>IF('[1]Burn Report'!F39=1,'[1]Burn Report'!$C39,0)</f>
        <v>0</v>
      </c>
      <c r="M39" s="116">
        <f>IF('[1]Burn Report'!G39=1,'[1]Burn Report'!$C39,0)</f>
        <v>0</v>
      </c>
      <c r="N39" s="116">
        <f>IF('[1]Burn Report'!H39=1,'[1]Burn Report'!$C39,0)</f>
        <v>0</v>
      </c>
      <c r="O39" s="116">
        <f>IF('[1]Burn Report'!I39=1,'[1]Burn Report'!$C39,0)</f>
        <v>0</v>
      </c>
    </row>
    <row r="40" spans="1:15" x14ac:dyDescent="0.3">
      <c r="A40" s="116"/>
      <c r="B40" s="116">
        <f>IF('[1]Burn Report'!D40=1,Overview!$C$1*'[1]Burn Report'!$C40,0)</f>
        <v>0</v>
      </c>
      <c r="C40" s="116">
        <f>IF('[1]Burn Report'!E40=1,Overview!$C$1*'[1]Burn Report'!$C40,0)</f>
        <v>200</v>
      </c>
      <c r="D40" s="116">
        <f>IF('[1]Burn Report'!F40=1,Overview!$C$1*'[1]Burn Report'!$C40,0)</f>
        <v>0</v>
      </c>
      <c r="E40" s="116">
        <f>IF('[1]Burn Report'!G40=1,Overview!$C$1*'[1]Burn Report'!$C40,0)</f>
        <v>0</v>
      </c>
      <c r="F40" s="116">
        <f>IF('[1]Burn Report'!H40=1,Overview!$C$1*'[1]Burn Report'!$C40,0)</f>
        <v>0</v>
      </c>
      <c r="G40" s="116">
        <f>IF('[1]Burn Report'!I40=1,Overview!$C$1*'[1]Burn Report'!$C40,0)</f>
        <v>0</v>
      </c>
      <c r="J40" s="190">
        <f>IF('[1]Burn Report'!D40=1,'[1]Burn Report'!$C40,0)</f>
        <v>0</v>
      </c>
      <c r="K40" s="116">
        <f>IF('[1]Burn Report'!E40=1,'[1]Burn Report'!$C40,0)</f>
        <v>2</v>
      </c>
      <c r="L40" s="116">
        <f>IF('[1]Burn Report'!F40=1,'[1]Burn Report'!$C40,0)</f>
        <v>0</v>
      </c>
      <c r="M40" s="116">
        <f>IF('[1]Burn Report'!G40=1,'[1]Burn Report'!$C40,0)</f>
        <v>0</v>
      </c>
      <c r="N40" s="116">
        <f>IF('[1]Burn Report'!H40=1,'[1]Burn Report'!$C40,0)</f>
        <v>0</v>
      </c>
      <c r="O40" s="116">
        <f>IF('[1]Burn Report'!I40=1,'[1]Burn Report'!$C40,0)</f>
        <v>0</v>
      </c>
    </row>
    <row r="41" spans="1:15" x14ac:dyDescent="0.3">
      <c r="A41" s="116"/>
      <c r="B41" s="116">
        <f>IF('[1]Burn Report'!D41=1,Overview!$C$1*'[1]Burn Report'!$C41,0)</f>
        <v>100</v>
      </c>
      <c r="C41" s="116">
        <f>IF('[1]Burn Report'!E41=1,Overview!$C$1*'[1]Burn Report'!$C41,0)</f>
        <v>0</v>
      </c>
      <c r="D41" s="116">
        <f>IF('[1]Burn Report'!F41=1,Overview!$C$1*'[1]Burn Report'!$C41,0)</f>
        <v>0</v>
      </c>
      <c r="E41" s="116">
        <f>IF('[1]Burn Report'!G41=1,Overview!$C$1*'[1]Burn Report'!$C41,0)</f>
        <v>0</v>
      </c>
      <c r="F41" s="116">
        <f>IF('[1]Burn Report'!H41=1,Overview!$C$1*'[1]Burn Report'!$C41,0)</f>
        <v>0</v>
      </c>
      <c r="G41" s="116">
        <f>IF('[1]Burn Report'!I41=1,Overview!$C$1*'[1]Burn Report'!$C41,0)</f>
        <v>0</v>
      </c>
      <c r="J41" s="190">
        <f>IF('[1]Burn Report'!D41=1,'[1]Burn Report'!$C41,0)</f>
        <v>1</v>
      </c>
      <c r="K41" s="116">
        <f>IF('[1]Burn Report'!E41=1,'[1]Burn Report'!$C41,0)</f>
        <v>0</v>
      </c>
      <c r="L41" s="116">
        <f>IF('[1]Burn Report'!F41=1,'[1]Burn Report'!$C41,0)</f>
        <v>0</v>
      </c>
      <c r="M41" s="116">
        <f>IF('[1]Burn Report'!G41=1,'[1]Burn Report'!$C41,0)</f>
        <v>0</v>
      </c>
      <c r="N41" s="116">
        <f>IF('[1]Burn Report'!H41=1,'[1]Burn Report'!$C41,0)</f>
        <v>0</v>
      </c>
      <c r="O41" s="116">
        <f>IF('[1]Burn Report'!I41=1,'[1]Burn Report'!$C41,0)</f>
        <v>0</v>
      </c>
    </row>
    <row r="42" spans="1:15" x14ac:dyDescent="0.3">
      <c r="A42" s="116"/>
      <c r="B42" s="116">
        <f>IF('[1]Burn Report'!D42=1,Overview!$C$1*'[1]Burn Report'!$C42,0)</f>
        <v>100</v>
      </c>
      <c r="C42" s="116">
        <f>IF('[1]Burn Report'!E42=1,Overview!$C$1*'[1]Burn Report'!$C42,0)</f>
        <v>0</v>
      </c>
      <c r="D42" s="116">
        <f>IF('[1]Burn Report'!F42=1,Overview!$C$1*'[1]Burn Report'!$C42,0)</f>
        <v>0</v>
      </c>
      <c r="E42" s="116">
        <f>IF('[1]Burn Report'!G42=1,Overview!$C$1*'[1]Burn Report'!$C42,0)</f>
        <v>0</v>
      </c>
      <c r="F42" s="116">
        <f>IF('[1]Burn Report'!H42=1,Overview!$C$1*'[1]Burn Report'!$C42,0)</f>
        <v>0</v>
      </c>
      <c r="G42" s="116">
        <f>IF('[1]Burn Report'!I42=1,Overview!$C$1*'[1]Burn Report'!$C42,0)</f>
        <v>0</v>
      </c>
      <c r="J42" s="190">
        <f>IF('[1]Burn Report'!D42=1,'[1]Burn Report'!$C42,0)</f>
        <v>1</v>
      </c>
      <c r="K42" s="116">
        <f>IF('[1]Burn Report'!E42=1,'[1]Burn Report'!$C42,0)</f>
        <v>0</v>
      </c>
      <c r="L42" s="116">
        <f>IF('[1]Burn Report'!F42=1,'[1]Burn Report'!$C42,0)</f>
        <v>0</v>
      </c>
      <c r="M42" s="116">
        <f>IF('[1]Burn Report'!G42=1,'[1]Burn Report'!$C42,0)</f>
        <v>0</v>
      </c>
      <c r="N42" s="116">
        <f>IF('[1]Burn Report'!H42=1,'[1]Burn Report'!$C42,0)</f>
        <v>0</v>
      </c>
      <c r="O42" s="116">
        <f>IF('[1]Burn Report'!I42=1,'[1]Burn Report'!$C42,0)</f>
        <v>0</v>
      </c>
    </row>
    <row r="43" spans="1:15" x14ac:dyDescent="0.3">
      <c r="A43" s="116"/>
      <c r="B43" s="116">
        <f>IF('[1]Burn Report'!D43=1,Overview!$C$1*'[1]Burn Report'!$C43,0)</f>
        <v>0</v>
      </c>
      <c r="C43" s="116">
        <f>IF('[1]Burn Report'!E43=1,Overview!$C$1*'[1]Burn Report'!$C43,0)</f>
        <v>0</v>
      </c>
      <c r="D43" s="116">
        <f>IF('[1]Burn Report'!F43=1,Overview!$C$1*'[1]Burn Report'!$C43,0)</f>
        <v>0</v>
      </c>
      <c r="E43" s="116">
        <f>IF('[1]Burn Report'!G43=1,Overview!$C$1*'[1]Burn Report'!$C43,0)</f>
        <v>0</v>
      </c>
      <c r="F43" s="116">
        <f>IF('[1]Burn Report'!H43=1,Overview!$C$1*'[1]Burn Report'!$C43,0)</f>
        <v>0</v>
      </c>
      <c r="G43" s="116">
        <f>IF('[1]Burn Report'!I43=1,Overview!$C$1*'[1]Burn Report'!$C43,0)</f>
        <v>300</v>
      </c>
      <c r="J43" s="190">
        <f>IF('[1]Burn Report'!D43=1,'[1]Burn Report'!$C43,0)</f>
        <v>0</v>
      </c>
      <c r="K43" s="116">
        <f>IF('[1]Burn Report'!E43=1,'[1]Burn Report'!$C43,0)</f>
        <v>0</v>
      </c>
      <c r="L43" s="116">
        <f>IF('[1]Burn Report'!F43=1,'[1]Burn Report'!$C43,0)</f>
        <v>0</v>
      </c>
      <c r="M43" s="116">
        <f>IF('[1]Burn Report'!G43=1,'[1]Burn Report'!$C43,0)</f>
        <v>0</v>
      </c>
      <c r="N43" s="116">
        <f>IF('[1]Burn Report'!H43=1,'[1]Burn Report'!$C43,0)</f>
        <v>0</v>
      </c>
      <c r="O43" s="116">
        <f>IF('[1]Burn Report'!I43=1,'[1]Burn Report'!$C43,0)</f>
        <v>3</v>
      </c>
    </row>
    <row r="44" spans="1:15" x14ac:dyDescent="0.3">
      <c r="A44" s="116"/>
      <c r="B44" s="116">
        <f>IF('[1]Burn Report'!D44=1,Overview!$C$1*'[1]Burn Report'!$C44,0)</f>
        <v>200</v>
      </c>
      <c r="C44" s="116">
        <f>IF('[1]Burn Report'!E44=1,Overview!$C$1*'[1]Burn Report'!$C44,0)</f>
        <v>0</v>
      </c>
      <c r="D44" s="116">
        <f>IF('[1]Burn Report'!F44=1,Overview!$C$1*'[1]Burn Report'!$C44,0)</f>
        <v>0</v>
      </c>
      <c r="E44" s="116">
        <f>IF('[1]Burn Report'!G44=1,Overview!$C$1*'[1]Burn Report'!$C44,0)</f>
        <v>0</v>
      </c>
      <c r="F44" s="116">
        <f>IF('[1]Burn Report'!H44=1,Overview!$C$1*'[1]Burn Report'!$C44,0)</f>
        <v>0</v>
      </c>
      <c r="G44" s="116">
        <f>IF('[1]Burn Report'!I44=1,Overview!$C$1*'[1]Burn Report'!$C44,0)</f>
        <v>0</v>
      </c>
      <c r="J44" s="190">
        <f>IF('[1]Burn Report'!D44=1,'[1]Burn Report'!$C44,0)</f>
        <v>2</v>
      </c>
      <c r="K44" s="116">
        <f>IF('[1]Burn Report'!E44=1,'[1]Burn Report'!$C44,0)</f>
        <v>0</v>
      </c>
      <c r="L44" s="116">
        <f>IF('[1]Burn Report'!F44=1,'[1]Burn Report'!$C44,0)</f>
        <v>0</v>
      </c>
      <c r="M44" s="116">
        <f>IF('[1]Burn Report'!G44=1,'[1]Burn Report'!$C44,0)</f>
        <v>0</v>
      </c>
      <c r="N44" s="116">
        <f>IF('[1]Burn Report'!H44=1,'[1]Burn Report'!$C44,0)</f>
        <v>0</v>
      </c>
      <c r="O44" s="116">
        <f>IF('[1]Burn Report'!I44=1,'[1]Burn Report'!$C44,0)</f>
        <v>0</v>
      </c>
    </row>
    <row r="45" spans="1:15" x14ac:dyDescent="0.3">
      <c r="A45" s="116"/>
      <c r="B45" s="116">
        <f>IF('[1]Burn Report'!D45=1,Overview!$C$1*'[1]Burn Report'!$C45,0)</f>
        <v>0</v>
      </c>
      <c r="C45" s="116">
        <f>IF('[1]Burn Report'!E45=1,Overview!$C$1*'[1]Burn Report'!$C45,0)</f>
        <v>0</v>
      </c>
      <c r="D45" s="116">
        <f>IF('[1]Burn Report'!F45=1,Overview!$C$1*'[1]Burn Report'!$C45,0)</f>
        <v>0</v>
      </c>
      <c r="E45" s="116">
        <f>IF('[1]Burn Report'!G45=1,Overview!$C$1*'[1]Burn Report'!$C45,0)</f>
        <v>0</v>
      </c>
      <c r="F45" s="116">
        <f>IF('[1]Burn Report'!H45=1,Overview!$C$1*'[1]Burn Report'!$C45,0)</f>
        <v>0</v>
      </c>
      <c r="G45" s="116">
        <f>IF('[1]Burn Report'!I45=1,Overview!$C$1*'[1]Burn Report'!$C45,0)</f>
        <v>50</v>
      </c>
      <c r="J45" s="190">
        <f>IF('[1]Burn Report'!D45=1,'[1]Burn Report'!$C45,0)</f>
        <v>0</v>
      </c>
      <c r="K45" s="116">
        <f>IF('[1]Burn Report'!E45=1,'[1]Burn Report'!$C45,0)</f>
        <v>0</v>
      </c>
      <c r="L45" s="116">
        <f>IF('[1]Burn Report'!F45=1,'[1]Burn Report'!$C45,0)</f>
        <v>0</v>
      </c>
      <c r="M45" s="116">
        <f>IF('[1]Burn Report'!G45=1,'[1]Burn Report'!$C45,0)</f>
        <v>0</v>
      </c>
      <c r="N45" s="116">
        <f>IF('[1]Burn Report'!H45=1,'[1]Burn Report'!$C45,0)</f>
        <v>0</v>
      </c>
      <c r="O45" s="116">
        <f>IF('[1]Burn Report'!I45=1,'[1]Burn Report'!$C45,0)</f>
        <v>0.5</v>
      </c>
    </row>
    <row r="46" spans="1:15" x14ac:dyDescent="0.3">
      <c r="A46" s="116"/>
      <c r="B46" s="116">
        <f>IF('[1]Burn Report'!D46=1,'[1]Burn Report'!$J46,0)</f>
        <v>100</v>
      </c>
      <c r="C46" s="116">
        <f>IF('[1]Burn Report'!E46=1,Overview!$C$1*'[1]Burn Report'!$C46,0)</f>
        <v>0</v>
      </c>
      <c r="D46" s="116">
        <f>IF('[1]Burn Report'!F46=1,Overview!$C$1*'[1]Burn Report'!$C46,0)</f>
        <v>0</v>
      </c>
      <c r="E46" s="116">
        <f>IF('[1]Burn Report'!G46=1,Overview!$C$1*'[1]Burn Report'!$C46,0)</f>
        <v>0</v>
      </c>
      <c r="F46" s="116">
        <f>IF('[1]Burn Report'!H46=1,Overview!$C$1*'[1]Burn Report'!$C46,0)</f>
        <v>0</v>
      </c>
      <c r="G46" s="116">
        <f>IF('[1]Burn Report'!I46=1,Overview!$C$1*'[1]Burn Report'!$C46,0)</f>
        <v>0</v>
      </c>
      <c r="J46" s="190">
        <f>IF('[1]Burn Report'!D46=1,'[1]Burn Report'!$C46,0)</f>
        <v>1</v>
      </c>
      <c r="K46" s="116">
        <f>IF('[1]Burn Report'!E46=1,'[1]Burn Report'!$C46,0)</f>
        <v>0</v>
      </c>
      <c r="L46" s="116">
        <f>IF('[1]Burn Report'!F46=1,'[1]Burn Report'!$C46,0)</f>
        <v>0</v>
      </c>
      <c r="M46" s="116">
        <f>IF('[1]Burn Report'!G46=1,'[1]Burn Report'!$C46,0)</f>
        <v>0</v>
      </c>
      <c r="N46" s="116">
        <f>IF('[1]Burn Report'!H46=1,'[1]Burn Report'!$C46,0)</f>
        <v>0</v>
      </c>
      <c r="O46" s="116">
        <f>IF('[1]Burn Report'!I46=1,'[1]Burn Report'!$C46,0)</f>
        <v>0</v>
      </c>
    </row>
    <row r="47" spans="1:15" x14ac:dyDescent="0.3">
      <c r="A47" s="116"/>
      <c r="B47" s="116">
        <f>IF('[1]Burn Report'!D47=1,Overview!$C$1*'[1]Burn Report'!$C47,0)</f>
        <v>0</v>
      </c>
      <c r="C47" s="116">
        <f>IF('[1]Burn Report'!E47=1,Overview!$C$1*'[1]Burn Report'!$C47,0)</f>
        <v>0</v>
      </c>
      <c r="D47" s="116">
        <f>IF('[1]Burn Report'!F47=1,Overview!$C$1*'[1]Burn Report'!$C47,0)</f>
        <v>0</v>
      </c>
      <c r="E47" s="116">
        <f>IF('[1]Burn Report'!G47=1,Overview!$C$1*'[1]Burn Report'!$C47,0)</f>
        <v>0</v>
      </c>
      <c r="F47" s="116">
        <f>IF('[1]Burn Report'!H47=1,Overview!$C$1*'[1]Burn Report'!$C47,0)</f>
        <v>0</v>
      </c>
      <c r="G47" s="116">
        <f>IF('[1]Burn Report'!I47=1,Overview!$C$1*'[1]Burn Report'!$C47,0)</f>
        <v>0</v>
      </c>
      <c r="J47" s="190">
        <f>IF('[1]Burn Report'!D47=1,'[1]Burn Report'!$C47,0)</f>
        <v>0</v>
      </c>
      <c r="K47" s="116">
        <f>IF('[1]Burn Report'!E47=1,'[1]Burn Report'!$C47,0)</f>
        <v>0</v>
      </c>
      <c r="L47" s="116">
        <f>IF('[1]Burn Report'!F47=1,'[1]Burn Report'!$C47,0)</f>
        <v>0</v>
      </c>
      <c r="M47" s="116">
        <f>IF('[1]Burn Report'!G47=1,'[1]Burn Report'!$C47,0)</f>
        <v>0</v>
      </c>
      <c r="N47" s="116">
        <f>IF('[1]Burn Report'!H47=1,'[1]Burn Report'!$C47,0)</f>
        <v>0</v>
      </c>
      <c r="O47" s="116">
        <f>IF('[1]Burn Report'!I47=1,'[1]Burn Report'!$C47,0)</f>
        <v>0</v>
      </c>
    </row>
    <row r="48" spans="1:15" x14ac:dyDescent="0.3">
      <c r="A48" s="116"/>
      <c r="B48" s="116">
        <f>IF('[1]Burn Report'!D48=1,Overview!$C$1*'[1]Burn Report'!$C48,0)</f>
        <v>0</v>
      </c>
      <c r="C48" s="116">
        <f>IF('[1]Burn Report'!E48=1,Overview!$C$1*'[1]Burn Report'!$C48,0)</f>
        <v>0</v>
      </c>
      <c r="D48" s="116">
        <f>IF('[1]Burn Report'!F48=1,Overview!$C$1*'[1]Burn Report'!$C48,0)</f>
        <v>0</v>
      </c>
      <c r="E48" s="116">
        <f>IF('[1]Burn Report'!G48=1,Overview!$C$1*'[1]Burn Report'!$C48,0)</f>
        <v>0</v>
      </c>
      <c r="F48" s="116">
        <f>IF('[1]Burn Report'!H48=1,Overview!$C$1*'[1]Burn Report'!$C48,0)</f>
        <v>0</v>
      </c>
      <c r="G48" s="116">
        <f>IF('[1]Burn Report'!I48=1,Overview!$C$1*'[1]Burn Report'!$C48,0)</f>
        <v>0</v>
      </c>
      <c r="J48" s="190">
        <f>IF('[1]Burn Report'!D48=1,'[1]Burn Report'!$C48,0)</f>
        <v>0</v>
      </c>
      <c r="K48" s="116">
        <f>IF('[1]Burn Report'!E48=1,'[1]Burn Report'!$C48,0)</f>
        <v>0</v>
      </c>
      <c r="L48" s="116">
        <f>IF('[1]Burn Report'!F48=1,'[1]Burn Report'!$C48,0)</f>
        <v>0</v>
      </c>
      <c r="M48" s="116">
        <f>IF('[1]Burn Report'!G48=1,'[1]Burn Report'!$C48,0)</f>
        <v>0</v>
      </c>
      <c r="N48" s="116">
        <f>IF('[1]Burn Report'!H48=1,'[1]Burn Report'!$C48,0)</f>
        <v>0</v>
      </c>
      <c r="O48" s="116">
        <f>IF('[1]Burn Report'!I48=1,'[1]Burn Report'!$C48,0)</f>
        <v>0</v>
      </c>
    </row>
    <row r="49" spans="1:16" x14ac:dyDescent="0.3">
      <c r="A49" s="116"/>
      <c r="B49" s="116">
        <f>IF('[1]Burn Report'!D49=1,Overview!$C$1*'[1]Burn Report'!$C49,0)</f>
        <v>0</v>
      </c>
      <c r="C49" s="116">
        <f>IF('[1]Burn Report'!E49=1,Overview!$C$1*'[1]Burn Report'!$C49,0)</f>
        <v>0</v>
      </c>
      <c r="D49" s="116">
        <f>IF('[1]Burn Report'!F49=1,Overview!$C$1*'[1]Burn Report'!$C49,0)</f>
        <v>0</v>
      </c>
      <c r="E49" s="116">
        <f>IF('[1]Burn Report'!G49=1,Overview!$C$1*'[1]Burn Report'!$C49,0)</f>
        <v>0</v>
      </c>
      <c r="F49" s="116">
        <f>IF('[1]Burn Report'!H49=1,Overview!$C$1*'[1]Burn Report'!$C49,0)</f>
        <v>0</v>
      </c>
      <c r="G49" s="116">
        <f>IF('[1]Burn Report'!I49=1,Overview!$C$1*'[1]Burn Report'!$C49,0)</f>
        <v>0</v>
      </c>
      <c r="J49" s="190">
        <f>IF('[1]Burn Report'!D49=1,'[1]Burn Report'!$C49,0)</f>
        <v>0</v>
      </c>
      <c r="K49" s="116">
        <f>IF('[1]Burn Report'!E49=1,'[1]Burn Report'!$C49,0)</f>
        <v>0</v>
      </c>
      <c r="L49" s="116">
        <f>IF('[1]Burn Report'!F49=1,'[1]Burn Report'!$C49,0)</f>
        <v>0</v>
      </c>
      <c r="M49" s="116">
        <f>IF('[1]Burn Report'!G49=1,'[1]Burn Report'!$C49,0)</f>
        <v>0</v>
      </c>
      <c r="N49" s="116">
        <f>IF('[1]Burn Report'!H49=1,'[1]Burn Report'!$C49,0)</f>
        <v>0</v>
      </c>
      <c r="O49" s="116">
        <f>IF('[1]Burn Report'!I49=1,'[1]Burn Report'!$C49,0)</f>
        <v>0</v>
      </c>
    </row>
    <row r="50" spans="1:16" x14ac:dyDescent="0.3">
      <c r="A50" s="116"/>
      <c r="B50" s="116">
        <f>IF('[1]Burn Report'!D50=1,Overview!$C$1*'[1]Burn Report'!$C50,0)</f>
        <v>0</v>
      </c>
      <c r="C50" s="116">
        <f>IF('[1]Burn Report'!E50=1,Overview!$C$1*'[1]Burn Report'!$C50,0)</f>
        <v>0</v>
      </c>
      <c r="D50" s="116">
        <f>IF('[1]Burn Report'!F50=1,Overview!$C$1*'[1]Burn Report'!$C50,0)</f>
        <v>0</v>
      </c>
      <c r="E50" s="116">
        <f>IF('[1]Burn Report'!G50=1,Overview!$C$1*'[1]Burn Report'!$C50,0)</f>
        <v>0</v>
      </c>
      <c r="F50" s="116">
        <f>IF('[1]Burn Report'!H50=1,Overview!$C$1*'[1]Burn Report'!$C50,0)</f>
        <v>0</v>
      </c>
      <c r="G50" s="116">
        <f>IF('[1]Burn Report'!I50=1,Overview!$C$1*'[1]Burn Report'!$C50,0)</f>
        <v>0</v>
      </c>
      <c r="J50" s="190">
        <f>IF('[1]Burn Report'!D50=1,'[1]Burn Report'!$C50,0)</f>
        <v>0</v>
      </c>
      <c r="K50" s="116">
        <f>IF('[1]Burn Report'!E50=1,'[1]Burn Report'!$C50,0)</f>
        <v>0</v>
      </c>
      <c r="L50" s="116">
        <f>IF('[1]Burn Report'!F50=1,'[1]Burn Report'!$C50,0)</f>
        <v>0</v>
      </c>
      <c r="M50" s="116">
        <f>IF('[1]Burn Report'!G50=1,'[1]Burn Report'!$C50,0)</f>
        <v>0</v>
      </c>
      <c r="N50" s="116">
        <f>IF('[1]Burn Report'!H50=1,'[1]Burn Report'!$C50,0)</f>
        <v>0</v>
      </c>
      <c r="O50" s="116">
        <f>IF('[1]Burn Report'!I50=1,'[1]Burn Report'!$C50,0)</f>
        <v>0</v>
      </c>
    </row>
    <row r="51" spans="1:16" x14ac:dyDescent="0.3">
      <c r="A51" s="116"/>
      <c r="B51" s="116">
        <f>IF('[1]Burn Report'!D51=1,Overview!$C$1*'[1]Burn Report'!$C51,0)</f>
        <v>0</v>
      </c>
      <c r="C51" s="116">
        <f>IF('[1]Burn Report'!E51=1,Overview!$C$1*'[1]Burn Report'!$C51,0)</f>
        <v>0</v>
      </c>
      <c r="D51" s="116">
        <f>IF('[1]Burn Report'!F51=1,Overview!$C$1*'[1]Burn Report'!$C51,0)</f>
        <v>0</v>
      </c>
      <c r="E51" s="116">
        <f>IF('[1]Burn Report'!G51=1,Overview!$C$1*'[1]Burn Report'!$C51,0)</f>
        <v>0</v>
      </c>
      <c r="F51" s="116">
        <f>IF('[1]Burn Report'!H51=1,Overview!$C$1*'[1]Burn Report'!$C51,0)</f>
        <v>0</v>
      </c>
      <c r="G51" s="116">
        <f>IF('[1]Burn Report'!I51=1,Overview!$C$1*'[1]Burn Report'!$C51,0)</f>
        <v>0</v>
      </c>
      <c r="J51" s="190">
        <f>IF('[1]Burn Report'!D51=1,'[1]Burn Report'!$C51,0)</f>
        <v>0</v>
      </c>
      <c r="K51" s="116">
        <f>IF('[1]Burn Report'!E51=1,'[1]Burn Report'!$C51,0)</f>
        <v>0</v>
      </c>
      <c r="L51" s="116">
        <f>IF('[1]Burn Report'!F51=1,'[1]Burn Report'!$C51,0)</f>
        <v>0</v>
      </c>
      <c r="M51" s="116">
        <f>IF('[1]Burn Report'!G51=1,'[1]Burn Report'!$C51,0)</f>
        <v>0</v>
      </c>
      <c r="N51" s="116">
        <f>IF('[1]Burn Report'!H51=1,'[1]Burn Report'!$C51,0)</f>
        <v>0</v>
      </c>
      <c r="O51" s="116">
        <f>IF('[1]Burn Report'!I51=1,'[1]Burn Report'!$C51,0)</f>
        <v>0</v>
      </c>
    </row>
    <row r="52" spans="1:16" x14ac:dyDescent="0.3">
      <c r="A52" s="116"/>
      <c r="B52" s="116">
        <f>IF('[1]Burn Report'!D52=1,Overview!$C$1*'[1]Burn Report'!$C52,0)</f>
        <v>0</v>
      </c>
      <c r="C52" s="116">
        <f>IF('[1]Burn Report'!E52=1,Overview!$C$1*'[1]Burn Report'!$C52,0)</f>
        <v>0</v>
      </c>
      <c r="D52" s="116">
        <f>IF('[1]Burn Report'!F52=1,Overview!$C$1*'[1]Burn Report'!$C52,0)</f>
        <v>0</v>
      </c>
      <c r="E52" s="116">
        <f>IF('[1]Burn Report'!G52=1,Overview!$C$1*'[1]Burn Report'!$C52,0)</f>
        <v>0</v>
      </c>
      <c r="F52" s="116">
        <f>IF('[1]Burn Report'!H52=1,Overview!$C$1*'[1]Burn Report'!$C52,0)</f>
        <v>0</v>
      </c>
      <c r="G52" s="116">
        <f>IF('[1]Burn Report'!I52=1,Overview!$C$1*'[1]Burn Report'!$C52,0)</f>
        <v>0</v>
      </c>
      <c r="J52" s="190">
        <f>IF('[1]Burn Report'!D52=1,'[1]Burn Report'!$C52,0)</f>
        <v>0</v>
      </c>
      <c r="K52" s="116">
        <f>IF('[1]Burn Report'!E52=1,'[1]Burn Report'!$C52,0)</f>
        <v>0</v>
      </c>
      <c r="L52" s="116">
        <f>IF('[1]Burn Report'!F52=1,'[1]Burn Report'!$C52,0)</f>
        <v>0</v>
      </c>
      <c r="M52" s="116">
        <f>IF('[1]Burn Report'!G52=1,'[1]Burn Report'!$C52,0)</f>
        <v>0</v>
      </c>
      <c r="N52" s="116">
        <f>IF('[1]Burn Report'!H52=1,'[1]Burn Report'!$C52,0)</f>
        <v>0</v>
      </c>
      <c r="O52" s="116">
        <f>IF('[1]Burn Report'!I52=1,'[1]Burn Report'!$C52,0)</f>
        <v>0</v>
      </c>
    </row>
    <row r="53" spans="1:16" x14ac:dyDescent="0.3">
      <c r="A53" s="116"/>
      <c r="B53" s="116">
        <f>IF('[1]Burn Report'!D53=1,Overview!$C$1*'[1]Burn Report'!$C53,0)</f>
        <v>0</v>
      </c>
      <c r="C53" s="116">
        <f>IF('[1]Burn Report'!E53=1,Overview!$C$1*'[1]Burn Report'!$C53,0)</f>
        <v>0</v>
      </c>
      <c r="D53" s="116">
        <f>IF('[1]Burn Report'!F53=1,Overview!$C$1*'[1]Burn Report'!$C53,0)</f>
        <v>0</v>
      </c>
      <c r="E53" s="116">
        <f>IF('[1]Burn Report'!G53=1,Overview!$C$1*'[1]Burn Report'!$C53,0)</f>
        <v>0</v>
      </c>
      <c r="F53" s="116">
        <f>IF('[1]Burn Report'!H53=1,Overview!$C$1*'[1]Burn Report'!$C53,0)</f>
        <v>0</v>
      </c>
      <c r="G53" s="116">
        <f>IF('[1]Burn Report'!I53=1,Overview!$C$1*'[1]Burn Report'!$C53,0)</f>
        <v>0</v>
      </c>
      <c r="J53" s="190">
        <f>IF('[1]Burn Report'!D53=1,'[1]Burn Report'!$C53,0)</f>
        <v>0</v>
      </c>
      <c r="K53" s="116">
        <f>IF('[1]Burn Report'!E53=1,'[1]Burn Report'!$C53,0)</f>
        <v>0</v>
      </c>
      <c r="L53" s="116">
        <f>IF('[1]Burn Report'!F53=1,'[1]Burn Report'!$C53,0)</f>
        <v>0</v>
      </c>
      <c r="M53" s="116">
        <f>IF('[1]Burn Report'!G53=1,'[1]Burn Report'!$C53,0)</f>
        <v>0</v>
      </c>
      <c r="N53" s="116">
        <f>IF('[1]Burn Report'!H53=1,'[1]Burn Report'!$C53,0)</f>
        <v>0</v>
      </c>
      <c r="O53" s="116">
        <f>IF('[1]Burn Report'!I53=1,'[1]Burn Report'!$C53,0)</f>
        <v>0</v>
      </c>
    </row>
    <row r="54" spans="1:16" x14ac:dyDescent="0.3">
      <c r="A54" s="116"/>
      <c r="B54" s="116">
        <f>IF('[1]Burn Report'!D54=1,Overview!$C$1*'[1]Burn Report'!$C54,0)</f>
        <v>0</v>
      </c>
      <c r="C54" s="116">
        <f>IF('[1]Burn Report'!E54=1,Overview!$C$1*'[1]Burn Report'!$C54,0)</f>
        <v>0</v>
      </c>
      <c r="D54" s="116">
        <f>IF('[1]Burn Report'!F54=1,Overview!$C$1*'[1]Burn Report'!$C54,0)</f>
        <v>0</v>
      </c>
      <c r="E54" s="116">
        <f>IF('[1]Burn Report'!G54=1,Overview!$C$1*'[1]Burn Report'!$C54,0)</f>
        <v>0</v>
      </c>
      <c r="F54" s="116">
        <f>IF('[1]Burn Report'!H54=1,Overview!$C$1*'[1]Burn Report'!$C54,0)</f>
        <v>0</v>
      </c>
      <c r="G54" s="116">
        <f>IF('[1]Burn Report'!I54=1,Overview!$C$1*'[1]Burn Report'!$C54,0)</f>
        <v>0</v>
      </c>
      <c r="J54" s="190">
        <f>IF('[1]Burn Report'!D54=1,'[1]Burn Report'!$C54,0)</f>
        <v>0</v>
      </c>
      <c r="K54" s="116">
        <f>IF('[1]Burn Report'!E54=1,'[1]Burn Report'!$C54,0)</f>
        <v>0</v>
      </c>
      <c r="L54" s="116">
        <f>IF('[1]Burn Report'!F54=1,'[1]Burn Report'!$C54,0)</f>
        <v>0</v>
      </c>
      <c r="M54" s="116">
        <f>IF('[1]Burn Report'!G54=1,'[1]Burn Report'!$C54,0)</f>
        <v>0</v>
      </c>
      <c r="N54" s="116">
        <f>IF('[1]Burn Report'!H54=1,'[1]Burn Report'!$C54,0)</f>
        <v>0</v>
      </c>
      <c r="O54" s="116">
        <f>IF('[1]Burn Report'!I54=1,'[1]Burn Report'!$C54,0)</f>
        <v>0</v>
      </c>
    </row>
    <row r="55" spans="1:16" x14ac:dyDescent="0.3">
      <c r="A55" s="116"/>
      <c r="B55" s="116">
        <f>IF('[1]Burn Report'!D55=1,Overview!$C$1*'[1]Burn Report'!$C55,0)</f>
        <v>0</v>
      </c>
      <c r="C55" s="116">
        <f>IF('[1]Burn Report'!E55=1,Overview!$C$1*'[1]Burn Report'!$C55,0)</f>
        <v>0</v>
      </c>
      <c r="D55" s="116">
        <f>IF('[1]Burn Report'!F55=1,Overview!$C$1*'[1]Burn Report'!$C55,0)</f>
        <v>0</v>
      </c>
      <c r="E55" s="116">
        <f>IF('[1]Burn Report'!G55=1,Overview!$C$1*'[1]Burn Report'!$C55,0)</f>
        <v>0</v>
      </c>
      <c r="F55" s="116">
        <f>IF('[1]Burn Report'!H55=1,Overview!$C$1*'[1]Burn Report'!$C55,0)</f>
        <v>0</v>
      </c>
      <c r="G55" s="116">
        <f>IF('[1]Burn Report'!I55=1,Overview!$C$1*'[1]Burn Report'!$C55,0)</f>
        <v>0</v>
      </c>
      <c r="J55" s="190">
        <f>IF('[1]Burn Report'!D55=1,'[1]Burn Report'!$C55,0)</f>
        <v>0</v>
      </c>
      <c r="K55" s="116">
        <f>IF('[1]Burn Report'!E55=1,'[1]Burn Report'!$C55,0)</f>
        <v>0</v>
      </c>
      <c r="L55" s="116">
        <f>IF('[1]Burn Report'!F55=1,'[1]Burn Report'!$C55,0)</f>
        <v>0</v>
      </c>
      <c r="M55" s="116">
        <f>IF('[1]Burn Report'!G55=1,'[1]Burn Report'!$C55,0)</f>
        <v>0</v>
      </c>
      <c r="N55" s="116">
        <f>IF('[1]Burn Report'!H55=1,'[1]Burn Report'!$C55,0)</f>
        <v>0</v>
      </c>
      <c r="O55" s="116">
        <f>IF('[1]Burn Report'!I55=1,'[1]Burn Report'!$C55,0)</f>
        <v>0</v>
      </c>
    </row>
    <row r="56" spans="1:16" x14ac:dyDescent="0.3">
      <c r="A56" s="116"/>
      <c r="B56" s="116">
        <f>IF('[1]Burn Report'!D56=1,Overview!$C$1*'[1]Burn Report'!$C56,0)</f>
        <v>0</v>
      </c>
      <c r="C56" s="116">
        <f>IF('[1]Burn Report'!E56=1,Overview!$C$1*'[1]Burn Report'!$C56,0)</f>
        <v>0</v>
      </c>
      <c r="D56" s="116">
        <f>IF('[1]Burn Report'!F56=1,Overview!$C$1*'[1]Burn Report'!$C56,0)</f>
        <v>0</v>
      </c>
      <c r="E56" s="116">
        <f>IF('[1]Burn Report'!G56=1,Overview!$C$1*'[1]Burn Report'!$C56,0)</f>
        <v>0</v>
      </c>
      <c r="F56" s="116">
        <f>IF('[1]Burn Report'!H56=1,Overview!$C$1*'[1]Burn Report'!$C56,0)</f>
        <v>0</v>
      </c>
      <c r="G56" s="116">
        <f>IF('[1]Burn Report'!I56=1,Overview!$C$1*'[1]Burn Report'!$C56,0)</f>
        <v>0</v>
      </c>
      <c r="J56" s="190">
        <f>IF('[1]Burn Report'!D56=1,'[1]Burn Report'!$C56,0)</f>
        <v>0</v>
      </c>
      <c r="K56" s="116">
        <f>IF('[1]Burn Report'!E56=1,'[1]Burn Report'!$C56,0)</f>
        <v>0</v>
      </c>
      <c r="L56" s="116">
        <f>IF('[1]Burn Report'!F56=1,'[1]Burn Report'!$C56,0)</f>
        <v>0</v>
      </c>
      <c r="M56" s="116">
        <f>IF('[1]Burn Report'!G56=1,'[1]Burn Report'!$C56,0)</f>
        <v>0</v>
      </c>
      <c r="N56" s="116">
        <f>IF('[1]Burn Report'!H56=1,'[1]Burn Report'!$C56,0)</f>
        <v>0</v>
      </c>
      <c r="O56" s="116">
        <f>IF('[1]Burn Report'!I56=1,'[1]Burn Report'!$C56,0)</f>
        <v>0</v>
      </c>
    </row>
    <row r="57" spans="1:16" x14ac:dyDescent="0.3">
      <c r="A57" s="116"/>
      <c r="B57" s="116">
        <f>IF('[1]Burn Report'!D57=1,Overview!$C$1*'[1]Burn Report'!$C57,0)</f>
        <v>0</v>
      </c>
      <c r="C57" s="116">
        <f>IF('[1]Burn Report'!E57=1,Overview!$C$1*'[1]Burn Report'!$C57,0)</f>
        <v>0</v>
      </c>
      <c r="D57" s="116">
        <f>IF('[1]Burn Report'!F57=1,Overview!$C$1*'[1]Burn Report'!$C57,0)</f>
        <v>0</v>
      </c>
      <c r="E57" s="116">
        <f>IF('[1]Burn Report'!G57=1,Overview!$C$1*'[1]Burn Report'!$C57,0)</f>
        <v>0</v>
      </c>
      <c r="F57" s="116">
        <f>IF('[1]Burn Report'!H57=1,Overview!$C$1*'[1]Burn Report'!$C57,0)</f>
        <v>0</v>
      </c>
      <c r="G57" s="116">
        <f>IF('[1]Burn Report'!I57=1,Overview!$C$1*'[1]Burn Report'!$C57,0)</f>
        <v>0</v>
      </c>
      <c r="J57" s="190">
        <f>IF('[1]Burn Report'!D57=1,'[1]Burn Report'!$C57,0)</f>
        <v>0</v>
      </c>
      <c r="K57" s="116">
        <f>IF('[1]Burn Report'!E57=1,'[1]Burn Report'!$C57,0)</f>
        <v>0</v>
      </c>
      <c r="L57" s="116">
        <f>IF('[1]Burn Report'!F57=1,'[1]Burn Report'!$C57,0)</f>
        <v>0</v>
      </c>
      <c r="M57" s="116">
        <f>IF('[1]Burn Report'!G57=1,'[1]Burn Report'!$C57,0)</f>
        <v>0</v>
      </c>
      <c r="N57" s="116">
        <f>IF('[1]Burn Report'!H57=1,'[1]Burn Report'!$C57,0)</f>
        <v>0</v>
      </c>
      <c r="O57" s="116">
        <f>IF('[1]Burn Report'!I57=1,'[1]Burn Report'!$C57,0)</f>
        <v>0</v>
      </c>
    </row>
    <row r="58" spans="1:16" x14ac:dyDescent="0.3">
      <c r="A58" s="116"/>
      <c r="B58" s="116">
        <f>IF('[1]Burn Report'!D58=1,Overview!$C$1*'[1]Burn Report'!$C58,0)</f>
        <v>0</v>
      </c>
      <c r="C58" s="116">
        <f>IF('[1]Burn Report'!E58=1,Overview!$C$1*'[1]Burn Report'!$C58,0)</f>
        <v>0</v>
      </c>
      <c r="D58" s="116">
        <f>IF('[1]Burn Report'!F58=1,Overview!$C$1*'[1]Burn Report'!$C58,0)</f>
        <v>0</v>
      </c>
      <c r="E58" s="116">
        <f>IF('[1]Burn Report'!G58=1,Overview!$C$1*'[1]Burn Report'!$C58,0)</f>
        <v>0</v>
      </c>
      <c r="F58" s="116">
        <f>IF('[1]Burn Report'!H58=1,Overview!$C$1*'[1]Burn Report'!$C58,0)</f>
        <v>0</v>
      </c>
      <c r="G58" s="116">
        <f>IF('[1]Burn Report'!I58=1,Overview!$C$1*'[1]Burn Report'!$C58,0)</f>
        <v>0</v>
      </c>
      <c r="J58" s="190">
        <f>IF('[1]Burn Report'!D58=1,'[1]Burn Report'!$C58,0)</f>
        <v>0</v>
      </c>
      <c r="K58" s="116">
        <f>IF('[1]Burn Report'!E58=1,'[1]Burn Report'!$C58,0)</f>
        <v>0</v>
      </c>
      <c r="L58" s="116">
        <f>IF('[1]Burn Report'!F58=1,'[1]Burn Report'!$C58,0)</f>
        <v>0</v>
      </c>
      <c r="M58" s="116">
        <f>IF('[1]Burn Report'!G58=1,'[1]Burn Report'!$C58,0)</f>
        <v>0</v>
      </c>
      <c r="N58" s="116">
        <f>IF('[1]Burn Report'!H58=1,'[1]Burn Report'!$C58,0)</f>
        <v>0</v>
      </c>
      <c r="O58" s="116">
        <f>IF('[1]Burn Report'!I58=1,'[1]Burn Report'!$C58,0)</f>
        <v>0</v>
      </c>
    </row>
    <row r="59" spans="1:16" x14ac:dyDescent="0.3">
      <c r="A59" s="116"/>
      <c r="B59" s="116">
        <f>IF('[1]Burn Report'!D59=1,Overview!$C$1*'[1]Burn Report'!$C59,0)</f>
        <v>0</v>
      </c>
      <c r="C59" s="116">
        <f>IF('[1]Burn Report'!E59=1,Overview!$C$1*'[1]Burn Report'!$C59,0)</f>
        <v>0</v>
      </c>
      <c r="D59" s="116">
        <f>IF('[1]Burn Report'!F59=1,Overview!$C$1*'[1]Burn Report'!$C59,0)</f>
        <v>0</v>
      </c>
      <c r="E59" s="116">
        <f>IF('[1]Burn Report'!G59=1,Overview!$C$1*'[1]Burn Report'!$C59,0)</f>
        <v>0</v>
      </c>
      <c r="F59" s="116">
        <f>IF('[1]Burn Report'!H59=1,Overview!$C$1*'[1]Burn Report'!$C59,0)</f>
        <v>0</v>
      </c>
      <c r="G59" s="116">
        <f>IF('[1]Burn Report'!I59=1,Overview!$C$1*'[1]Burn Report'!$C59,0)</f>
        <v>0</v>
      </c>
      <c r="J59" s="190">
        <f>IF('[1]Burn Report'!D59=1,'[1]Burn Report'!$C59,0)</f>
        <v>0</v>
      </c>
      <c r="K59" s="116">
        <f>IF('[1]Burn Report'!E59=1,'[1]Burn Report'!$C59,0)</f>
        <v>0</v>
      </c>
      <c r="L59" s="116">
        <f>IF('[1]Burn Report'!F59=1,'[1]Burn Report'!$C59,0)</f>
        <v>0</v>
      </c>
      <c r="M59" s="116">
        <f>IF('[1]Burn Report'!G59=1,'[1]Burn Report'!$C59,0)</f>
        <v>0</v>
      </c>
      <c r="N59" s="116">
        <f>IF('[1]Burn Report'!H59=1,'[1]Burn Report'!$C59,0)</f>
        <v>0</v>
      </c>
      <c r="O59" s="116">
        <f>IF('[1]Burn Report'!I59=1,'[1]Burn Report'!$C59,0)</f>
        <v>0</v>
      </c>
    </row>
    <row r="60" spans="1:16" x14ac:dyDescent="0.3">
      <c r="A60" s="116"/>
      <c r="B60" s="116">
        <f>IF('[1]Burn Report'!D60=1,Overview!$C$1*'[1]Burn Report'!$C60,0)</f>
        <v>0</v>
      </c>
      <c r="C60" s="116">
        <f>IF('[1]Burn Report'!E60=1,Overview!$C$1*'[1]Burn Report'!$C60,0)</f>
        <v>0</v>
      </c>
      <c r="D60" s="116">
        <f>IF('[1]Burn Report'!F60=1,Overview!$C$1*'[1]Burn Report'!$C60,0)</f>
        <v>0</v>
      </c>
      <c r="E60" s="116">
        <f>IF('[1]Burn Report'!G60=1,Overview!$C$1*'[1]Burn Report'!$C60,0)</f>
        <v>0</v>
      </c>
      <c r="F60" s="116">
        <f>IF('[1]Burn Report'!H60=1,Overview!$C$1*'[1]Burn Report'!$C60,0)</f>
        <v>0</v>
      </c>
      <c r="G60" s="116">
        <f>IF('[1]Burn Report'!I60=1,Overview!$C$1*'[1]Burn Report'!$C60,0)</f>
        <v>0</v>
      </c>
      <c r="J60" s="190">
        <f>IF('[1]Burn Report'!D60=1,'[1]Burn Report'!$C60,0)</f>
        <v>0</v>
      </c>
      <c r="K60" s="116">
        <f>IF('[1]Burn Report'!E60=1,'[1]Burn Report'!$C60,0)</f>
        <v>0</v>
      </c>
      <c r="L60" s="116">
        <f>IF('[1]Burn Report'!F60=1,'[1]Burn Report'!$C60,0)</f>
        <v>0</v>
      </c>
      <c r="M60" s="116">
        <f>IF('[1]Burn Report'!G60=1,'[1]Burn Report'!$C60,0)</f>
        <v>0</v>
      </c>
      <c r="N60" s="116">
        <f>IF('[1]Burn Report'!H60=1,'[1]Burn Report'!$C60,0)</f>
        <v>0</v>
      </c>
      <c r="O60" s="116">
        <f>IF('[1]Burn Report'!I60=1,'[1]Burn Report'!$C60,0)</f>
        <v>0</v>
      </c>
    </row>
    <row r="61" spans="1:16" x14ac:dyDescent="0.3">
      <c r="A61" s="116"/>
      <c r="B61" s="116">
        <f>IF('[1]Burn Report'!D61=1,Overview!$C$1*'[1]Burn Report'!$C61,0)</f>
        <v>0</v>
      </c>
      <c r="C61" s="116">
        <f>IF('[1]Burn Report'!E61=1,Overview!$C$1*'[1]Burn Report'!$C61,0)</f>
        <v>0</v>
      </c>
      <c r="D61" s="116">
        <f>IF('[1]Burn Report'!F61=1,Overview!$C$1*'[1]Burn Report'!$C61,0)</f>
        <v>0</v>
      </c>
      <c r="E61" s="116">
        <f>IF('[1]Burn Report'!G61=1,Overview!$C$1*'[1]Burn Report'!$C61,0)</f>
        <v>0</v>
      </c>
      <c r="F61" s="116">
        <f>IF('[1]Burn Report'!H61=1,Overview!$C$1*'[1]Burn Report'!$C61,0)</f>
        <v>0</v>
      </c>
      <c r="G61" s="116">
        <f>IF('[1]Burn Report'!I61=1,Overview!$C$1*'[1]Burn Report'!$C61,0)</f>
        <v>0</v>
      </c>
      <c r="J61" s="190">
        <f>IF('[1]Burn Report'!D61=1,'[1]Burn Report'!$C61,0)</f>
        <v>0</v>
      </c>
      <c r="K61" s="116">
        <f>IF('[1]Burn Report'!E61=1,'[1]Burn Report'!$C61,0)</f>
        <v>0</v>
      </c>
      <c r="L61" s="116">
        <f>IF('[1]Burn Report'!F61=1,'[1]Burn Report'!$C61,0)</f>
        <v>0</v>
      </c>
      <c r="M61" s="116">
        <f>IF('[1]Burn Report'!G61=1,'[1]Burn Report'!$C61,0)</f>
        <v>0</v>
      </c>
      <c r="N61" s="116">
        <f>IF('[1]Burn Report'!H61=1,'[1]Burn Report'!$C61,0)</f>
        <v>0</v>
      </c>
      <c r="O61" s="116">
        <f>IF('[1]Burn Report'!I61=1,'[1]Burn Report'!$C61,0)</f>
        <v>0</v>
      </c>
    </row>
    <row r="62" spans="1:16" x14ac:dyDescent="0.3">
      <c r="A62" s="116" t="s">
        <v>133</v>
      </c>
      <c r="B62" s="191">
        <f t="shared" ref="B62:G62" si="0">SUM(B4:B61)</f>
        <v>1575</v>
      </c>
      <c r="C62" s="191">
        <f t="shared" si="0"/>
        <v>1450</v>
      </c>
      <c r="D62" s="191">
        <f t="shared" si="0"/>
        <v>250</v>
      </c>
      <c r="E62" s="191">
        <f t="shared" si="0"/>
        <v>750</v>
      </c>
      <c r="F62" s="191">
        <f t="shared" si="0"/>
        <v>550</v>
      </c>
      <c r="G62" s="191">
        <f t="shared" si="0"/>
        <v>1200</v>
      </c>
      <c r="H62" s="191">
        <f>SUM(B62:G62)</f>
        <v>5775</v>
      </c>
      <c r="J62" s="190">
        <f>SUM(J4:J61)</f>
        <v>15.75</v>
      </c>
      <c r="K62" s="190">
        <f t="shared" ref="K62:O62" si="1">SUM(K4:K61)</f>
        <v>14.5</v>
      </c>
      <c r="L62" s="190">
        <f t="shared" si="1"/>
        <v>2.5</v>
      </c>
      <c r="M62" s="190">
        <f t="shared" si="1"/>
        <v>7.5</v>
      </c>
      <c r="N62" s="190">
        <f t="shared" si="1"/>
        <v>5.5</v>
      </c>
      <c r="O62" s="190">
        <f t="shared" si="1"/>
        <v>12</v>
      </c>
      <c r="P62" s="190">
        <f>SUM(J62:O62)</f>
        <v>57.75</v>
      </c>
    </row>
  </sheetData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  <pageSetUpPr fitToPage="1"/>
  </sheetPr>
  <dimension ref="B1:BP84"/>
  <sheetViews>
    <sheetView showGridLines="0" zoomScale="55" zoomScaleNormal="55" zoomScaleSheetLayoutView="80" workbookViewId="0">
      <pane ySplit="4" topLeftCell="A50" activePane="bottomLeft" state="frozen"/>
      <selection pane="bottomLeft" activeCell="I1" sqref="I1"/>
    </sheetView>
  </sheetViews>
  <sheetFormatPr defaultColWidth="3.109375" defaultRowHeight="30" customHeight="1" outlineLevelRow="1" x14ac:dyDescent="0.35"/>
  <cols>
    <col min="1" max="1" width="3" style="126" customWidth="1"/>
    <col min="2" max="2" width="46.44140625" style="172" customWidth="1"/>
    <col min="3" max="3" width="18.44140625" style="173" bestFit="1" customWidth="1"/>
    <col min="4" max="4" width="11.5546875" style="125" bestFit="1" customWidth="1"/>
    <col min="5" max="5" width="10.88671875" style="125" bestFit="1" customWidth="1"/>
    <col min="6" max="6" width="8" style="125" bestFit="1" customWidth="1"/>
    <col min="7" max="7" width="10.88671875" style="125" bestFit="1" customWidth="1"/>
    <col min="8" max="8" width="17.44140625" style="174" bestFit="1" customWidth="1"/>
    <col min="9" max="9" width="4.88671875" style="125" customWidth="1"/>
    <col min="10" max="28" width="3.109375" style="125"/>
    <col min="29" max="16384" width="3.109375" style="126"/>
  </cols>
  <sheetData>
    <row r="1" spans="2:68" ht="54.6" thickBot="1" x14ac:dyDescent="1.05">
      <c r="B1" s="122" t="s">
        <v>0</v>
      </c>
      <c r="C1" s="123"/>
      <c r="D1" s="124"/>
      <c r="E1" s="124"/>
      <c r="F1" s="124"/>
      <c r="G1" s="124"/>
      <c r="H1" s="124"/>
    </row>
    <row r="2" spans="2:68" ht="21" customHeight="1" thickTop="1" thickBot="1" x14ac:dyDescent="0.35">
      <c r="B2" s="212">
        <f ca="1">NOW()</f>
        <v>43192.990386921294</v>
      </c>
      <c r="C2" s="212"/>
      <c r="D2" s="212"/>
      <c r="E2" s="212"/>
      <c r="F2" s="212"/>
      <c r="G2" s="212"/>
      <c r="H2" s="127" t="s">
        <v>1</v>
      </c>
      <c r="I2" s="127">
        <f ca="1">DAY(NOW())+31</f>
        <v>33</v>
      </c>
      <c r="K2" s="128"/>
      <c r="L2" s="213" t="s">
        <v>2</v>
      </c>
      <c r="M2" s="214"/>
      <c r="N2" s="214"/>
      <c r="O2" s="214"/>
      <c r="P2" s="215"/>
      <c r="Q2" s="129"/>
      <c r="R2" s="213" t="s">
        <v>3</v>
      </c>
      <c r="S2" s="216"/>
      <c r="T2" s="216"/>
      <c r="U2" s="215"/>
      <c r="V2" s="130"/>
      <c r="W2" s="210" t="s">
        <v>173</v>
      </c>
      <c r="X2" s="211"/>
      <c r="Y2" s="211"/>
      <c r="Z2" s="217"/>
      <c r="AA2" s="131"/>
      <c r="AB2" s="218" t="s">
        <v>174</v>
      </c>
      <c r="AC2" s="219"/>
      <c r="AD2" s="219"/>
      <c r="AE2" s="219"/>
      <c r="AF2" s="219"/>
      <c r="AG2" s="219"/>
      <c r="AH2" s="220"/>
      <c r="AI2" s="132"/>
      <c r="AJ2" s="210" t="s">
        <v>175</v>
      </c>
      <c r="AK2" s="211"/>
      <c r="AL2" s="211"/>
      <c r="AM2" s="211"/>
      <c r="AN2" s="211"/>
      <c r="AO2" s="211"/>
      <c r="AP2" s="211"/>
      <c r="AQ2" s="211"/>
    </row>
    <row r="3" spans="2:68" s="136" customFormat="1" ht="39.9" customHeight="1" thickTop="1" x14ac:dyDescent="0.3">
      <c r="B3" s="205" t="s">
        <v>7</v>
      </c>
      <c r="C3" s="207" t="s">
        <v>8</v>
      </c>
      <c r="D3" s="209" t="s">
        <v>9</v>
      </c>
      <c r="E3" s="209" t="s">
        <v>10</v>
      </c>
      <c r="F3" s="209" t="s">
        <v>11</v>
      </c>
      <c r="G3" s="209" t="s">
        <v>12</v>
      </c>
      <c r="H3" s="203" t="s">
        <v>13</v>
      </c>
      <c r="I3" s="133" t="s">
        <v>14</v>
      </c>
      <c r="J3" s="134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N3" s="137" t="s">
        <v>15</v>
      </c>
    </row>
    <row r="4" spans="2:68" ht="15.75" customHeight="1" x14ac:dyDescent="0.3">
      <c r="B4" s="206"/>
      <c r="C4" s="208"/>
      <c r="D4" s="204"/>
      <c r="E4" s="204"/>
      <c r="F4" s="204"/>
      <c r="G4" s="204"/>
      <c r="H4" s="204"/>
      <c r="I4" s="138">
        <v>1</v>
      </c>
      <c r="J4" s="138">
        <v>2</v>
      </c>
      <c r="K4" s="138">
        <v>3</v>
      </c>
      <c r="L4" s="138">
        <v>4</v>
      </c>
      <c r="M4" s="138">
        <v>5</v>
      </c>
      <c r="N4" s="138">
        <v>6</v>
      </c>
      <c r="O4" s="138">
        <v>7</v>
      </c>
      <c r="P4" s="138">
        <v>8</v>
      </c>
      <c r="Q4" s="138">
        <v>9</v>
      </c>
      <c r="R4" s="138">
        <v>10</v>
      </c>
      <c r="S4" s="138">
        <v>11</v>
      </c>
      <c r="T4" s="138">
        <v>12</v>
      </c>
      <c r="U4" s="138">
        <v>13</v>
      </c>
      <c r="V4" s="138">
        <v>14</v>
      </c>
      <c r="W4" s="138">
        <v>15</v>
      </c>
      <c r="X4" s="138">
        <v>16</v>
      </c>
      <c r="Y4" s="138">
        <v>17</v>
      </c>
      <c r="Z4" s="138">
        <v>18</v>
      </c>
      <c r="AA4" s="138">
        <v>19</v>
      </c>
      <c r="AB4" s="138">
        <v>20</v>
      </c>
      <c r="AC4" s="138">
        <v>21</v>
      </c>
      <c r="AD4" s="138">
        <v>22</v>
      </c>
      <c r="AE4" s="138">
        <v>23</v>
      </c>
      <c r="AF4" s="138">
        <v>24</v>
      </c>
      <c r="AG4" s="138">
        <v>25</v>
      </c>
      <c r="AH4" s="138">
        <v>26</v>
      </c>
      <c r="AI4" s="138">
        <v>27</v>
      </c>
      <c r="AJ4" s="138">
        <v>28</v>
      </c>
      <c r="AK4" s="138">
        <v>29</v>
      </c>
      <c r="AL4" s="138">
        <v>30</v>
      </c>
      <c r="AM4" s="138">
        <v>31</v>
      </c>
      <c r="AN4" s="138">
        <v>32</v>
      </c>
      <c r="AO4" s="138">
        <v>33</v>
      </c>
      <c r="AP4" s="138">
        <v>34</v>
      </c>
      <c r="AQ4" s="138">
        <v>35</v>
      </c>
      <c r="AR4" s="138">
        <v>36</v>
      </c>
      <c r="AS4" s="138">
        <v>37</v>
      </c>
      <c r="AT4" s="138">
        <v>38</v>
      </c>
      <c r="AU4" s="138">
        <v>39</v>
      </c>
      <c r="AV4" s="138">
        <v>40</v>
      </c>
      <c r="AW4" s="138">
        <v>41</v>
      </c>
      <c r="AX4" s="138">
        <v>42</v>
      </c>
      <c r="AY4" s="138">
        <v>43</v>
      </c>
      <c r="AZ4" s="138">
        <v>44</v>
      </c>
      <c r="BA4" s="138">
        <v>45</v>
      </c>
      <c r="BB4" s="138">
        <v>46</v>
      </c>
      <c r="BC4" s="138">
        <v>47</v>
      </c>
      <c r="BD4" s="138">
        <v>48</v>
      </c>
      <c r="BE4" s="138">
        <v>49</v>
      </c>
      <c r="BF4" s="138">
        <v>50</v>
      </c>
      <c r="BG4" s="138">
        <v>51</v>
      </c>
      <c r="BH4" s="138">
        <v>52</v>
      </c>
      <c r="BI4" s="138">
        <v>53</v>
      </c>
      <c r="BJ4" s="138">
        <v>54</v>
      </c>
      <c r="BK4" s="138">
        <v>55</v>
      </c>
      <c r="BL4" s="138">
        <v>56</v>
      </c>
      <c r="BM4" s="138">
        <v>57</v>
      </c>
      <c r="BN4" s="138">
        <v>58</v>
      </c>
      <c r="BO4" s="138">
        <v>59</v>
      </c>
      <c r="BP4" s="138">
        <v>60</v>
      </c>
    </row>
    <row r="5" spans="2:68" ht="17.399999999999999" x14ac:dyDescent="0.35">
      <c r="B5" s="139" t="s">
        <v>19</v>
      </c>
      <c r="C5" s="140"/>
      <c r="D5" s="141"/>
      <c r="E5" s="141"/>
      <c r="F5" s="141"/>
      <c r="G5" s="141"/>
      <c r="H5" s="142"/>
    </row>
    <row r="6" spans="2:68" ht="17.399999999999999" outlineLevel="1" x14ac:dyDescent="0.3">
      <c r="B6" s="143" t="s">
        <v>62</v>
      </c>
      <c r="C6" s="144" t="s">
        <v>63</v>
      </c>
      <c r="D6" s="141">
        <v>1</v>
      </c>
      <c r="E6" s="141">
        <v>6</v>
      </c>
      <c r="F6" s="141">
        <v>1</v>
      </c>
      <c r="G6" s="141">
        <v>14</v>
      </c>
      <c r="H6" s="142">
        <v>1</v>
      </c>
    </row>
    <row r="7" spans="2:68" ht="17.399999999999999" outlineLevel="1" x14ac:dyDescent="0.3">
      <c r="B7" s="145" t="s">
        <v>64</v>
      </c>
      <c r="C7" s="146" t="s">
        <v>63</v>
      </c>
      <c r="D7" s="141">
        <v>1</v>
      </c>
      <c r="E7" s="141">
        <v>8</v>
      </c>
      <c r="F7" s="141">
        <v>8</v>
      </c>
      <c r="G7" s="141">
        <v>2</v>
      </c>
      <c r="H7" s="142">
        <v>1</v>
      </c>
    </row>
    <row r="8" spans="2:68" ht="17.399999999999999" outlineLevel="1" x14ac:dyDescent="0.3">
      <c r="B8" s="147" t="s">
        <v>65</v>
      </c>
      <c r="C8" s="146" t="s">
        <v>66</v>
      </c>
      <c r="D8" s="141">
        <v>1</v>
      </c>
      <c r="E8" s="141">
        <v>8</v>
      </c>
      <c r="F8" s="141">
        <v>6</v>
      </c>
      <c r="G8" s="141">
        <v>3</v>
      </c>
      <c r="H8" s="142">
        <v>1</v>
      </c>
    </row>
    <row r="9" spans="2:68" ht="17.399999999999999" outlineLevel="1" x14ac:dyDescent="0.3">
      <c r="B9" s="147" t="s">
        <v>67</v>
      </c>
      <c r="C9" s="146" t="s">
        <v>66</v>
      </c>
      <c r="D9" s="141">
        <v>6</v>
      </c>
      <c r="E9" s="141">
        <v>13</v>
      </c>
      <c r="F9" s="141">
        <v>20</v>
      </c>
      <c r="G9" s="141">
        <v>0</v>
      </c>
      <c r="H9" s="142">
        <v>0.5</v>
      </c>
    </row>
    <row r="10" spans="2:68" ht="17.399999999999999" outlineLevel="1" x14ac:dyDescent="0.3">
      <c r="B10" s="145" t="s">
        <v>68</v>
      </c>
      <c r="C10" s="146" t="s">
        <v>69</v>
      </c>
      <c r="D10" s="141">
        <v>1</v>
      </c>
      <c r="E10" s="141">
        <v>6</v>
      </c>
      <c r="F10" s="141">
        <v>4</v>
      </c>
      <c r="G10" s="141">
        <v>2</v>
      </c>
      <c r="H10" s="142">
        <v>1</v>
      </c>
    </row>
    <row r="11" spans="2:68" ht="17.399999999999999" outlineLevel="1" x14ac:dyDescent="0.3">
      <c r="B11" s="147" t="s">
        <v>70</v>
      </c>
      <c r="C11" s="146" t="s">
        <v>63</v>
      </c>
      <c r="D11" s="141">
        <v>13</v>
      </c>
      <c r="E11" s="141">
        <v>5</v>
      </c>
      <c r="F11" s="141">
        <v>13</v>
      </c>
      <c r="G11" s="141">
        <v>1</v>
      </c>
      <c r="H11" s="142">
        <v>1</v>
      </c>
    </row>
    <row r="12" spans="2:68" ht="17.399999999999999" outlineLevel="1" x14ac:dyDescent="0.3">
      <c r="B12" s="148" t="s">
        <v>71</v>
      </c>
      <c r="C12" s="146" t="s">
        <v>72</v>
      </c>
      <c r="D12" s="141">
        <v>13</v>
      </c>
      <c r="E12" s="141">
        <v>5</v>
      </c>
      <c r="F12" s="141">
        <v>13</v>
      </c>
      <c r="G12" s="141">
        <v>1</v>
      </c>
      <c r="H12" s="142">
        <v>1</v>
      </c>
    </row>
    <row r="13" spans="2:68" ht="17.399999999999999" outlineLevel="1" x14ac:dyDescent="0.3">
      <c r="B13" s="148" t="s">
        <v>73</v>
      </c>
      <c r="C13" s="146" t="s">
        <v>74</v>
      </c>
      <c r="D13" s="141">
        <v>13</v>
      </c>
      <c r="E13" s="141">
        <v>5</v>
      </c>
      <c r="F13" s="141">
        <v>13</v>
      </c>
      <c r="G13" s="141">
        <v>1</v>
      </c>
      <c r="H13" s="142">
        <v>1</v>
      </c>
    </row>
    <row r="14" spans="2:68" ht="17.399999999999999" outlineLevel="1" x14ac:dyDescent="0.3">
      <c r="B14" s="148" t="s">
        <v>75</v>
      </c>
      <c r="C14" s="146" t="s">
        <v>72</v>
      </c>
      <c r="D14" s="141">
        <v>13</v>
      </c>
      <c r="E14" s="141">
        <v>5</v>
      </c>
      <c r="F14" s="141">
        <v>13</v>
      </c>
      <c r="G14" s="141">
        <v>1</v>
      </c>
      <c r="H14" s="142">
        <v>1</v>
      </c>
    </row>
    <row r="15" spans="2:68" ht="17.399999999999999" x14ac:dyDescent="0.35">
      <c r="B15" s="139" t="s">
        <v>26</v>
      </c>
      <c r="C15" s="140"/>
      <c r="D15" s="141"/>
      <c r="E15" s="141"/>
      <c r="F15" s="141"/>
      <c r="G15" s="141"/>
      <c r="H15" s="142"/>
    </row>
    <row r="16" spans="2:68" ht="17.399999999999999" outlineLevel="1" x14ac:dyDescent="0.3">
      <c r="B16" s="145" t="s">
        <v>76</v>
      </c>
      <c r="C16" s="146" t="s">
        <v>66</v>
      </c>
      <c r="D16" s="141">
        <v>1</v>
      </c>
      <c r="E16" s="141">
        <v>6</v>
      </c>
      <c r="F16" s="141">
        <v>1</v>
      </c>
      <c r="G16" s="141">
        <v>1</v>
      </c>
      <c r="H16" s="142">
        <v>1</v>
      </c>
    </row>
    <row r="17" spans="2:8" ht="17.399999999999999" outlineLevel="1" x14ac:dyDescent="0.3">
      <c r="B17" s="145" t="s">
        <v>77</v>
      </c>
      <c r="C17" s="146" t="s">
        <v>78</v>
      </c>
      <c r="D17" s="141">
        <v>1</v>
      </c>
      <c r="E17" s="141">
        <v>6</v>
      </c>
      <c r="F17" s="141">
        <v>6</v>
      </c>
      <c r="G17" s="141">
        <v>2</v>
      </c>
      <c r="H17" s="142">
        <v>1</v>
      </c>
    </row>
    <row r="18" spans="2:8" ht="17.399999999999999" outlineLevel="1" x14ac:dyDescent="0.3">
      <c r="B18" s="147" t="s">
        <v>79</v>
      </c>
      <c r="C18" s="146" t="s">
        <v>78</v>
      </c>
      <c r="D18" s="141">
        <v>1</v>
      </c>
      <c r="E18" s="141">
        <v>8</v>
      </c>
      <c r="F18" s="141">
        <v>6</v>
      </c>
      <c r="G18" s="141">
        <v>2</v>
      </c>
      <c r="H18" s="142">
        <v>1</v>
      </c>
    </row>
    <row r="19" spans="2:8" ht="17.399999999999999" outlineLevel="1" x14ac:dyDescent="0.3">
      <c r="B19" s="147" t="s">
        <v>80</v>
      </c>
      <c r="C19" s="146" t="s">
        <v>78</v>
      </c>
      <c r="D19" s="141">
        <v>1</v>
      </c>
      <c r="E19" s="141">
        <v>8</v>
      </c>
      <c r="F19" s="141">
        <v>6</v>
      </c>
      <c r="G19" s="141">
        <v>2</v>
      </c>
      <c r="H19" s="142">
        <v>1</v>
      </c>
    </row>
    <row r="20" spans="2:8" ht="17.399999999999999" outlineLevel="1" x14ac:dyDescent="0.3">
      <c r="B20" s="147" t="s">
        <v>81</v>
      </c>
      <c r="C20" s="146" t="s">
        <v>78</v>
      </c>
      <c r="D20" s="141">
        <v>1</v>
      </c>
      <c r="E20" s="141">
        <v>8</v>
      </c>
      <c r="F20" s="141">
        <v>6</v>
      </c>
      <c r="G20" s="141">
        <v>8</v>
      </c>
      <c r="H20" s="142">
        <v>1</v>
      </c>
    </row>
    <row r="21" spans="2:8" ht="17.399999999999999" outlineLevel="1" x14ac:dyDescent="0.3">
      <c r="B21" s="147" t="s">
        <v>82</v>
      </c>
      <c r="C21" s="146" t="s">
        <v>78</v>
      </c>
      <c r="D21" s="141">
        <v>1</v>
      </c>
      <c r="E21" s="141">
        <v>8</v>
      </c>
      <c r="F21" s="141">
        <v>12</v>
      </c>
      <c r="G21" s="141">
        <v>0</v>
      </c>
      <c r="H21" s="142">
        <v>0.5</v>
      </c>
    </row>
    <row r="22" spans="2:8" ht="17.399999999999999" x14ac:dyDescent="0.35">
      <c r="B22" s="139" t="s">
        <v>31</v>
      </c>
      <c r="C22" s="140"/>
      <c r="D22" s="141"/>
      <c r="E22" s="141"/>
      <c r="F22" s="141"/>
      <c r="G22" s="141"/>
      <c r="H22" s="142"/>
    </row>
    <row r="23" spans="2:8" ht="17.399999999999999" outlineLevel="1" x14ac:dyDescent="0.3">
      <c r="B23" s="149" t="s">
        <v>83</v>
      </c>
      <c r="C23" s="146" t="s">
        <v>84</v>
      </c>
      <c r="D23" s="141">
        <v>1</v>
      </c>
      <c r="E23" s="141">
        <v>8</v>
      </c>
      <c r="F23" s="141">
        <v>4</v>
      </c>
      <c r="G23" s="141">
        <v>3</v>
      </c>
      <c r="H23" s="142">
        <v>1</v>
      </c>
    </row>
    <row r="24" spans="2:8" ht="17.399999999999999" outlineLevel="1" x14ac:dyDescent="0.3">
      <c r="B24" s="147" t="s">
        <v>85</v>
      </c>
      <c r="C24" s="146" t="s">
        <v>86</v>
      </c>
      <c r="D24" s="141">
        <v>1</v>
      </c>
      <c r="E24" s="141">
        <v>8</v>
      </c>
      <c r="F24" s="141">
        <v>1</v>
      </c>
      <c r="G24" s="141">
        <v>7</v>
      </c>
      <c r="H24" s="142">
        <v>1</v>
      </c>
    </row>
    <row r="25" spans="2:8" ht="17.399999999999999" outlineLevel="1" x14ac:dyDescent="0.3">
      <c r="B25" s="150" t="s">
        <v>87</v>
      </c>
      <c r="C25" s="146" t="s">
        <v>86</v>
      </c>
      <c r="D25" s="141">
        <v>1</v>
      </c>
      <c r="E25" s="141">
        <v>6</v>
      </c>
      <c r="F25" s="141">
        <v>1</v>
      </c>
      <c r="G25" s="141">
        <v>3</v>
      </c>
      <c r="H25" s="142">
        <v>1</v>
      </c>
    </row>
    <row r="26" spans="2:8" ht="17.399999999999999" outlineLevel="1" x14ac:dyDescent="0.3">
      <c r="B26" s="145" t="s">
        <v>88</v>
      </c>
      <c r="C26" s="146" t="s">
        <v>86</v>
      </c>
      <c r="D26" s="141">
        <v>1</v>
      </c>
      <c r="E26" s="141">
        <v>8</v>
      </c>
      <c r="F26" s="141">
        <v>1</v>
      </c>
      <c r="G26" s="141">
        <v>3</v>
      </c>
      <c r="H26" s="142">
        <v>1</v>
      </c>
    </row>
    <row r="27" spans="2:8" ht="17.399999999999999" outlineLevel="1" x14ac:dyDescent="0.3">
      <c r="B27" s="150" t="s">
        <v>89</v>
      </c>
      <c r="C27" s="146" t="s">
        <v>86</v>
      </c>
      <c r="D27" s="141">
        <v>1</v>
      </c>
      <c r="E27" s="141">
        <v>6</v>
      </c>
      <c r="F27" s="141">
        <v>14</v>
      </c>
      <c r="G27" s="141">
        <v>2</v>
      </c>
      <c r="H27" s="142">
        <v>1</v>
      </c>
    </row>
    <row r="28" spans="2:8" ht="17.399999999999999" outlineLevel="1" x14ac:dyDescent="0.3">
      <c r="B28" s="145" t="s">
        <v>90</v>
      </c>
      <c r="C28" s="146" t="s">
        <v>86</v>
      </c>
      <c r="D28" s="141">
        <v>1</v>
      </c>
      <c r="E28" s="141">
        <v>6</v>
      </c>
      <c r="F28" s="141">
        <v>1</v>
      </c>
      <c r="G28" s="141">
        <v>2</v>
      </c>
      <c r="H28" s="142">
        <v>1</v>
      </c>
    </row>
    <row r="29" spans="2:8" ht="17.399999999999999" x14ac:dyDescent="0.35">
      <c r="B29" s="139" t="s">
        <v>39</v>
      </c>
      <c r="C29" s="140"/>
      <c r="D29" s="141"/>
      <c r="E29" s="141"/>
      <c r="F29" s="141"/>
      <c r="G29" s="141"/>
      <c r="H29" s="142"/>
    </row>
    <row r="30" spans="2:8" ht="17.399999999999999" x14ac:dyDescent="0.3">
      <c r="B30" s="147" t="s">
        <v>82</v>
      </c>
      <c r="C30" s="146" t="s">
        <v>78</v>
      </c>
      <c r="D30" s="141">
        <v>1</v>
      </c>
      <c r="E30" s="141">
        <v>8</v>
      </c>
      <c r="F30" s="141">
        <v>12</v>
      </c>
      <c r="G30" s="141">
        <v>0</v>
      </c>
      <c r="H30" s="142">
        <v>0.5</v>
      </c>
    </row>
    <row r="31" spans="2:8" ht="17.399999999999999" outlineLevel="1" x14ac:dyDescent="0.3">
      <c r="B31" s="147" t="s">
        <v>91</v>
      </c>
      <c r="C31" s="146" t="s">
        <v>78</v>
      </c>
      <c r="D31" s="141">
        <v>1</v>
      </c>
      <c r="E31" s="141">
        <v>8</v>
      </c>
      <c r="F31" s="141">
        <v>15</v>
      </c>
      <c r="G31" s="141">
        <v>3</v>
      </c>
      <c r="H31" s="142">
        <v>1</v>
      </c>
    </row>
    <row r="32" spans="2:8" ht="17.399999999999999" outlineLevel="1" x14ac:dyDescent="0.3">
      <c r="B32" s="145" t="s">
        <v>92</v>
      </c>
      <c r="C32" s="146" t="s">
        <v>78</v>
      </c>
      <c r="D32" s="141">
        <v>1</v>
      </c>
      <c r="E32" s="141">
        <v>6</v>
      </c>
      <c r="F32" s="141">
        <v>1</v>
      </c>
      <c r="G32" s="141">
        <v>6</v>
      </c>
      <c r="H32" s="142">
        <v>1</v>
      </c>
    </row>
    <row r="33" spans="2:28" ht="17.399999999999999" x14ac:dyDescent="0.35">
      <c r="B33" s="139" t="s">
        <v>93</v>
      </c>
      <c r="C33" s="140"/>
      <c r="D33" s="141"/>
      <c r="E33" s="141"/>
      <c r="F33" s="141"/>
      <c r="G33" s="141"/>
      <c r="H33" s="142"/>
    </row>
    <row r="34" spans="2:28" ht="17.399999999999999" outlineLevel="1" x14ac:dyDescent="0.3">
      <c r="B34" s="145" t="s">
        <v>94</v>
      </c>
      <c r="C34" s="146" t="s">
        <v>66</v>
      </c>
      <c r="D34" s="141">
        <v>1</v>
      </c>
      <c r="E34" s="141">
        <v>8</v>
      </c>
      <c r="F34" s="141">
        <v>6</v>
      </c>
      <c r="G34" s="141">
        <v>4</v>
      </c>
      <c r="H34" s="142">
        <v>0.75</v>
      </c>
    </row>
    <row r="35" spans="2:28" ht="17.399999999999999" outlineLevel="1" x14ac:dyDescent="0.3">
      <c r="B35" s="145" t="s">
        <v>95</v>
      </c>
      <c r="C35" s="146" t="s">
        <v>66</v>
      </c>
      <c r="D35" s="141">
        <v>6</v>
      </c>
      <c r="E35" s="141">
        <v>8</v>
      </c>
      <c r="F35" s="141">
        <v>1</v>
      </c>
      <c r="G35" s="141">
        <v>8</v>
      </c>
      <c r="H35" s="142">
        <v>0.75</v>
      </c>
    </row>
    <row r="36" spans="2:28" ht="17.399999999999999" outlineLevel="1" x14ac:dyDescent="0.3">
      <c r="B36" s="145" t="s">
        <v>96</v>
      </c>
      <c r="C36" s="146" t="s">
        <v>66</v>
      </c>
      <c r="D36" s="141">
        <v>1</v>
      </c>
      <c r="E36" s="141">
        <v>6</v>
      </c>
      <c r="F36" s="141">
        <v>1</v>
      </c>
      <c r="G36" s="141">
        <v>4</v>
      </c>
      <c r="H36" s="142">
        <v>1</v>
      </c>
    </row>
    <row r="37" spans="2:28" ht="17.399999999999999" outlineLevel="1" x14ac:dyDescent="0.3">
      <c r="B37" s="147" t="s">
        <v>97</v>
      </c>
      <c r="C37" s="146" t="s">
        <v>98</v>
      </c>
      <c r="D37" s="141">
        <v>8</v>
      </c>
      <c r="E37" s="141">
        <v>6</v>
      </c>
      <c r="F37" s="141">
        <v>14</v>
      </c>
      <c r="G37" s="141">
        <v>5</v>
      </c>
      <c r="H37" s="142">
        <v>1</v>
      </c>
    </row>
    <row r="38" spans="2:28" ht="17.399999999999999" outlineLevel="1" x14ac:dyDescent="0.3">
      <c r="B38" s="145" t="s">
        <v>99</v>
      </c>
      <c r="C38" s="146" t="s">
        <v>86</v>
      </c>
      <c r="D38" s="141">
        <v>1</v>
      </c>
      <c r="E38" s="141">
        <v>8</v>
      </c>
      <c r="F38" s="141">
        <v>1</v>
      </c>
      <c r="G38" s="141">
        <v>10</v>
      </c>
      <c r="H38" s="142">
        <v>0.75</v>
      </c>
    </row>
    <row r="39" spans="2:28" ht="17.399999999999999" x14ac:dyDescent="0.35">
      <c r="B39" s="139" t="s">
        <v>42</v>
      </c>
      <c r="C39" s="140"/>
      <c r="D39" s="141"/>
      <c r="E39" s="141"/>
      <c r="F39" s="141"/>
      <c r="G39" s="141"/>
      <c r="H39" s="142"/>
    </row>
    <row r="40" spans="2:28" ht="17.399999999999999" outlineLevel="1" x14ac:dyDescent="0.3">
      <c r="B40" s="147" t="s">
        <v>100</v>
      </c>
      <c r="C40" s="146" t="s">
        <v>101</v>
      </c>
      <c r="D40" s="141">
        <v>1</v>
      </c>
      <c r="E40" s="141">
        <v>6</v>
      </c>
      <c r="F40" s="141">
        <v>1</v>
      </c>
      <c r="G40" s="141">
        <v>6</v>
      </c>
      <c r="H40" s="142">
        <v>1</v>
      </c>
    </row>
    <row r="41" spans="2:28" ht="17.399999999999999" outlineLevel="1" x14ac:dyDescent="0.3">
      <c r="B41" s="147" t="s">
        <v>102</v>
      </c>
      <c r="C41" s="146" t="s">
        <v>101</v>
      </c>
      <c r="D41" s="141">
        <v>12</v>
      </c>
      <c r="E41" s="141">
        <v>7</v>
      </c>
      <c r="F41" s="141">
        <v>14</v>
      </c>
      <c r="G41" s="141">
        <v>7</v>
      </c>
      <c r="H41" s="142">
        <v>1</v>
      </c>
    </row>
    <row r="42" spans="2:28" ht="17.399999999999999" outlineLevel="1" x14ac:dyDescent="0.3">
      <c r="B42" s="147" t="s">
        <v>103</v>
      </c>
      <c r="C42" s="146" t="s">
        <v>101</v>
      </c>
      <c r="D42" s="141">
        <v>1</v>
      </c>
      <c r="E42" s="141">
        <v>8</v>
      </c>
      <c r="F42" s="141">
        <v>1</v>
      </c>
      <c r="G42" s="141">
        <v>20</v>
      </c>
      <c r="H42" s="142">
        <v>1</v>
      </c>
    </row>
    <row r="43" spans="2:28" ht="17.399999999999999" outlineLevel="1" x14ac:dyDescent="0.3">
      <c r="B43" s="147" t="s">
        <v>104</v>
      </c>
      <c r="C43" s="146" t="s">
        <v>101</v>
      </c>
      <c r="D43" s="141">
        <v>8</v>
      </c>
      <c r="E43" s="141">
        <v>2</v>
      </c>
      <c r="F43" s="141">
        <v>11</v>
      </c>
      <c r="G43" s="141">
        <v>10</v>
      </c>
      <c r="H43" s="142">
        <v>0.75</v>
      </c>
    </row>
    <row r="44" spans="2:28" ht="17.399999999999999" outlineLevel="1" x14ac:dyDescent="0.3">
      <c r="B44" s="145" t="s">
        <v>105</v>
      </c>
      <c r="C44" s="146" t="s">
        <v>106</v>
      </c>
      <c r="D44" s="141">
        <v>4</v>
      </c>
      <c r="E44" s="141">
        <v>14</v>
      </c>
      <c r="F44" s="141">
        <v>6</v>
      </c>
      <c r="G44" s="141">
        <v>15</v>
      </c>
      <c r="H44" s="142">
        <v>1</v>
      </c>
    </row>
    <row r="45" spans="2:28" ht="17.399999999999999" outlineLevel="1" x14ac:dyDescent="0.3">
      <c r="B45" s="147" t="s">
        <v>107</v>
      </c>
      <c r="C45" s="146" t="s">
        <v>63</v>
      </c>
      <c r="D45" s="141">
        <v>18</v>
      </c>
      <c r="E45" s="141">
        <v>5</v>
      </c>
      <c r="F45" s="141">
        <v>20</v>
      </c>
      <c r="G45" s="141">
        <v>2</v>
      </c>
      <c r="H45" s="142">
        <v>1</v>
      </c>
    </row>
    <row r="46" spans="2:28" s="156" customFormat="1" ht="17.399999999999999" x14ac:dyDescent="0.35">
      <c r="B46" s="151" t="s">
        <v>17</v>
      </c>
      <c r="C46" s="152" t="s">
        <v>63</v>
      </c>
      <c r="D46" s="153">
        <v>22</v>
      </c>
      <c r="E46" s="153">
        <v>1</v>
      </c>
      <c r="F46" s="153">
        <v>22</v>
      </c>
      <c r="G46" s="153">
        <v>1</v>
      </c>
      <c r="H46" s="154">
        <v>0.75</v>
      </c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</row>
    <row r="47" spans="2:28" ht="17.399999999999999" x14ac:dyDescent="0.35">
      <c r="B47" s="139" t="s">
        <v>19</v>
      </c>
      <c r="C47" s="157"/>
      <c r="D47" s="141"/>
      <c r="E47" s="141"/>
      <c r="F47" s="141"/>
      <c r="G47" s="141"/>
      <c r="H47" s="142"/>
    </row>
    <row r="48" spans="2:28" ht="17.399999999999999" outlineLevel="1" x14ac:dyDescent="0.3">
      <c r="B48" s="147" t="s">
        <v>112</v>
      </c>
      <c r="C48" s="146" t="s">
        <v>113</v>
      </c>
      <c r="D48" s="141">
        <v>23</v>
      </c>
      <c r="E48" s="141">
        <v>0</v>
      </c>
      <c r="F48" s="141">
        <v>0</v>
      </c>
      <c r="G48" s="141">
        <v>0</v>
      </c>
      <c r="H48" s="142">
        <v>0</v>
      </c>
    </row>
    <row r="49" spans="2:8" ht="17.399999999999999" outlineLevel="1" x14ac:dyDescent="0.3">
      <c r="B49" s="148" t="s">
        <v>71</v>
      </c>
      <c r="C49" s="146" t="s">
        <v>72</v>
      </c>
      <c r="D49" s="141">
        <v>23</v>
      </c>
      <c r="E49" s="141">
        <v>1</v>
      </c>
      <c r="F49" s="141">
        <v>0</v>
      </c>
      <c r="G49" s="141">
        <v>0</v>
      </c>
      <c r="H49" s="142">
        <v>0</v>
      </c>
    </row>
    <row r="50" spans="2:8" ht="17.399999999999999" outlineLevel="1" x14ac:dyDescent="0.3">
      <c r="B50" s="148" t="s">
        <v>73</v>
      </c>
      <c r="C50" s="146" t="s">
        <v>74</v>
      </c>
      <c r="D50" s="141">
        <v>23</v>
      </c>
      <c r="E50" s="141">
        <v>1</v>
      </c>
      <c r="F50" s="141">
        <v>0</v>
      </c>
      <c r="G50" s="141">
        <v>0</v>
      </c>
      <c r="H50" s="142">
        <v>0</v>
      </c>
    </row>
    <row r="51" spans="2:8" ht="17.399999999999999" outlineLevel="1" x14ac:dyDescent="0.3">
      <c r="B51" s="148" t="s">
        <v>75</v>
      </c>
      <c r="C51" s="146" t="s">
        <v>72</v>
      </c>
      <c r="D51" s="141">
        <v>23</v>
      </c>
      <c r="E51" s="141">
        <v>2</v>
      </c>
      <c r="F51" s="141">
        <v>0</v>
      </c>
      <c r="G51" s="141">
        <v>0</v>
      </c>
      <c r="H51" s="142">
        <v>0</v>
      </c>
    </row>
    <row r="52" spans="2:8" ht="17.399999999999999" x14ac:dyDescent="0.3">
      <c r="B52" s="158" t="s">
        <v>114</v>
      </c>
      <c r="C52" s="157" t="s">
        <v>66</v>
      </c>
      <c r="D52" s="141">
        <v>23</v>
      </c>
      <c r="E52" s="141">
        <v>5</v>
      </c>
      <c r="F52" s="141">
        <v>0</v>
      </c>
      <c r="G52" s="141">
        <v>0</v>
      </c>
      <c r="H52" s="142">
        <v>0</v>
      </c>
    </row>
    <row r="53" spans="2:8" ht="17.399999999999999" x14ac:dyDescent="0.3">
      <c r="B53" s="159" t="s">
        <v>115</v>
      </c>
      <c r="C53" s="157" t="s">
        <v>66</v>
      </c>
      <c r="D53" s="141">
        <v>23</v>
      </c>
      <c r="E53" s="141">
        <v>5</v>
      </c>
      <c r="F53" s="141">
        <v>0</v>
      </c>
      <c r="G53" s="141">
        <v>0</v>
      </c>
      <c r="H53" s="142">
        <v>0</v>
      </c>
    </row>
    <row r="54" spans="2:8" ht="17.399999999999999" x14ac:dyDescent="0.3">
      <c r="B54" s="159" t="s">
        <v>116</v>
      </c>
      <c r="C54" s="157" t="s">
        <v>66</v>
      </c>
      <c r="D54" s="141">
        <v>23</v>
      </c>
      <c r="E54" s="141">
        <v>7</v>
      </c>
      <c r="F54" s="141">
        <v>0</v>
      </c>
      <c r="G54" s="141">
        <v>0</v>
      </c>
      <c r="H54" s="142">
        <v>0</v>
      </c>
    </row>
    <row r="55" spans="2:8" ht="17.399999999999999" x14ac:dyDescent="0.3">
      <c r="B55" s="159" t="s">
        <v>117</v>
      </c>
      <c r="C55" s="157" t="s">
        <v>66</v>
      </c>
      <c r="D55" s="141">
        <v>23</v>
      </c>
      <c r="E55" s="141">
        <v>7</v>
      </c>
      <c r="F55" s="141">
        <v>0</v>
      </c>
      <c r="G55" s="141">
        <v>0</v>
      </c>
      <c r="H55" s="142">
        <v>0</v>
      </c>
    </row>
    <row r="56" spans="2:8" ht="17.399999999999999" x14ac:dyDescent="0.3">
      <c r="B56" s="160" t="s">
        <v>118</v>
      </c>
      <c r="C56" s="157" t="s">
        <v>66</v>
      </c>
      <c r="D56" s="141">
        <v>31</v>
      </c>
      <c r="E56" s="141">
        <v>7</v>
      </c>
      <c r="F56" s="141">
        <v>0</v>
      </c>
      <c r="G56" s="141">
        <v>0</v>
      </c>
      <c r="H56" s="142">
        <v>0</v>
      </c>
    </row>
    <row r="57" spans="2:8" ht="17.399999999999999" x14ac:dyDescent="0.3">
      <c r="B57" s="160" t="s">
        <v>119</v>
      </c>
      <c r="C57" s="157" t="s">
        <v>120</v>
      </c>
      <c r="D57" s="141">
        <v>31</v>
      </c>
      <c r="E57" s="141">
        <v>7</v>
      </c>
      <c r="F57" s="141">
        <v>0</v>
      </c>
      <c r="G57" s="141">
        <v>0</v>
      </c>
      <c r="H57" s="142">
        <v>0</v>
      </c>
    </row>
    <row r="58" spans="2:8" ht="17.399999999999999" x14ac:dyDescent="0.3">
      <c r="B58" s="160" t="s">
        <v>121</v>
      </c>
      <c r="C58" s="157" t="s">
        <v>122</v>
      </c>
      <c r="D58" s="141">
        <v>31</v>
      </c>
      <c r="E58" s="141">
        <v>7</v>
      </c>
      <c r="F58" s="141">
        <v>0</v>
      </c>
      <c r="G58" s="141">
        <v>0</v>
      </c>
      <c r="H58" s="142">
        <v>0</v>
      </c>
    </row>
    <row r="59" spans="2:8" ht="17.399999999999999" x14ac:dyDescent="0.35">
      <c r="B59" s="139" t="s">
        <v>26</v>
      </c>
      <c r="C59" s="157"/>
      <c r="D59" s="141"/>
      <c r="E59" s="141"/>
      <c r="F59" s="141"/>
      <c r="G59" s="141"/>
      <c r="H59" s="142"/>
    </row>
    <row r="60" spans="2:8" ht="17.399999999999999" outlineLevel="1" x14ac:dyDescent="0.3">
      <c r="B60" s="147" t="s">
        <v>27</v>
      </c>
      <c r="C60" s="161" t="s">
        <v>123</v>
      </c>
      <c r="D60" s="141">
        <v>25</v>
      </c>
      <c r="E60" s="141">
        <v>7</v>
      </c>
      <c r="F60" s="141">
        <v>0</v>
      </c>
      <c r="G60" s="141">
        <v>0</v>
      </c>
      <c r="H60" s="142">
        <v>0</v>
      </c>
    </row>
    <row r="61" spans="2:8" ht="17.399999999999999" outlineLevel="1" x14ac:dyDescent="0.3">
      <c r="B61" s="147" t="s">
        <v>28</v>
      </c>
      <c r="C61" s="161" t="s">
        <v>123</v>
      </c>
      <c r="D61" s="141">
        <v>25</v>
      </c>
      <c r="E61" s="141">
        <v>7</v>
      </c>
      <c r="F61" s="141">
        <v>0</v>
      </c>
      <c r="G61" s="141">
        <v>0</v>
      </c>
      <c r="H61" s="142">
        <v>0</v>
      </c>
    </row>
    <row r="62" spans="2:8" ht="17.399999999999999" outlineLevel="1" x14ac:dyDescent="0.3">
      <c r="B62" s="147" t="s">
        <v>29</v>
      </c>
      <c r="C62" s="161" t="s">
        <v>123</v>
      </c>
      <c r="D62" s="141">
        <v>25</v>
      </c>
      <c r="E62" s="141">
        <v>10</v>
      </c>
      <c r="F62" s="141">
        <v>0</v>
      </c>
      <c r="G62" s="141">
        <v>0</v>
      </c>
      <c r="H62" s="142">
        <v>0</v>
      </c>
    </row>
    <row r="63" spans="2:8" ht="17.399999999999999" outlineLevel="1" x14ac:dyDescent="0.3">
      <c r="B63" s="147" t="s">
        <v>24</v>
      </c>
      <c r="C63" s="161" t="s">
        <v>123</v>
      </c>
      <c r="D63" s="141">
        <v>25</v>
      </c>
      <c r="E63" s="141">
        <v>10</v>
      </c>
      <c r="F63" s="141">
        <v>0</v>
      </c>
      <c r="G63" s="141">
        <v>0</v>
      </c>
      <c r="H63" s="142">
        <v>0</v>
      </c>
    </row>
    <row r="64" spans="2:8" ht="17.399999999999999" outlineLevel="1" x14ac:dyDescent="0.3">
      <c r="B64" s="150" t="s">
        <v>30</v>
      </c>
      <c r="C64" s="161" t="s">
        <v>123</v>
      </c>
      <c r="D64" s="141">
        <v>25</v>
      </c>
      <c r="E64" s="141">
        <v>20</v>
      </c>
      <c r="F64" s="141">
        <v>0</v>
      </c>
      <c r="G64" s="141">
        <v>0</v>
      </c>
      <c r="H64" s="142">
        <v>0</v>
      </c>
    </row>
    <row r="65" spans="2:8" ht="17.399999999999999" x14ac:dyDescent="0.35">
      <c r="B65" s="139" t="s">
        <v>31</v>
      </c>
      <c r="C65" s="157"/>
      <c r="D65" s="141"/>
      <c r="E65" s="141"/>
      <c r="F65" s="141"/>
      <c r="G65" s="141"/>
      <c r="H65" s="142"/>
    </row>
    <row r="66" spans="2:8" ht="17.399999999999999" x14ac:dyDescent="0.3">
      <c r="B66" s="162" t="s">
        <v>124</v>
      </c>
      <c r="C66" s="157" t="s">
        <v>74</v>
      </c>
      <c r="D66" s="141">
        <v>23</v>
      </c>
      <c r="E66" s="141">
        <v>10</v>
      </c>
      <c r="F66" s="141">
        <v>0</v>
      </c>
      <c r="G66" s="141">
        <v>0</v>
      </c>
      <c r="H66" s="142">
        <v>0</v>
      </c>
    </row>
    <row r="67" spans="2:8" ht="17.399999999999999" x14ac:dyDescent="0.3">
      <c r="B67" s="163" t="s">
        <v>125</v>
      </c>
      <c r="C67" s="157" t="s">
        <v>126</v>
      </c>
      <c r="D67" s="141">
        <v>23</v>
      </c>
      <c r="E67" s="141">
        <v>10</v>
      </c>
      <c r="F67" s="141">
        <v>0</v>
      </c>
      <c r="G67" s="141">
        <v>0</v>
      </c>
      <c r="H67" s="142">
        <v>0</v>
      </c>
    </row>
    <row r="68" spans="2:8" ht="17.399999999999999" x14ac:dyDescent="0.3">
      <c r="B68" s="163" t="s">
        <v>127</v>
      </c>
      <c r="C68" s="157" t="s">
        <v>74</v>
      </c>
      <c r="D68" s="141">
        <v>32</v>
      </c>
      <c r="E68" s="141">
        <v>15</v>
      </c>
      <c r="F68" s="141">
        <v>0</v>
      </c>
      <c r="G68" s="141">
        <v>0</v>
      </c>
      <c r="H68" s="142">
        <v>0</v>
      </c>
    </row>
    <row r="69" spans="2:8" ht="17.399999999999999" x14ac:dyDescent="0.3">
      <c r="B69" s="164" t="s">
        <v>36</v>
      </c>
      <c r="C69" s="157" t="s">
        <v>126</v>
      </c>
      <c r="D69" s="141">
        <v>32</v>
      </c>
      <c r="E69" s="141">
        <v>5</v>
      </c>
      <c r="F69" s="141">
        <v>0</v>
      </c>
      <c r="G69" s="141">
        <v>0</v>
      </c>
      <c r="H69" s="142">
        <v>0</v>
      </c>
    </row>
    <row r="70" spans="2:8" ht="17.399999999999999" x14ac:dyDescent="0.3">
      <c r="B70" s="162" t="s">
        <v>37</v>
      </c>
      <c r="C70" s="157" t="s">
        <v>86</v>
      </c>
      <c r="D70" s="141">
        <v>32</v>
      </c>
      <c r="E70" s="141">
        <v>7</v>
      </c>
      <c r="F70" s="141">
        <v>0</v>
      </c>
      <c r="G70" s="141">
        <v>0</v>
      </c>
      <c r="H70" s="142">
        <v>0</v>
      </c>
    </row>
    <row r="71" spans="2:8" ht="17.399999999999999" outlineLevel="1" x14ac:dyDescent="0.3">
      <c r="B71" s="165" t="s">
        <v>38</v>
      </c>
      <c r="C71" s="146" t="s">
        <v>86</v>
      </c>
      <c r="D71" s="141">
        <v>35</v>
      </c>
      <c r="E71" s="141">
        <v>5</v>
      </c>
      <c r="F71" s="141">
        <v>0</v>
      </c>
      <c r="G71" s="141">
        <v>0</v>
      </c>
      <c r="H71" s="142">
        <v>0</v>
      </c>
    </row>
    <row r="72" spans="2:8" ht="17.399999999999999" x14ac:dyDescent="0.35">
      <c r="B72" s="139" t="s">
        <v>39</v>
      </c>
      <c r="C72" s="157"/>
      <c r="D72" s="141"/>
      <c r="E72" s="141"/>
      <c r="F72" s="141"/>
      <c r="G72" s="141"/>
      <c r="H72" s="142"/>
    </row>
    <row r="73" spans="2:8" ht="17.399999999999999" x14ac:dyDescent="0.3">
      <c r="B73" s="166" t="s">
        <v>40</v>
      </c>
      <c r="C73" s="167" t="s">
        <v>128</v>
      </c>
      <c r="D73" s="141">
        <v>29</v>
      </c>
      <c r="E73" s="141">
        <v>3</v>
      </c>
      <c r="F73" s="141">
        <v>0</v>
      </c>
      <c r="G73" s="141">
        <v>0</v>
      </c>
      <c r="H73" s="142">
        <v>0</v>
      </c>
    </row>
    <row r="74" spans="2:8" ht="17.399999999999999" outlineLevel="1" x14ac:dyDescent="0.3">
      <c r="B74" s="147" t="s">
        <v>41</v>
      </c>
      <c r="C74" s="146" t="s">
        <v>78</v>
      </c>
      <c r="D74" s="141">
        <v>29</v>
      </c>
      <c r="E74" s="141">
        <v>7</v>
      </c>
      <c r="F74" s="141">
        <v>0</v>
      </c>
      <c r="G74" s="141">
        <v>0</v>
      </c>
      <c r="H74" s="142">
        <v>0</v>
      </c>
    </row>
    <row r="75" spans="2:8" ht="17.399999999999999" outlineLevel="1" x14ac:dyDescent="0.35">
      <c r="B75" s="168" t="s">
        <v>42</v>
      </c>
      <c r="C75" s="146"/>
      <c r="D75" s="141"/>
      <c r="E75" s="141"/>
      <c r="F75" s="141"/>
      <c r="G75" s="141"/>
      <c r="H75" s="142"/>
    </row>
    <row r="76" spans="2:8" ht="17.399999999999999" outlineLevel="1" x14ac:dyDescent="0.3">
      <c r="B76" s="147" t="s">
        <v>130</v>
      </c>
      <c r="C76" s="146" t="s">
        <v>63</v>
      </c>
      <c r="D76" s="141">
        <v>41</v>
      </c>
      <c r="E76" s="141">
        <v>6</v>
      </c>
      <c r="F76" s="141">
        <v>0</v>
      </c>
      <c r="G76" s="141">
        <v>0</v>
      </c>
      <c r="H76" s="142">
        <v>0</v>
      </c>
    </row>
    <row r="77" spans="2:8" ht="17.399999999999999" outlineLevel="1" x14ac:dyDescent="0.3">
      <c r="B77" s="148" t="s">
        <v>131</v>
      </c>
      <c r="C77" s="146" t="s">
        <v>47</v>
      </c>
      <c r="D77" s="141">
        <v>41</v>
      </c>
      <c r="E77" s="141">
        <v>6</v>
      </c>
      <c r="F77" s="141">
        <v>0</v>
      </c>
      <c r="G77" s="141">
        <v>0</v>
      </c>
      <c r="H77" s="142">
        <v>0</v>
      </c>
    </row>
    <row r="78" spans="2:8" ht="17.399999999999999" outlineLevel="1" x14ac:dyDescent="0.3">
      <c r="B78" s="148" t="s">
        <v>31</v>
      </c>
      <c r="C78" s="146" t="s">
        <v>47</v>
      </c>
      <c r="D78" s="141">
        <v>41</v>
      </c>
      <c r="E78" s="141">
        <v>6</v>
      </c>
      <c r="F78" s="141">
        <v>0</v>
      </c>
      <c r="G78" s="141">
        <v>0</v>
      </c>
      <c r="H78" s="142"/>
    </row>
    <row r="79" spans="2:8" ht="17.399999999999999" outlineLevel="1" x14ac:dyDescent="0.3">
      <c r="B79" s="148" t="s">
        <v>132</v>
      </c>
      <c r="C79" s="146" t="s">
        <v>101</v>
      </c>
      <c r="D79" s="141">
        <v>41</v>
      </c>
      <c r="E79" s="141">
        <v>6</v>
      </c>
      <c r="F79" s="141">
        <v>0</v>
      </c>
      <c r="G79" s="141">
        <v>0</v>
      </c>
      <c r="H79" s="142">
        <v>0</v>
      </c>
    </row>
    <row r="80" spans="2:8" ht="17.399999999999999" x14ac:dyDescent="0.35">
      <c r="B80" s="139" t="s">
        <v>51</v>
      </c>
      <c r="C80" s="157" t="s">
        <v>63</v>
      </c>
      <c r="D80" s="141">
        <v>47</v>
      </c>
      <c r="E80" s="141">
        <v>1</v>
      </c>
      <c r="F80" s="141">
        <v>47</v>
      </c>
      <c r="G80" s="141">
        <v>1</v>
      </c>
      <c r="H80" s="142">
        <v>0</v>
      </c>
    </row>
    <row r="81" spans="2:8" ht="17.399999999999999" x14ac:dyDescent="0.35">
      <c r="B81" s="139" t="s">
        <v>52</v>
      </c>
      <c r="C81" s="157"/>
      <c r="D81" s="141"/>
      <c r="E81" s="141"/>
      <c r="F81" s="141"/>
      <c r="G81" s="141"/>
      <c r="H81" s="142"/>
    </row>
    <row r="82" spans="2:8" ht="17.399999999999999" x14ac:dyDescent="0.3">
      <c r="B82" s="162" t="s">
        <v>54</v>
      </c>
      <c r="C82" s="157" t="s">
        <v>176</v>
      </c>
      <c r="D82" s="169" t="s">
        <v>55</v>
      </c>
      <c r="E82" s="169" t="s">
        <v>55</v>
      </c>
      <c r="F82" s="141">
        <v>0</v>
      </c>
      <c r="G82" s="141">
        <v>0</v>
      </c>
      <c r="H82" s="142">
        <v>0</v>
      </c>
    </row>
    <row r="83" spans="2:8" ht="17.399999999999999" x14ac:dyDescent="0.3">
      <c r="B83" s="158" t="s">
        <v>56</v>
      </c>
      <c r="C83" s="170" t="s">
        <v>101</v>
      </c>
      <c r="D83" s="169" t="s">
        <v>55</v>
      </c>
      <c r="E83" s="169" t="s">
        <v>55</v>
      </c>
      <c r="F83" s="141">
        <v>0</v>
      </c>
      <c r="G83" s="141">
        <v>0</v>
      </c>
      <c r="H83" s="142">
        <v>0</v>
      </c>
    </row>
    <row r="84" spans="2:8" ht="17.399999999999999" x14ac:dyDescent="0.35">
      <c r="B84" s="139"/>
      <c r="C84" s="171"/>
      <c r="D84" s="141"/>
      <c r="E84" s="141"/>
      <c r="F84" s="141"/>
      <c r="G84" s="141"/>
      <c r="H84" s="142"/>
    </row>
  </sheetData>
  <mergeCells count="13">
    <mergeCell ref="AJ2:AQ2"/>
    <mergeCell ref="B2:G2"/>
    <mergeCell ref="L2:P2"/>
    <mergeCell ref="R2:U2"/>
    <mergeCell ref="W2:Z2"/>
    <mergeCell ref="AB2:AH2"/>
    <mergeCell ref="H3:H4"/>
    <mergeCell ref="B3:B4"/>
    <mergeCell ref="C3:C4"/>
    <mergeCell ref="D3:D4"/>
    <mergeCell ref="E3:E4"/>
    <mergeCell ref="F3:F4"/>
    <mergeCell ref="G3:G4"/>
  </mergeCells>
  <conditionalFormatting sqref="V24:BP24 I84:BP84 I22:BP23 I71:BP71 I29:BP45 I5:BP15 I74:BP81">
    <cfRule type="expression" dxfId="123" priority="67">
      <formula>PercentComplete</formula>
    </cfRule>
    <cfRule type="expression" dxfId="122" priority="68">
      <formula>PercentCompleteBeyond</formula>
    </cfRule>
    <cfRule type="expression" dxfId="121" priority="69">
      <formula>Actual</formula>
    </cfRule>
    <cfRule type="expression" dxfId="120" priority="70">
      <formula>ActualBeyond</formula>
    </cfRule>
    <cfRule type="expression" dxfId="119" priority="71">
      <formula>Plan</formula>
    </cfRule>
    <cfRule type="expression" dxfId="118" priority="72">
      <formula>I$4=period_selected</formula>
    </cfRule>
    <cfRule type="expression" dxfId="117" priority="74">
      <formula>MOD(COLUMN(),2)</formula>
    </cfRule>
    <cfRule type="expression" dxfId="116" priority="75">
      <formula>MOD(COLUMN(),2)=0</formula>
    </cfRule>
  </conditionalFormatting>
  <conditionalFormatting sqref="I4:BP4">
    <cfRule type="expression" dxfId="115" priority="73">
      <formula>I$4=period_selected</formula>
    </cfRule>
  </conditionalFormatting>
  <conditionalFormatting sqref="I25:BP28 I24:S24">
    <cfRule type="expression" dxfId="114" priority="59">
      <formula>PercentComplete</formula>
    </cfRule>
    <cfRule type="expression" dxfId="113" priority="60">
      <formula>PercentCompleteBeyond</formula>
    </cfRule>
    <cfRule type="expression" dxfId="112" priority="61">
      <formula>Actual</formula>
    </cfRule>
    <cfRule type="expression" dxfId="111" priority="62">
      <formula>ActualBeyond</formula>
    </cfRule>
    <cfRule type="expression" dxfId="110" priority="63">
      <formula>Plan</formula>
    </cfRule>
    <cfRule type="expression" dxfId="109" priority="64">
      <formula>I$4=period_selected</formula>
    </cfRule>
    <cfRule type="expression" dxfId="108" priority="65">
      <formula>MOD(COLUMN(),2)</formula>
    </cfRule>
    <cfRule type="expression" dxfId="107" priority="66">
      <formula>MOD(COLUMN(),2)=0</formula>
    </cfRule>
  </conditionalFormatting>
  <conditionalFormatting sqref="I16:BP21">
    <cfRule type="expression" dxfId="106" priority="51">
      <formula>PercentComplete</formula>
    </cfRule>
    <cfRule type="expression" dxfId="105" priority="52">
      <formula>PercentCompleteBeyond</formula>
    </cfRule>
    <cfRule type="expression" dxfId="104" priority="53">
      <formula>Actual</formula>
    </cfRule>
    <cfRule type="expression" dxfId="103" priority="54">
      <formula>ActualBeyond</formula>
    </cfRule>
    <cfRule type="expression" dxfId="102" priority="55">
      <formula>Plan</formula>
    </cfRule>
    <cfRule type="expression" dxfId="101" priority="56">
      <formula>I$4=period_selected</formula>
    </cfRule>
    <cfRule type="expression" dxfId="100" priority="57">
      <formula>MOD(COLUMN(),2)</formula>
    </cfRule>
    <cfRule type="expression" dxfId="99" priority="58">
      <formula>MOD(COLUMN(),2)=0</formula>
    </cfRule>
  </conditionalFormatting>
  <conditionalFormatting sqref="I46:BP47 I83:BP83 I65:BP70 I72:BP73 I52:BP59">
    <cfRule type="expression" dxfId="98" priority="43">
      <formula>PercentComplete</formula>
    </cfRule>
    <cfRule type="expression" dxfId="97" priority="44">
      <formula>PercentCompleteBeyond</formula>
    </cfRule>
    <cfRule type="expression" dxfId="96" priority="45">
      <formula>Actual</formula>
    </cfRule>
    <cfRule type="expression" dxfId="95" priority="46">
      <formula>ActualBeyond</formula>
    </cfRule>
    <cfRule type="expression" dxfId="94" priority="47">
      <formula>Plan</formula>
    </cfRule>
    <cfRule type="expression" dxfId="93" priority="48">
      <formula>I$4=period_selected</formula>
    </cfRule>
    <cfRule type="expression" dxfId="92" priority="49">
      <formula>MOD(COLUMN(),2)</formula>
    </cfRule>
    <cfRule type="expression" dxfId="91" priority="50">
      <formula>MOD(COLUMN(),2)=0</formula>
    </cfRule>
  </conditionalFormatting>
  <conditionalFormatting sqref="I82:BP82">
    <cfRule type="expression" dxfId="90" priority="35">
      <formula>PercentComplete</formula>
    </cfRule>
    <cfRule type="expression" dxfId="89" priority="36">
      <formula>PercentCompleteBeyond</formula>
    </cfRule>
    <cfRule type="expression" dxfId="88" priority="37">
      <formula>Actual</formula>
    </cfRule>
    <cfRule type="expression" dxfId="87" priority="38">
      <formula>ActualBeyond</formula>
    </cfRule>
    <cfRule type="expression" dxfId="86" priority="39">
      <formula>Plan</formula>
    </cfRule>
    <cfRule type="expression" dxfId="85" priority="40">
      <formula>I$4=period_selected</formula>
    </cfRule>
    <cfRule type="expression" dxfId="84" priority="41">
      <formula>MOD(COLUMN(),2)</formula>
    </cfRule>
    <cfRule type="expression" dxfId="83" priority="42">
      <formula>MOD(COLUMN(),2)=0</formula>
    </cfRule>
  </conditionalFormatting>
  <conditionalFormatting sqref="I64:BP64">
    <cfRule type="expression" dxfId="82" priority="27">
      <formula>PercentComplete</formula>
    </cfRule>
    <cfRule type="expression" dxfId="81" priority="28">
      <formula>PercentCompleteBeyond</formula>
    </cfRule>
    <cfRule type="expression" dxfId="80" priority="29">
      <formula>Actual</formula>
    </cfRule>
    <cfRule type="expression" dxfId="79" priority="30">
      <formula>ActualBeyond</formula>
    </cfRule>
    <cfRule type="expression" dxfId="78" priority="31">
      <formula>Plan</formula>
    </cfRule>
    <cfRule type="expression" dxfId="77" priority="32">
      <formula>I$4=period_selected</formula>
    </cfRule>
    <cfRule type="expression" dxfId="76" priority="33">
      <formula>MOD(COLUMN(),2)</formula>
    </cfRule>
    <cfRule type="expression" dxfId="75" priority="34">
      <formula>MOD(COLUMN(),2)=0</formula>
    </cfRule>
  </conditionalFormatting>
  <conditionalFormatting sqref="I60:BP60 I62:BP63">
    <cfRule type="expression" dxfId="74" priority="19">
      <formula>PercentComplete</formula>
    </cfRule>
    <cfRule type="expression" dxfId="73" priority="20">
      <formula>PercentCompleteBeyond</formula>
    </cfRule>
    <cfRule type="expression" dxfId="72" priority="21">
      <formula>Actual</formula>
    </cfRule>
    <cfRule type="expression" dxfId="71" priority="22">
      <formula>ActualBeyond</formula>
    </cfRule>
    <cfRule type="expression" dxfId="70" priority="23">
      <formula>Plan</formula>
    </cfRule>
    <cfRule type="expression" dxfId="69" priority="24">
      <formula>I$4=period_selected</formula>
    </cfRule>
    <cfRule type="expression" dxfId="68" priority="25">
      <formula>MOD(COLUMN(),2)</formula>
    </cfRule>
    <cfRule type="expression" dxfId="67" priority="26">
      <formula>MOD(COLUMN(),2)=0</formula>
    </cfRule>
  </conditionalFormatting>
  <conditionalFormatting sqref="H5:H100">
    <cfRule type="cellIs" priority="17" operator="equal">
      <formula>isblank</formula>
    </cfRule>
    <cfRule type="colorScale" priority="18">
      <colorScale>
        <cfvo type="min"/>
        <cfvo type="percentile" val="50"/>
        <cfvo type="max"/>
        <color rgb="FFC00000"/>
        <color rgb="FFFFEB84"/>
        <color theme="9"/>
      </colorScale>
    </cfRule>
  </conditionalFormatting>
  <conditionalFormatting sqref="I48:BP51">
    <cfRule type="expression" dxfId="66" priority="9">
      <formula>PercentComplete</formula>
    </cfRule>
    <cfRule type="expression" dxfId="65" priority="10">
      <formula>PercentCompleteBeyond</formula>
    </cfRule>
    <cfRule type="expression" dxfId="64" priority="11">
      <formula>Actual</formula>
    </cfRule>
    <cfRule type="expression" dxfId="63" priority="12">
      <formula>ActualBeyond</formula>
    </cfRule>
    <cfRule type="expression" dxfId="62" priority="13">
      <formula>Plan</formula>
    </cfRule>
    <cfRule type="expression" dxfId="61" priority="14">
      <formula>I$4=period_selected</formula>
    </cfRule>
    <cfRule type="expression" dxfId="60" priority="15">
      <formula>MOD(COLUMN(),2)</formula>
    </cfRule>
    <cfRule type="expression" dxfId="59" priority="16">
      <formula>MOD(COLUMN(),2)=0</formula>
    </cfRule>
  </conditionalFormatting>
  <conditionalFormatting sqref="I61:BP61">
    <cfRule type="expression" dxfId="58" priority="1">
      <formula>PercentComplete</formula>
    </cfRule>
    <cfRule type="expression" dxfId="57" priority="2">
      <formula>PercentCompleteBeyond</formula>
    </cfRule>
    <cfRule type="expression" dxfId="56" priority="3">
      <formula>Actual</formula>
    </cfRule>
    <cfRule type="expression" dxfId="55" priority="4">
      <formula>ActualBeyond</formula>
    </cfRule>
    <cfRule type="expression" dxfId="54" priority="5">
      <formula>Plan</formula>
    </cfRule>
    <cfRule type="expression" dxfId="53" priority="6">
      <formula>I$4=period_selected</formula>
    </cfRule>
    <cfRule type="expression" dxfId="52" priority="7">
      <formula>MOD(COLUMN(),2)</formula>
    </cfRule>
    <cfRule type="expression" dxfId="51" priority="8">
      <formula>MOD(COLUMN(),2)=0</formula>
    </cfRule>
  </conditionalFormatting>
  <dataValidations count="17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K2"/>
    <dataValidation allowBlank="1" showInputMessage="1" showErrorMessage="1" prompt="This legend cell indicates actual duration" sqref="Q2"/>
    <dataValidation allowBlank="1" showInputMessage="1" showErrorMessage="1" prompt="This legend cell indicates the percentage of project completed" sqref="V2"/>
    <dataValidation allowBlank="1" showInputMessage="1" showErrorMessage="1" prompt="This legend cell indicates actual duration beyond plan" sqref="AA2"/>
    <dataValidation allowBlank="1" showInputMessage="1" showErrorMessage="1" prompt="This legend cell indicates the percentage of project completed beyond plan" sqref="AI2"/>
    <dataValidation allowBlank="1" showInputMessage="1" showErrorMessage="1" prompt="Periods are charted from 1 to 60 starting from cell H4 to cell BO4 " sqref="I3"/>
    <dataValidation allowBlank="1" showInputMessage="1" showErrorMessage="1" prompt="Enter activity in column B, starting with cell B5_x000a_" sqref="B3:B4 C3"/>
    <dataValidation allowBlank="1" showInputMessage="1" showErrorMessage="1" prompt="Enter plan start period in column C, starting with cell C5" sqref="D3:D4"/>
    <dataValidation allowBlank="1" showInputMessage="1" showErrorMessage="1" prompt="Enter plan duration period in column D, starting with cell D5" sqref="E3:E4"/>
    <dataValidation allowBlank="1" showInputMessage="1" showErrorMessage="1" prompt="Enter actual start period in column E, starting with cell E5" sqref="F3:F4"/>
    <dataValidation allowBlank="1" showInputMessage="1" showErrorMessage="1" prompt="Enter actual duration period in column F, starting with cell F5" sqref="G3:G4"/>
    <dataValidation allowBlank="1" showInputMessage="1" showErrorMessage="1" prompt="Enter the percentage of project completed in column G, starting with cell G5" sqref="H3:H4"/>
    <dataValidation allowBlank="1" showInputMessage="1" showErrorMessage="1" prompt="Title of the project. Enter a new title in this cell. Highlight a period in H2. Chart legend is in J2 to AI2" sqref="B1:C1"/>
    <dataValidation allowBlank="1" showInputMessage="1" showErrorMessage="1" prompt="Select a period to highlight in H2. A Chart legend is in J2 to AI2" sqref="B2:G2"/>
    <dataValidation showInputMessage="1" showErrorMessage="1" sqref="B16:C16 B27:B28 B25 B64">
      <formula1>0</formula1>
      <formula2>0</formula2>
    </dataValidation>
  </dataValidations>
  <hyperlinks>
    <hyperlink ref="B44" r:id="rId1"/>
    <hyperlink ref="B36" r:id="rId2"/>
    <hyperlink ref="B16" r:id="rId3"/>
    <hyperlink ref="B17" r:id="rId4"/>
    <hyperlink ref="B28" r:id="rId5"/>
    <hyperlink ref="B7" r:id="rId6"/>
    <hyperlink ref="B26" r:id="rId7"/>
    <hyperlink ref="B32" r:id="rId8"/>
    <hyperlink ref="B38" r:id="rId9"/>
    <hyperlink ref="B10" r:id="rId10"/>
    <hyperlink ref="B34" r:id="rId11"/>
    <hyperlink ref="B35" r:id="rId12"/>
  </hyperlinks>
  <printOptions horizontalCentered="1"/>
  <pageMargins left="0.45" right="0.45" top="0.5" bottom="0.5" header="0.3" footer="0.3"/>
  <pageSetup scale="42" fitToHeight="0" orientation="landscape" r:id="rId13"/>
  <headerFooter differentFirst="1">
    <oddFooter>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5"/>
  <sheetViews>
    <sheetView topLeftCell="A70" zoomScale="115" zoomScaleNormal="115" workbookViewId="0">
      <selection activeCell="C18" sqref="C18"/>
    </sheetView>
  </sheetViews>
  <sheetFormatPr defaultColWidth="8.88671875" defaultRowHeight="14.4" x14ac:dyDescent="0.3"/>
  <cols>
    <col min="1" max="1" width="24.33203125" style="71" bestFit="1" customWidth="1"/>
    <col min="2" max="3" width="10.77734375" style="71" bestFit="1" customWidth="1"/>
    <col min="4" max="4" width="11.109375" style="71" bestFit="1" customWidth="1"/>
    <col min="5" max="7" width="10.44140625" style="71" bestFit="1" customWidth="1"/>
    <col min="8" max="8" width="11.109375" style="71" bestFit="1" customWidth="1"/>
    <col min="9" max="9" width="12.5546875" style="71" customWidth="1"/>
    <col min="10" max="10" width="7.109375" style="71" customWidth="1"/>
    <col min="11" max="11" width="4" style="71" customWidth="1"/>
    <col min="12" max="12" width="24.5546875" style="71" customWidth="1"/>
    <col min="13" max="13" width="6.5546875" style="71" customWidth="1"/>
    <col min="14" max="1025" width="24.5546875" style="71" customWidth="1"/>
    <col min="1026" max="16384" width="8.88671875" style="71"/>
  </cols>
  <sheetData>
    <row r="1" spans="1:11" x14ac:dyDescent="0.3">
      <c r="A1" s="115" t="s">
        <v>148</v>
      </c>
      <c r="B1" s="114" t="s">
        <v>63</v>
      </c>
      <c r="C1" s="113" t="s">
        <v>101</v>
      </c>
      <c r="D1" s="113" t="s">
        <v>66</v>
      </c>
      <c r="E1" s="113" t="s">
        <v>136</v>
      </c>
      <c r="F1" s="113" t="s">
        <v>74</v>
      </c>
      <c r="G1" s="113" t="s">
        <v>135</v>
      </c>
      <c r="H1" s="112" t="s">
        <v>126</v>
      </c>
      <c r="J1" s="71" t="s">
        <v>147</v>
      </c>
      <c r="K1" s="71">
        <v>100</v>
      </c>
    </row>
    <row r="2" spans="1:11" x14ac:dyDescent="0.3">
      <c r="A2" s="105" t="s">
        <v>146</v>
      </c>
      <c r="B2" s="111">
        <f>'[1]Burn Report'!$C$62</f>
        <v>57.75</v>
      </c>
      <c r="C2" s="110">
        <f>'Burn Report'!J62</f>
        <v>15.75</v>
      </c>
      <c r="D2" s="110">
        <f>'Burn Report'!K62</f>
        <v>14.5</v>
      </c>
      <c r="E2" s="110">
        <f>'Burn Report'!L62</f>
        <v>2.5</v>
      </c>
      <c r="F2" s="110">
        <f>'Burn Report'!M62</f>
        <v>7.5</v>
      </c>
      <c r="G2" s="110">
        <f>'Burn Report'!N62</f>
        <v>5.5</v>
      </c>
      <c r="H2" s="109">
        <f>'Burn Report'!O62</f>
        <v>12</v>
      </c>
    </row>
    <row r="3" spans="1:11" x14ac:dyDescent="0.3">
      <c r="A3" s="105" t="s">
        <v>145</v>
      </c>
      <c r="B3" s="108">
        <f>'[1]Burn Report'!$J$62</f>
        <v>5675</v>
      </c>
      <c r="C3" s="107">
        <f>'[1]Burn Report'!D62</f>
        <v>1575</v>
      </c>
      <c r="D3" s="107">
        <f>'[1]Burn Report'!E62</f>
        <v>1450</v>
      </c>
      <c r="E3" s="107">
        <f>'[1]Burn Report'!F62</f>
        <v>250</v>
      </c>
      <c r="F3" s="107">
        <f>'[1]Burn Report'!G62</f>
        <v>750</v>
      </c>
      <c r="G3" s="107">
        <f>'[1]Burn Report'!H62</f>
        <v>550</v>
      </c>
      <c r="H3" s="106">
        <f>'[1]Burn Report'!I62</f>
        <v>1200</v>
      </c>
    </row>
    <row r="4" spans="1:11" x14ac:dyDescent="0.3">
      <c r="A4" s="105" t="s">
        <v>144</v>
      </c>
      <c r="B4" s="104">
        <f>'[3]Weekly Meeting Costs'!$C$25</f>
        <v>12.25</v>
      </c>
      <c r="C4" s="103">
        <f>'[3]Weekly Meeting Costs'!X25</f>
        <v>11.25</v>
      </c>
      <c r="D4" s="103">
        <f>'[3]Weekly Meeting Costs'!Y25</f>
        <v>9.5</v>
      </c>
      <c r="E4" s="103">
        <f>'[3]Weekly Meeting Costs'!Z25</f>
        <v>12.25</v>
      </c>
      <c r="F4" s="103">
        <f>'[3]Weekly Meeting Costs'!AA25</f>
        <v>12.25</v>
      </c>
      <c r="G4" s="103">
        <f>'[3]Weekly Meeting Costs'!AB25</f>
        <v>12.25</v>
      </c>
      <c r="H4" s="102">
        <f>'[3]Weekly Meeting Costs'!AC25</f>
        <v>12.25</v>
      </c>
    </row>
    <row r="5" spans="1:11" x14ac:dyDescent="0.3">
      <c r="A5" s="101" t="s">
        <v>143</v>
      </c>
      <c r="B5" s="100">
        <f>'[3]Weekly Meeting Costs'!$J$25</f>
        <v>6975</v>
      </c>
      <c r="C5" s="99">
        <f>'[3]Weekly Meeting Costs'!P25</f>
        <v>1125</v>
      </c>
      <c r="D5" s="99">
        <f>'[3]Weekly Meeting Costs'!Q25</f>
        <v>950</v>
      </c>
      <c r="E5" s="99">
        <f>'[3]Weekly Meeting Costs'!R25</f>
        <v>1225</v>
      </c>
      <c r="F5" s="99">
        <f>'[3]Weekly Meeting Costs'!S25</f>
        <v>1225</v>
      </c>
      <c r="G5" s="99">
        <f>'[3]Weekly Meeting Costs'!T25</f>
        <v>1225</v>
      </c>
      <c r="H5" s="98">
        <f>'[3]Weekly Meeting Costs'!U25</f>
        <v>1225</v>
      </c>
    </row>
    <row r="6" spans="1:11" ht="15" thickBot="1" x14ac:dyDescent="0.35">
      <c r="A6" s="97"/>
      <c r="B6" s="96"/>
      <c r="C6" s="95"/>
      <c r="D6" s="95"/>
      <c r="E6" s="95"/>
      <c r="F6" s="95"/>
      <c r="G6" s="95"/>
      <c r="H6" s="94"/>
    </row>
    <row r="7" spans="1:11" x14ac:dyDescent="0.3">
      <c r="A7" s="93" t="s">
        <v>142</v>
      </c>
      <c r="B7" s="92">
        <f t="shared" ref="B7:H8" si="0">B2+B4</f>
        <v>70</v>
      </c>
      <c r="C7" s="91">
        <f t="shared" si="0"/>
        <v>27</v>
      </c>
      <c r="D7" s="90">
        <f t="shared" si="0"/>
        <v>24</v>
      </c>
      <c r="E7" s="89">
        <f t="shared" si="0"/>
        <v>14.75</v>
      </c>
      <c r="F7" s="89">
        <f t="shared" si="0"/>
        <v>19.75</v>
      </c>
      <c r="G7" s="89">
        <f t="shared" si="0"/>
        <v>17.75</v>
      </c>
      <c r="H7" s="88">
        <f t="shared" si="0"/>
        <v>24.25</v>
      </c>
    </row>
    <row r="8" spans="1:11" ht="15" thickBot="1" x14ac:dyDescent="0.35">
      <c r="A8" s="87" t="s">
        <v>141</v>
      </c>
      <c r="B8" s="86">
        <f t="shared" si="0"/>
        <v>12650</v>
      </c>
      <c r="C8" s="83">
        <f t="shared" si="0"/>
        <v>2700</v>
      </c>
      <c r="D8" s="85">
        <f t="shared" si="0"/>
        <v>2400</v>
      </c>
      <c r="E8" s="84">
        <f t="shared" si="0"/>
        <v>1475</v>
      </c>
      <c r="F8" s="83">
        <f t="shared" si="0"/>
        <v>1975</v>
      </c>
      <c r="G8" s="83">
        <f t="shared" si="0"/>
        <v>1775</v>
      </c>
      <c r="H8" s="82">
        <f t="shared" si="0"/>
        <v>2425</v>
      </c>
    </row>
    <row r="9" spans="1:11" x14ac:dyDescent="0.3">
      <c r="C9" s="81"/>
    </row>
    <row r="11" spans="1:11" ht="15" thickBot="1" x14ac:dyDescent="0.35">
      <c r="A11" s="79" t="s">
        <v>140</v>
      </c>
    </row>
    <row r="12" spans="1:11" x14ac:dyDescent="0.3">
      <c r="A12" s="78" t="s">
        <v>138</v>
      </c>
      <c r="B12" s="76" t="s">
        <v>137</v>
      </c>
      <c r="C12" s="77" t="s">
        <v>101</v>
      </c>
      <c r="D12" s="76" t="s">
        <v>66</v>
      </c>
      <c r="E12" s="76" t="s">
        <v>136</v>
      </c>
      <c r="F12" s="76" t="s">
        <v>74</v>
      </c>
      <c r="G12" s="76" t="s">
        <v>135</v>
      </c>
      <c r="H12" s="75" t="s">
        <v>126</v>
      </c>
    </row>
    <row r="13" spans="1:11" x14ac:dyDescent="0.3">
      <c r="A13" s="74">
        <v>43114</v>
      </c>
      <c r="B13" s="73">
        <v>1</v>
      </c>
      <c r="C13" s="72" t="e">
        <f>SUMIFS('Burn Report'!B$3:B$61,'[1]Burn Report'!$A$3:$A$61,"&gt;="&amp;$A13,'[1]Burn Report'!$A$3:$A$61,"&lt;="&amp;$A14)</f>
        <v>#VALUE!</v>
      </c>
      <c r="D13" s="72" t="e">
        <f>SUMIFS('Burn Report'!C$3:C$61,'[1]Burn Report'!$A$3:$A$61,"&gt;="&amp;$A13,'[1]Burn Report'!$A$3:$A$61,"&lt;="&amp;$A14)</f>
        <v>#VALUE!</v>
      </c>
      <c r="E13" s="72" t="e">
        <f>SUMIFS('Burn Report'!D$3:D$61,'[1]Burn Report'!$A$3:$A$61,"&gt;="&amp;$A13,'[1]Burn Report'!$A$3:$A$61,"&lt;="&amp;$A14)</f>
        <v>#VALUE!</v>
      </c>
      <c r="F13" s="72" t="e">
        <f>SUMIFS('Burn Report'!E$3:E$61,'[1]Burn Report'!$A$3:$A$61,"&gt;="&amp;$A13,'[1]Burn Report'!$A$3:$A$61,"&lt;="&amp;$A14)</f>
        <v>#VALUE!</v>
      </c>
      <c r="G13" s="72" t="e">
        <f>SUMIFS('Burn Report'!F$3:F$61,'[1]Burn Report'!$A$3:$A$61,"&gt;="&amp;$A13,'[1]Burn Report'!$A$3:$A$61,"&lt;="&amp;$A14)</f>
        <v>#VALUE!</v>
      </c>
      <c r="H13" s="80" t="e">
        <f>SUMIFS('Burn Report'!G$3:G$61,'[1]Burn Report'!$A$3:$A$61,"&gt;="&amp;$A13,'[1]Burn Report'!$A$3:$A$61,"&lt;="&amp;$A14)</f>
        <v>#VALUE!</v>
      </c>
    </row>
    <row r="14" spans="1:11" x14ac:dyDescent="0.3">
      <c r="A14" s="74">
        <v>43121</v>
      </c>
      <c r="B14" s="73">
        <v>2</v>
      </c>
      <c r="C14" s="72" t="e">
        <f>SUMIFS('Burn Report'!B$3:B$61,'[1]Burn Report'!$A$3:$A$61,"&gt;="&amp;($A14+DAY(1)),'[1]Burn Report'!$A$3:$A$61,"&lt;="&amp;$A15)</f>
        <v>#VALUE!</v>
      </c>
      <c r="D14" s="72" t="e">
        <f>SUMIFS('Burn Report'!C$3:C$61,'[1]Burn Report'!$A$3:$A$61,"&gt;="&amp;($A14+DAY(1)),'[1]Burn Report'!$A$3:$A$61,"&lt;="&amp;$A15)</f>
        <v>#VALUE!</v>
      </c>
      <c r="E14" s="72" t="e">
        <f>SUMIFS('Burn Report'!D$3:D$61,'[1]Burn Report'!$A$3:$A$61,"&gt;="&amp;($A14+DAY(1)),'[1]Burn Report'!$A$3:$A$61,"&lt;="&amp;$A15)</f>
        <v>#VALUE!</v>
      </c>
      <c r="F14" s="72" t="e">
        <f>SUMIFS('Burn Report'!E$3:E$61,'[1]Burn Report'!$A$3:$A$61,"&gt;="&amp;($A14+DAY(1)),'[1]Burn Report'!$A$3:$A$61,"&lt;="&amp;$A15)</f>
        <v>#VALUE!</v>
      </c>
      <c r="G14" s="72" t="e">
        <f>SUMIFS('Burn Report'!F$3:F$61,'[1]Burn Report'!$A$3:$A$61,"&gt;="&amp;($A14+DAY(1)),'[1]Burn Report'!$A$3:$A$61,"&lt;="&amp;$A15)</f>
        <v>#VALUE!</v>
      </c>
      <c r="H14" s="72" t="e">
        <f>SUMIFS('Burn Report'!G$3:G$61,'[1]Burn Report'!$A$3:$A$61,"&gt;="&amp;($A14+DAY(1)),'[1]Burn Report'!$A$3:$A$61,"&lt;="&amp;$A15)</f>
        <v>#VALUE!</v>
      </c>
    </row>
    <row r="15" spans="1:11" x14ac:dyDescent="0.3">
      <c r="A15" s="74">
        <v>43128</v>
      </c>
      <c r="B15" s="73">
        <v>3</v>
      </c>
      <c r="C15" s="72" t="e">
        <f>SUMIFS('Burn Report'!B$3:B$61,'[1]Burn Report'!$A$3:$A$61,"&gt;="&amp;($A15+DAY(1)),'[1]Burn Report'!$A$3:$A$61,"&lt;="&amp;$A16)</f>
        <v>#VALUE!</v>
      </c>
      <c r="D15" s="72" t="e">
        <f>SUMIFS('Burn Report'!C$3:C$61,'[1]Burn Report'!$A$3:$A$61,"&gt;="&amp;($A15+DAY(1)),'[1]Burn Report'!$A$3:$A$61,"&lt;="&amp;$A16)</f>
        <v>#VALUE!</v>
      </c>
      <c r="E15" s="72" t="e">
        <f>SUMIFS('Burn Report'!D$3:D$61,'[1]Burn Report'!$A$3:$A$61,"&gt;="&amp;($A15+DAY(1)),'[1]Burn Report'!$A$3:$A$61,"&lt;="&amp;$A16)</f>
        <v>#VALUE!</v>
      </c>
      <c r="F15" s="72" t="e">
        <f>SUMIFS('Burn Report'!E$3:E$61,'[1]Burn Report'!$A$3:$A$61,"&gt;="&amp;($A15+DAY(1)),'[1]Burn Report'!$A$3:$A$61,"&lt;="&amp;$A16)</f>
        <v>#VALUE!</v>
      </c>
      <c r="G15" s="72" t="e">
        <f>SUMIFS('Burn Report'!F$3:F$61,'[1]Burn Report'!$A$3:$A$61,"&gt;="&amp;($A15+DAY(1)),'[1]Burn Report'!$A$3:$A$61,"&lt;="&amp;$A16)</f>
        <v>#VALUE!</v>
      </c>
      <c r="H15" s="72" t="e">
        <f>SUMIFS('Burn Report'!G$3:G$61,'[1]Burn Report'!$A$3:$A$61,"&gt;="&amp;($A15+DAY(1)),'[1]Burn Report'!$A$3:$A$61,"&lt;="&amp;$A16)</f>
        <v>#VALUE!</v>
      </c>
    </row>
    <row r="16" spans="1:11" x14ac:dyDescent="0.3">
      <c r="A16" s="74">
        <v>43135</v>
      </c>
      <c r="B16" s="73">
        <v>4</v>
      </c>
      <c r="C16" s="72" t="e">
        <f>SUMIFS('Burn Report'!B$3:B$61,'[1]Burn Report'!$A$3:$A$61,"&gt;="&amp;($A16+DAY(1)),'[1]Burn Report'!$A$3:$A$61,"&lt;="&amp;$A17)</f>
        <v>#VALUE!</v>
      </c>
      <c r="D16" s="72" t="e">
        <f>SUMIFS('Burn Report'!C$3:C$61,'[1]Burn Report'!$A$3:$A$61,"&gt;="&amp;($A16+DAY(1)),'[1]Burn Report'!$A$3:$A$61,"&lt;="&amp;$A17)</f>
        <v>#VALUE!</v>
      </c>
      <c r="E16" s="72" t="e">
        <f>SUMIFS('Burn Report'!D$3:D$61,'[1]Burn Report'!$A$3:$A$61,"&gt;="&amp;($A16+DAY(1)),'[1]Burn Report'!$A$3:$A$61,"&lt;="&amp;$A17)</f>
        <v>#VALUE!</v>
      </c>
      <c r="F16" s="72" t="e">
        <f>SUMIFS('Burn Report'!E$3:E$61,'[1]Burn Report'!$A$3:$A$61,"&gt;="&amp;($A16+DAY(1)),'[1]Burn Report'!$A$3:$A$61,"&lt;="&amp;$A17)</f>
        <v>#VALUE!</v>
      </c>
      <c r="G16" s="72" t="e">
        <f>SUMIFS('Burn Report'!F$3:F$61,'[1]Burn Report'!$A$3:$A$61,"&gt;="&amp;($A16+DAY(1)),'[1]Burn Report'!$A$3:$A$61,"&lt;="&amp;$A17)</f>
        <v>#VALUE!</v>
      </c>
      <c r="H16" s="72" t="e">
        <f>SUMIFS('Burn Report'!G$3:G$61,'[1]Burn Report'!$A$3:$A$61,"&gt;="&amp;($A16+DAY(1)),'[1]Burn Report'!$A$3:$A$61,"&lt;="&amp;$A17)</f>
        <v>#VALUE!</v>
      </c>
    </row>
    <row r="17" spans="1:8" x14ac:dyDescent="0.3">
      <c r="A17" s="74">
        <v>43142</v>
      </c>
      <c r="B17" s="73">
        <v>5</v>
      </c>
      <c r="C17" s="72" t="e">
        <f>SUMIFS('Burn Report'!B$3:B$61,'[1]Burn Report'!$A$3:$A$61,"&gt;="&amp;($A17+DAY(1)),'[1]Burn Report'!$A$3:$A$61,"&lt;="&amp;$A18)</f>
        <v>#VALUE!</v>
      </c>
      <c r="D17" s="72" t="e">
        <f>SUMIFS('Burn Report'!C$3:C$61,'[1]Burn Report'!$A$3:$A$61,"&gt;="&amp;($A17+DAY(1)),'[1]Burn Report'!$A$3:$A$61,"&lt;="&amp;$A18)</f>
        <v>#VALUE!</v>
      </c>
      <c r="E17" s="72" t="e">
        <f>SUMIFS('Burn Report'!D$3:D$61,'[1]Burn Report'!$A$3:$A$61,"&gt;="&amp;($A17+DAY(1)),'[1]Burn Report'!$A$3:$A$61,"&lt;="&amp;$A18)</f>
        <v>#VALUE!</v>
      </c>
      <c r="F17" s="72" t="e">
        <f>SUMIFS('Burn Report'!E$3:E$61,'[1]Burn Report'!$A$3:$A$61,"&gt;="&amp;($A17+DAY(1)),'[1]Burn Report'!$A$3:$A$61,"&lt;="&amp;$A18)</f>
        <v>#VALUE!</v>
      </c>
      <c r="G17" s="72" t="e">
        <f>SUMIFS('Burn Report'!F$3:F$61,'[1]Burn Report'!$A$3:$A$61,"&gt;="&amp;($A17+DAY(1)),'[1]Burn Report'!$A$3:$A$61,"&lt;="&amp;$A18)</f>
        <v>#VALUE!</v>
      </c>
      <c r="H17" s="72" t="e">
        <f>SUMIFS('Burn Report'!G$3:G$61,'[1]Burn Report'!$A$3:$A$61,"&gt;="&amp;($A17+DAY(1)),'[1]Burn Report'!$A$3:$A$61,"&lt;="&amp;$A18)</f>
        <v>#VALUE!</v>
      </c>
    </row>
    <row r="18" spans="1:8" x14ac:dyDescent="0.3">
      <c r="A18" s="74">
        <v>43149</v>
      </c>
      <c r="B18" s="73">
        <v>6</v>
      </c>
      <c r="C18" s="72" t="e">
        <f>SUMIFS('Burn Report'!B$3:B$61,'[1]Burn Report'!$A$3:$A$61,"&gt;="&amp;($A18+DAY(1)),'[1]Burn Report'!$A$3:$A$61,"&lt;="&amp;$A19)</f>
        <v>#VALUE!</v>
      </c>
      <c r="D18" s="72" t="e">
        <f>SUMIFS('Burn Report'!C$3:C$61,'[1]Burn Report'!$A$3:$A$61,"&gt;="&amp;($A18+DAY(1)),'[1]Burn Report'!$A$3:$A$61,"&lt;="&amp;$A19)</f>
        <v>#VALUE!</v>
      </c>
      <c r="E18" s="72" t="e">
        <f>SUMIFS('Burn Report'!D$3:D$61,'[1]Burn Report'!$A$3:$A$61,"&gt;="&amp;($A18+DAY(1)),'[1]Burn Report'!$A$3:$A$61,"&lt;="&amp;$A19)</f>
        <v>#VALUE!</v>
      </c>
      <c r="F18" s="72" t="e">
        <f>SUMIFS('Burn Report'!E$3:E$61,'[1]Burn Report'!$A$3:$A$61,"&gt;="&amp;($A18+DAY(1)),'[1]Burn Report'!$A$3:$A$61,"&lt;="&amp;$A19)</f>
        <v>#VALUE!</v>
      </c>
      <c r="G18" s="72" t="e">
        <f>SUMIFS('Burn Report'!F$3:F$61,'[1]Burn Report'!$A$3:$A$61,"&gt;="&amp;($A18+DAY(1)),'[1]Burn Report'!$A$3:$A$61,"&lt;="&amp;$A19)</f>
        <v>#VALUE!</v>
      </c>
      <c r="H18" s="72" t="e">
        <f>SUMIFS('Burn Report'!G$3:G$61,'[1]Burn Report'!$A$3:$A$61,"&gt;="&amp;($A18+DAY(1)),'[1]Burn Report'!$A$3:$A$61,"&lt;="&amp;$A19)</f>
        <v>#VALUE!</v>
      </c>
    </row>
    <row r="19" spans="1:8" x14ac:dyDescent="0.3">
      <c r="A19" s="74">
        <v>43156</v>
      </c>
      <c r="B19" s="73">
        <v>7</v>
      </c>
      <c r="C19" s="72" t="e">
        <f>SUMIFS('Burn Report'!B$3:B$61,'[1]Burn Report'!$A$3:$A$61,"&gt;="&amp;($A19+DAY(1)),'[1]Burn Report'!$A$3:$A$61,"&lt;="&amp;$A20)</f>
        <v>#VALUE!</v>
      </c>
      <c r="D19" s="72" t="e">
        <f>SUMIFS('Burn Report'!C$3:C$61,'[1]Burn Report'!$A$3:$A$61,"&gt;="&amp;($A19+DAY(1)),'[1]Burn Report'!$A$3:$A$61,"&lt;="&amp;$A20)</f>
        <v>#VALUE!</v>
      </c>
      <c r="E19" s="72" t="e">
        <f>SUMIFS('Burn Report'!D$3:D$61,'[1]Burn Report'!$A$3:$A$61,"&gt;="&amp;($A19+DAY(1)),'[1]Burn Report'!$A$3:$A$61,"&lt;="&amp;$A20)</f>
        <v>#VALUE!</v>
      </c>
      <c r="F19" s="72" t="e">
        <f>SUMIFS('Burn Report'!E$3:E$61,'[1]Burn Report'!$A$3:$A$61,"&gt;="&amp;($A19+DAY(1)),'[1]Burn Report'!$A$3:$A$61,"&lt;="&amp;$A20)</f>
        <v>#VALUE!</v>
      </c>
      <c r="G19" s="72" t="e">
        <f>SUMIFS('Burn Report'!F$3:F$61,'[1]Burn Report'!$A$3:$A$61,"&gt;="&amp;($A19+DAY(1)),'[1]Burn Report'!$A$3:$A$61,"&lt;="&amp;$A20)</f>
        <v>#VALUE!</v>
      </c>
      <c r="H19" s="72" t="e">
        <f>SUMIFS('Burn Report'!G$3:G$61,'[1]Burn Report'!$A$3:$A$61,"&gt;="&amp;($A19+DAY(1)),'[1]Burn Report'!$A$3:$A$61,"&lt;="&amp;$A20)</f>
        <v>#VALUE!</v>
      </c>
    </row>
    <row r="20" spans="1:8" x14ac:dyDescent="0.3">
      <c r="A20" s="74">
        <v>43163</v>
      </c>
      <c r="B20" s="73">
        <v>8</v>
      </c>
      <c r="C20" s="72" t="e">
        <f>SUMIFS('Burn Report'!B$3:B$61,'[1]Burn Report'!$A$3:$A$61,"&gt;="&amp;($A20+DAY(1)),'[1]Burn Report'!$A$3:$A$61,"&lt;="&amp;$A21)</f>
        <v>#VALUE!</v>
      </c>
      <c r="D20" s="72" t="e">
        <f>SUMIFS('Burn Report'!C$3:C$61,'[1]Burn Report'!$A$3:$A$61,"&gt;="&amp;($A20+DAY(1)),'[1]Burn Report'!$A$3:$A$61,"&lt;="&amp;$A21)</f>
        <v>#VALUE!</v>
      </c>
      <c r="E20" s="72" t="e">
        <f>SUMIFS('Burn Report'!D$3:D$61,'[1]Burn Report'!$A$3:$A$61,"&gt;="&amp;($A20+DAY(1)),'[1]Burn Report'!$A$3:$A$61,"&lt;="&amp;$A21)</f>
        <v>#VALUE!</v>
      </c>
      <c r="F20" s="72" t="e">
        <f>SUMIFS('Burn Report'!E$3:E$61,'[1]Burn Report'!$A$3:$A$61,"&gt;="&amp;($A20+DAY(1)),'[1]Burn Report'!$A$3:$A$61,"&lt;="&amp;$A21)</f>
        <v>#VALUE!</v>
      </c>
      <c r="G20" s="72" t="e">
        <f>SUMIFS('Burn Report'!F$3:F$61,'[1]Burn Report'!$A$3:$A$61,"&gt;="&amp;($A20+DAY(1)),'[1]Burn Report'!$A$3:$A$61,"&lt;="&amp;$A21)</f>
        <v>#VALUE!</v>
      </c>
      <c r="H20" s="72" t="e">
        <f>SUMIFS('Burn Report'!G$3:G$61,'[1]Burn Report'!$A$3:$A$61,"&gt;="&amp;($A20+DAY(1)),'[1]Burn Report'!$A$3:$A$61,"&lt;="&amp;$A21)</f>
        <v>#VALUE!</v>
      </c>
    </row>
    <row r="21" spans="1:8" x14ac:dyDescent="0.3">
      <c r="A21" s="74">
        <v>43170</v>
      </c>
      <c r="B21" s="73">
        <v>9</v>
      </c>
      <c r="C21" s="72" t="e">
        <f>SUMIFS('Burn Report'!B$3:B$61,'[1]Burn Report'!$A$3:$A$61,"&gt;="&amp;($A21+DAY(1)),'[1]Burn Report'!$A$3:$A$61,"&lt;="&amp;$A22)</f>
        <v>#VALUE!</v>
      </c>
      <c r="D21" s="72" t="e">
        <f>SUMIFS('Burn Report'!C$3:C$61,'[1]Burn Report'!$A$3:$A$61,"&gt;="&amp;($A21+DAY(1)),'[1]Burn Report'!$A$3:$A$61,"&lt;="&amp;$A22)</f>
        <v>#VALUE!</v>
      </c>
      <c r="E21" s="72" t="e">
        <f>SUMIFS('Burn Report'!D$3:D$61,'[1]Burn Report'!$A$3:$A$61,"&gt;="&amp;($A21+DAY(1)),'[1]Burn Report'!$A$3:$A$61,"&lt;="&amp;$A22)</f>
        <v>#VALUE!</v>
      </c>
      <c r="F21" s="72" t="e">
        <f>SUMIFS('Burn Report'!E$3:E$61,'[1]Burn Report'!$A$3:$A$61,"&gt;="&amp;($A21+DAY(1)),'[1]Burn Report'!$A$3:$A$61,"&lt;="&amp;$A22)</f>
        <v>#VALUE!</v>
      </c>
      <c r="G21" s="72" t="e">
        <f>SUMIFS('Burn Report'!F$3:F$61,'[1]Burn Report'!$A$3:$A$61,"&gt;="&amp;($A21+DAY(1)),'[1]Burn Report'!$A$3:$A$61,"&lt;="&amp;$A22)</f>
        <v>#VALUE!</v>
      </c>
      <c r="H21" s="72" t="e">
        <f>SUMIFS('Burn Report'!G$3:G$61,'[1]Burn Report'!$A$3:$A$61,"&gt;="&amp;($A21+DAY(1)),'[1]Burn Report'!$A$3:$A$61,"&lt;="&amp;$A22)</f>
        <v>#VALUE!</v>
      </c>
    </row>
    <row r="22" spans="1:8" x14ac:dyDescent="0.3">
      <c r="A22" s="74">
        <v>43177</v>
      </c>
      <c r="B22" s="73">
        <v>10</v>
      </c>
      <c r="C22" s="72" t="e">
        <f>SUMIFS('Burn Report'!B$3:B$61,'[1]Burn Report'!$A$3:$A$61,"&gt;="&amp;($A22+DAY(1)),'[1]Burn Report'!$A$3:$A$61,"&lt;="&amp;$A23)</f>
        <v>#VALUE!</v>
      </c>
      <c r="D22" s="72" t="e">
        <f>SUMIFS('Burn Report'!C$3:C$61,'[1]Burn Report'!$A$3:$A$61,"&gt;="&amp;($A22+DAY(1)),'[1]Burn Report'!$A$3:$A$61,"&lt;="&amp;$A23)</f>
        <v>#VALUE!</v>
      </c>
      <c r="E22" s="72" t="e">
        <f>SUMIFS('Burn Report'!D$3:D$61,'[1]Burn Report'!$A$3:$A$61,"&gt;="&amp;($A22+DAY(1)),'[1]Burn Report'!$A$3:$A$61,"&lt;="&amp;$A23)</f>
        <v>#VALUE!</v>
      </c>
      <c r="F22" s="72" t="e">
        <f>SUMIFS('Burn Report'!E$3:E$61,'[1]Burn Report'!$A$3:$A$61,"&gt;="&amp;($A22+DAY(1)),'[1]Burn Report'!$A$3:$A$61,"&lt;="&amp;$A23)</f>
        <v>#VALUE!</v>
      </c>
      <c r="G22" s="72" t="e">
        <f>SUMIFS('Burn Report'!F$3:F$61,'[1]Burn Report'!$A$3:$A$61,"&gt;="&amp;($A22+DAY(1)),'[1]Burn Report'!$A$3:$A$61,"&lt;="&amp;$A23)</f>
        <v>#VALUE!</v>
      </c>
      <c r="H22" s="72" t="e">
        <f>SUMIFS('Burn Report'!G$3:G$61,'[1]Burn Report'!$A$3:$A$61,"&gt;="&amp;($A22+DAY(1)),'[1]Burn Report'!$A$3:$A$61,"&lt;="&amp;$A23)</f>
        <v>#VALUE!</v>
      </c>
    </row>
    <row r="23" spans="1:8" x14ac:dyDescent="0.3">
      <c r="A23" s="74">
        <v>43184</v>
      </c>
      <c r="B23" s="73">
        <v>11</v>
      </c>
      <c r="C23" s="72" t="e">
        <f>SUMIFS('Burn Report'!B$3:B$61,'[1]Burn Report'!$A$3:$A$61,"&gt;="&amp;($A23+DAY(1)),'[1]Burn Report'!$A$3:$A$61,"&lt;="&amp;$A24)</f>
        <v>#VALUE!</v>
      </c>
      <c r="D23" s="72" t="e">
        <f>SUMIFS('Burn Report'!C$3:C$61,'[1]Burn Report'!$A$3:$A$61,"&gt;="&amp;($A23+DAY(1)),'[1]Burn Report'!$A$3:$A$61,"&lt;="&amp;$A24)</f>
        <v>#VALUE!</v>
      </c>
      <c r="E23" s="72" t="e">
        <f>SUMIFS('Burn Report'!D$3:D$61,'[1]Burn Report'!$A$3:$A$61,"&gt;="&amp;($A23+DAY(1)),'[1]Burn Report'!$A$3:$A$61,"&lt;="&amp;$A24)</f>
        <v>#VALUE!</v>
      </c>
      <c r="F23" s="72" t="e">
        <f>SUMIFS('Burn Report'!E$3:E$61,'[1]Burn Report'!$A$3:$A$61,"&gt;="&amp;($A23+DAY(1)),'[1]Burn Report'!$A$3:$A$61,"&lt;="&amp;$A24)</f>
        <v>#VALUE!</v>
      </c>
      <c r="G23" s="72" t="e">
        <f>SUMIFS('Burn Report'!F$3:F$61,'[1]Burn Report'!$A$3:$A$61,"&gt;="&amp;($A23+DAY(1)),'[1]Burn Report'!$A$3:$A$61,"&lt;="&amp;$A24)</f>
        <v>#VALUE!</v>
      </c>
      <c r="H23" s="72" t="e">
        <f>SUMIFS('Burn Report'!G$3:G$61,'[1]Burn Report'!$A$3:$A$61,"&gt;="&amp;($A23+DAY(1)),'[1]Burn Report'!$A$3:$A$61,"&lt;="&amp;$A24)</f>
        <v>#VALUE!</v>
      </c>
    </row>
    <row r="24" spans="1:8" x14ac:dyDescent="0.3">
      <c r="A24" s="74">
        <v>43191</v>
      </c>
      <c r="B24" s="73">
        <v>12</v>
      </c>
      <c r="C24" s="72" t="e">
        <f>SUMIFS('Burn Report'!B$3:B$61,'[1]Burn Report'!$A$3:$A$61,"&gt;="&amp;($A24+DAY(1)),'[1]Burn Report'!$A$3:$A$61,"&lt;="&amp;$A25)</f>
        <v>#VALUE!</v>
      </c>
      <c r="D24" s="72" t="e">
        <f>SUMIFS('Burn Report'!C$3:C$61,'[1]Burn Report'!$A$3:$A$61,"&gt;="&amp;($A24+DAY(1)),'[1]Burn Report'!$A$3:$A$61,"&lt;="&amp;$A25)</f>
        <v>#VALUE!</v>
      </c>
      <c r="E24" s="72" t="e">
        <f>SUMIFS('Burn Report'!D$3:D$61,'[1]Burn Report'!$A$3:$A$61,"&gt;="&amp;($A24+DAY(1)),'[1]Burn Report'!$A$3:$A$61,"&lt;="&amp;$A25)</f>
        <v>#VALUE!</v>
      </c>
      <c r="F24" s="72" t="e">
        <f>SUMIFS('Burn Report'!E$3:E$61,'[1]Burn Report'!$A$3:$A$61,"&gt;="&amp;($A24+DAY(1)),'[1]Burn Report'!$A$3:$A$61,"&lt;="&amp;$A25)</f>
        <v>#VALUE!</v>
      </c>
      <c r="G24" s="72" t="e">
        <f>SUMIFS('Burn Report'!F$3:F$61,'[1]Burn Report'!$A$3:$A$61,"&gt;="&amp;($A24+DAY(1)),'[1]Burn Report'!$A$3:$A$61,"&lt;="&amp;$A25)</f>
        <v>#VALUE!</v>
      </c>
      <c r="H24" s="72" t="e">
        <f>SUMIFS('Burn Report'!G$3:G$61,'[1]Burn Report'!$A$3:$A$61,"&gt;="&amp;($A24+DAY(1)),'[1]Burn Report'!$A$3:$A$61,"&lt;="&amp;$A25)</f>
        <v>#VALUE!</v>
      </c>
    </row>
    <row r="25" spans="1:8" x14ac:dyDescent="0.3">
      <c r="A25" s="74">
        <v>43198</v>
      </c>
      <c r="B25" s="73">
        <v>13</v>
      </c>
      <c r="C25" s="72" t="e">
        <f>SUMIFS('Burn Report'!B$3:B$61,'[1]Burn Report'!$A$3:$A$61,"&gt;="&amp;($A25+DAY(1)),'[1]Burn Report'!$A$3:$A$61,"&lt;="&amp;$A26)</f>
        <v>#VALUE!</v>
      </c>
      <c r="D25" s="72" t="e">
        <f>SUMIFS('Burn Report'!C$3:C$61,'[1]Burn Report'!$A$3:$A$61,"&gt;="&amp;($A25+DAY(1)),'[1]Burn Report'!$A$3:$A$61,"&lt;="&amp;$A26)</f>
        <v>#VALUE!</v>
      </c>
      <c r="E25" s="72" t="e">
        <f>SUMIFS('Burn Report'!D$3:D$61,'[1]Burn Report'!$A$3:$A$61,"&gt;="&amp;($A25+DAY(1)),'[1]Burn Report'!$A$3:$A$61,"&lt;="&amp;$A26)</f>
        <v>#VALUE!</v>
      </c>
      <c r="F25" s="72" t="e">
        <f>SUMIFS('Burn Report'!E$3:E$61,'[1]Burn Report'!$A$3:$A$61,"&gt;="&amp;($A25+DAY(1)),'[1]Burn Report'!$A$3:$A$61,"&lt;="&amp;$A26)</f>
        <v>#VALUE!</v>
      </c>
      <c r="G25" s="72" t="e">
        <f>SUMIFS('Burn Report'!F$3:F$61,'[1]Burn Report'!$A$3:$A$61,"&gt;="&amp;($A25+DAY(1)),'[1]Burn Report'!$A$3:$A$61,"&lt;="&amp;$A26)</f>
        <v>#VALUE!</v>
      </c>
      <c r="H25" s="72" t="e">
        <f>SUMIFS('Burn Report'!G$3:G$61,'[1]Burn Report'!$A$3:$A$61,"&gt;="&amp;($A25+DAY(1)),'[1]Burn Report'!$A$3:$A$61,"&lt;="&amp;$A26)</f>
        <v>#VALUE!</v>
      </c>
    </row>
    <row r="26" spans="1:8" x14ac:dyDescent="0.3">
      <c r="A26" s="74">
        <v>43205</v>
      </c>
      <c r="B26" s="73">
        <v>14</v>
      </c>
      <c r="C26" s="72" t="e">
        <f>SUMIFS('Burn Report'!B$3:B$61,'[1]Burn Report'!$A$3:$A$61,"&gt;="&amp;($A26+DAY(1)),'[1]Burn Report'!$A$3:$A$61,"&lt;="&amp;$A27)</f>
        <v>#VALUE!</v>
      </c>
      <c r="D26" s="72" t="e">
        <f>SUMIFS('Burn Report'!C$3:C$61,'[1]Burn Report'!$A$3:$A$61,"&gt;="&amp;($A26+DAY(1)),'[1]Burn Report'!$A$3:$A$61,"&lt;="&amp;$A27)</f>
        <v>#VALUE!</v>
      </c>
      <c r="E26" s="72" t="e">
        <f>SUMIFS('Burn Report'!D$3:D$61,'[1]Burn Report'!$A$3:$A$61,"&gt;="&amp;($A26+DAY(1)),'[1]Burn Report'!$A$3:$A$61,"&lt;="&amp;$A27)</f>
        <v>#VALUE!</v>
      </c>
      <c r="F26" s="72" t="e">
        <f>SUMIFS('Burn Report'!E$3:E$61,'[1]Burn Report'!$A$3:$A$61,"&gt;="&amp;($A26+DAY(1)),'[1]Burn Report'!$A$3:$A$61,"&lt;="&amp;$A27)</f>
        <v>#VALUE!</v>
      </c>
      <c r="G26" s="72" t="e">
        <f>SUMIFS('Burn Report'!F$3:F$61,'[1]Burn Report'!$A$3:$A$61,"&gt;="&amp;($A26+DAY(1)),'[1]Burn Report'!$A$3:$A$61,"&lt;="&amp;$A27)</f>
        <v>#VALUE!</v>
      </c>
      <c r="H26" s="72" t="e">
        <f>SUMIFS('Burn Report'!G$3:G$61,'[1]Burn Report'!$A$3:$A$61,"&gt;="&amp;($A26+DAY(1)),'[1]Burn Report'!$A$3:$A$61,"&lt;="&amp;$A27)</f>
        <v>#VALUE!</v>
      </c>
    </row>
    <row r="27" spans="1:8" x14ac:dyDescent="0.3">
      <c r="A27" s="74">
        <v>43212</v>
      </c>
      <c r="B27" s="73">
        <v>15</v>
      </c>
      <c r="C27" s="72" t="e">
        <f>SUMIFS('Burn Report'!B$3:B$61,'[1]Burn Report'!$A$3:$A$61,"&gt;="&amp;($A27+DAY(1)),'[1]Burn Report'!$A$3:$A$61,"&lt;="&amp;$A28)</f>
        <v>#VALUE!</v>
      </c>
      <c r="D27" s="72" t="e">
        <f>SUMIFS('Burn Report'!C$3:C$61,'[1]Burn Report'!$A$3:$A$61,"&gt;="&amp;($A27+DAY(1)),'[1]Burn Report'!$A$3:$A$61,"&lt;="&amp;$A28)</f>
        <v>#VALUE!</v>
      </c>
      <c r="E27" s="72" t="e">
        <f>SUMIFS('Burn Report'!D$3:D$61,'[1]Burn Report'!$A$3:$A$61,"&gt;="&amp;($A27+DAY(1)),'[1]Burn Report'!$A$3:$A$61,"&lt;="&amp;$A28)</f>
        <v>#VALUE!</v>
      </c>
      <c r="F27" s="72" t="e">
        <f>SUMIFS('Burn Report'!E$3:E$61,'[1]Burn Report'!$A$3:$A$61,"&gt;="&amp;($A27+DAY(1)),'[1]Burn Report'!$A$3:$A$61,"&lt;="&amp;$A28)</f>
        <v>#VALUE!</v>
      </c>
      <c r="G27" s="72" t="e">
        <f>SUMIFS('Burn Report'!F$3:F$61,'[1]Burn Report'!$A$3:$A$61,"&gt;="&amp;($A27+DAY(1)),'[1]Burn Report'!$A$3:$A$61,"&lt;="&amp;$A28)</f>
        <v>#VALUE!</v>
      </c>
      <c r="H27" s="72" t="e">
        <f>SUMIFS('Burn Report'!G$3:G$61,'[1]Burn Report'!$A$3:$A$61,"&gt;="&amp;($A27+DAY(1)),'[1]Burn Report'!$A$3:$A$61,"&lt;="&amp;$A28)</f>
        <v>#VALUE!</v>
      </c>
    </row>
    <row r="28" spans="1:8" ht="15" thickBot="1" x14ac:dyDescent="0.35">
      <c r="A28" s="176" t="s">
        <v>133</v>
      </c>
      <c r="B28" s="187" t="e">
        <f>SUM(C28:H28)</f>
        <v>#VALUE!</v>
      </c>
      <c r="C28" s="184" t="e">
        <f t="shared" ref="C28:H28" si="1">SUM(C13:C27)</f>
        <v>#VALUE!</v>
      </c>
      <c r="D28" s="185" t="e">
        <f t="shared" si="1"/>
        <v>#VALUE!</v>
      </c>
      <c r="E28" s="185" t="e">
        <f t="shared" si="1"/>
        <v>#VALUE!</v>
      </c>
      <c r="F28" s="185" t="e">
        <f t="shared" si="1"/>
        <v>#VALUE!</v>
      </c>
      <c r="G28" s="185" t="e">
        <f t="shared" si="1"/>
        <v>#VALUE!</v>
      </c>
      <c r="H28" s="186" t="e">
        <f t="shared" si="1"/>
        <v>#VALUE!</v>
      </c>
    </row>
    <row r="30" spans="1:8" ht="15" thickBot="1" x14ac:dyDescent="0.35">
      <c r="A30" s="79" t="s">
        <v>177</v>
      </c>
    </row>
    <row r="31" spans="1:8" x14ac:dyDescent="0.3">
      <c r="A31" s="78" t="s">
        <v>138</v>
      </c>
      <c r="B31" s="76" t="s">
        <v>137</v>
      </c>
      <c r="C31" s="77" t="s">
        <v>101</v>
      </c>
      <c r="D31" s="76" t="s">
        <v>66</v>
      </c>
      <c r="E31" s="76" t="s">
        <v>136</v>
      </c>
      <c r="F31" s="76" t="s">
        <v>74</v>
      </c>
      <c r="G31" s="76" t="s">
        <v>135</v>
      </c>
      <c r="H31" s="75" t="s">
        <v>126</v>
      </c>
    </row>
    <row r="32" spans="1:8" x14ac:dyDescent="0.3">
      <c r="A32" s="74">
        <v>43114</v>
      </c>
      <c r="B32" s="73">
        <v>1</v>
      </c>
      <c r="C32" s="175" t="e">
        <f>SUMIFS('Burn Report'!J$3:J$61,'[1]Burn Report'!$A$3:$A$61,"&gt;="&amp;$A32,'[1]Burn Report'!$A$3:$A$61,"&lt;="&amp;$A33)</f>
        <v>#VALUE!</v>
      </c>
      <c r="D32" s="175" t="e">
        <f>SUMIFS('Burn Report'!K$3:K$61,'[1]Burn Report'!$A$3:$A$61,"&gt;="&amp;$A32,'[1]Burn Report'!$A$3:$A$61,"&lt;="&amp;$A33)</f>
        <v>#VALUE!</v>
      </c>
      <c r="E32" s="175" t="e">
        <f>SUMIFS('Burn Report'!L$3:L$61,'[1]Burn Report'!$A$3:$A$61,"&gt;="&amp;$A32,'[1]Burn Report'!$A$3:$A$61,"&lt;="&amp;$A33)</f>
        <v>#VALUE!</v>
      </c>
      <c r="F32" s="175" t="e">
        <f>SUMIFS('Burn Report'!M$3:M$61,'[1]Burn Report'!$A$3:$A$61,"&gt;="&amp;$A32,'[1]Burn Report'!$A$3:$A$61,"&lt;="&amp;$A33)</f>
        <v>#VALUE!</v>
      </c>
      <c r="G32" s="175" t="e">
        <f>SUMIFS('Burn Report'!N$3:N$61,'[1]Burn Report'!$A$3:$A$61,"&gt;="&amp;$A32,'[1]Burn Report'!$A$3:$A$61,"&lt;="&amp;$A33)</f>
        <v>#VALUE!</v>
      </c>
      <c r="H32" s="175" t="e">
        <f>SUMIFS('Burn Report'!O$3:O$61,'[1]Burn Report'!$A$3:$A$61,"&gt;="&amp;$A32,'[1]Burn Report'!$A$3:$A$61,"&lt;="&amp;$A33)</f>
        <v>#VALUE!</v>
      </c>
    </row>
    <row r="33" spans="1:8" x14ac:dyDescent="0.3">
      <c r="A33" s="74">
        <v>43121</v>
      </c>
      <c r="B33" s="73">
        <v>2</v>
      </c>
      <c r="C33" s="175" t="e">
        <f>SUMIFS('Burn Report'!J$3:J$61,'[1]Burn Report'!$A$3:$A$61,"&gt;="&amp;($A33+DAY(1)),'[1]Burn Report'!$A$3:$A$61,"&lt;="&amp;$A34)</f>
        <v>#VALUE!</v>
      </c>
      <c r="D33" s="175" t="e">
        <f>SUMIFS('Burn Report'!K$3:K$61,'[1]Burn Report'!$A$3:$A$61,"&gt;="&amp;($A33+DAY(1)),'[1]Burn Report'!$A$3:$A$61,"&lt;="&amp;$A34)</f>
        <v>#VALUE!</v>
      </c>
      <c r="E33" s="175" t="e">
        <f>SUMIFS('Burn Report'!L$3:L$61,'[1]Burn Report'!$A$3:$A$61,"&gt;="&amp;($A33+DAY(1)),'[1]Burn Report'!$A$3:$A$61,"&lt;="&amp;$A34)</f>
        <v>#VALUE!</v>
      </c>
      <c r="F33" s="175" t="e">
        <f>SUMIFS('Burn Report'!M$3:M$61,'[1]Burn Report'!$A$3:$A$61,"&gt;="&amp;($A33+DAY(1)),'[1]Burn Report'!$A$3:$A$61,"&lt;="&amp;$A34)</f>
        <v>#VALUE!</v>
      </c>
      <c r="G33" s="175" t="e">
        <f>SUMIFS('Burn Report'!N$3:N$61,'[1]Burn Report'!$A$3:$A$61,"&gt;="&amp;($A33+DAY(1)),'[1]Burn Report'!$A$3:$A$61,"&lt;="&amp;$A34)</f>
        <v>#VALUE!</v>
      </c>
      <c r="H33" s="175" t="e">
        <f>SUMIFS('Burn Report'!O$3:O$61,'[1]Burn Report'!$A$3:$A$61,"&gt;="&amp;($A33+DAY(1)),'[1]Burn Report'!$A$3:$A$61,"&lt;="&amp;$A34)</f>
        <v>#VALUE!</v>
      </c>
    </row>
    <row r="34" spans="1:8" x14ac:dyDescent="0.3">
      <c r="A34" s="74">
        <v>43128</v>
      </c>
      <c r="B34" s="73">
        <v>3</v>
      </c>
      <c r="C34" s="175" t="e">
        <f>SUMIFS('Burn Report'!J$3:J$61,'[1]Burn Report'!$A$3:$A$61,"&gt;="&amp;($A34+DAY(1)),'[1]Burn Report'!$A$3:$A$61,"&lt;="&amp;$A35)</f>
        <v>#VALUE!</v>
      </c>
      <c r="D34" s="175" t="e">
        <f>SUMIFS('Burn Report'!K$3:K$61,'[1]Burn Report'!$A$3:$A$61,"&gt;="&amp;($A34+DAY(1)),'[1]Burn Report'!$A$3:$A$61,"&lt;="&amp;$A35)</f>
        <v>#VALUE!</v>
      </c>
      <c r="E34" s="175" t="e">
        <f>SUMIFS('Burn Report'!L$3:L$61,'[1]Burn Report'!$A$3:$A$61,"&gt;="&amp;($A34+DAY(1)),'[1]Burn Report'!$A$3:$A$61,"&lt;="&amp;$A35)</f>
        <v>#VALUE!</v>
      </c>
      <c r="F34" s="175" t="e">
        <f>SUMIFS('Burn Report'!M$3:M$61,'[1]Burn Report'!$A$3:$A$61,"&gt;="&amp;($A34+DAY(1)),'[1]Burn Report'!$A$3:$A$61,"&lt;="&amp;$A35)</f>
        <v>#VALUE!</v>
      </c>
      <c r="G34" s="175" t="e">
        <f>SUMIFS('Burn Report'!N$3:N$61,'[1]Burn Report'!$A$3:$A$61,"&gt;="&amp;($A34+DAY(1)),'[1]Burn Report'!$A$3:$A$61,"&lt;="&amp;$A35)</f>
        <v>#VALUE!</v>
      </c>
      <c r="H34" s="175" t="e">
        <f>SUMIFS('Burn Report'!O$3:O$61,'[1]Burn Report'!$A$3:$A$61,"&gt;="&amp;($A34+DAY(1)),'[1]Burn Report'!$A$3:$A$61,"&lt;="&amp;$A35)</f>
        <v>#VALUE!</v>
      </c>
    </row>
    <row r="35" spans="1:8" x14ac:dyDescent="0.3">
      <c r="A35" s="74">
        <v>43135</v>
      </c>
      <c r="B35" s="73">
        <v>4</v>
      </c>
      <c r="C35" s="175" t="e">
        <f>SUMIFS('Burn Report'!J$3:J$61,'[1]Burn Report'!$A$3:$A$61,"&gt;="&amp;($A35+DAY(1)),'[1]Burn Report'!$A$3:$A$61,"&lt;="&amp;$A36)</f>
        <v>#VALUE!</v>
      </c>
      <c r="D35" s="175" t="e">
        <f>SUMIFS('Burn Report'!K$3:K$61,'[1]Burn Report'!$A$3:$A$61,"&gt;="&amp;($A35+DAY(1)),'[1]Burn Report'!$A$3:$A$61,"&lt;="&amp;$A36)</f>
        <v>#VALUE!</v>
      </c>
      <c r="E35" s="175" t="e">
        <f>SUMIFS('Burn Report'!L$3:L$61,'[1]Burn Report'!$A$3:$A$61,"&gt;="&amp;($A35+DAY(1)),'[1]Burn Report'!$A$3:$A$61,"&lt;="&amp;$A36)</f>
        <v>#VALUE!</v>
      </c>
      <c r="F35" s="175" t="e">
        <f>SUMIFS('Burn Report'!M$3:M$61,'[1]Burn Report'!$A$3:$A$61,"&gt;="&amp;($A35+DAY(1)),'[1]Burn Report'!$A$3:$A$61,"&lt;="&amp;$A36)</f>
        <v>#VALUE!</v>
      </c>
      <c r="G35" s="175" t="e">
        <f>SUMIFS('Burn Report'!N$3:N$61,'[1]Burn Report'!$A$3:$A$61,"&gt;="&amp;($A35+DAY(1)),'[1]Burn Report'!$A$3:$A$61,"&lt;="&amp;$A36)</f>
        <v>#VALUE!</v>
      </c>
      <c r="H35" s="175" t="e">
        <f>SUMIFS('Burn Report'!O$3:O$61,'[1]Burn Report'!$A$3:$A$61,"&gt;="&amp;($A35+DAY(1)),'[1]Burn Report'!$A$3:$A$61,"&lt;="&amp;$A36)</f>
        <v>#VALUE!</v>
      </c>
    </row>
    <row r="36" spans="1:8" x14ac:dyDescent="0.3">
      <c r="A36" s="74">
        <v>43142</v>
      </c>
      <c r="B36" s="73">
        <v>5</v>
      </c>
      <c r="C36" s="175" t="e">
        <f>SUMIFS('Burn Report'!J$3:J$61,'[1]Burn Report'!$A$3:$A$61,"&gt;="&amp;($A36+DAY(1)),'[1]Burn Report'!$A$3:$A$61,"&lt;="&amp;$A37)</f>
        <v>#VALUE!</v>
      </c>
      <c r="D36" s="175" t="e">
        <f>SUMIFS('Burn Report'!K$3:K$61,'[1]Burn Report'!$A$3:$A$61,"&gt;="&amp;($A36+DAY(1)),'[1]Burn Report'!$A$3:$A$61,"&lt;="&amp;$A37)</f>
        <v>#VALUE!</v>
      </c>
      <c r="E36" s="175" t="e">
        <f>SUMIFS('Burn Report'!L$3:L$61,'[1]Burn Report'!$A$3:$A$61,"&gt;="&amp;($A36+DAY(1)),'[1]Burn Report'!$A$3:$A$61,"&lt;="&amp;$A37)</f>
        <v>#VALUE!</v>
      </c>
      <c r="F36" s="175" t="e">
        <f>SUMIFS('Burn Report'!M$3:M$61,'[1]Burn Report'!$A$3:$A$61,"&gt;="&amp;($A36+DAY(1)),'[1]Burn Report'!$A$3:$A$61,"&lt;="&amp;$A37)</f>
        <v>#VALUE!</v>
      </c>
      <c r="G36" s="175" t="e">
        <f>SUMIFS('Burn Report'!N$3:N$61,'[1]Burn Report'!$A$3:$A$61,"&gt;="&amp;($A36+DAY(1)),'[1]Burn Report'!$A$3:$A$61,"&lt;="&amp;$A37)</f>
        <v>#VALUE!</v>
      </c>
      <c r="H36" s="175" t="e">
        <f>SUMIFS('Burn Report'!O$3:O$61,'[1]Burn Report'!$A$3:$A$61,"&gt;="&amp;($A36+DAY(1)),'[1]Burn Report'!$A$3:$A$61,"&lt;="&amp;$A37)</f>
        <v>#VALUE!</v>
      </c>
    </row>
    <row r="37" spans="1:8" x14ac:dyDescent="0.3">
      <c r="A37" s="74">
        <v>43149</v>
      </c>
      <c r="B37" s="73">
        <v>6</v>
      </c>
      <c r="C37" s="175" t="e">
        <f>SUMIFS('Burn Report'!J$3:J$61,'[1]Burn Report'!$A$3:$A$61,"&gt;="&amp;($A37+DAY(1)),'[1]Burn Report'!$A$3:$A$61,"&lt;="&amp;$A38)</f>
        <v>#VALUE!</v>
      </c>
      <c r="D37" s="175" t="e">
        <f>SUMIFS('Burn Report'!K$3:K$61,'[1]Burn Report'!$A$3:$A$61,"&gt;="&amp;($A37+DAY(1)),'[1]Burn Report'!$A$3:$A$61,"&lt;="&amp;$A38)</f>
        <v>#VALUE!</v>
      </c>
      <c r="E37" s="175" t="e">
        <f>SUMIFS('Burn Report'!L$3:L$61,'[1]Burn Report'!$A$3:$A$61,"&gt;="&amp;($A37+DAY(1)),'[1]Burn Report'!$A$3:$A$61,"&lt;="&amp;$A38)</f>
        <v>#VALUE!</v>
      </c>
      <c r="F37" s="175" t="e">
        <f>SUMIFS('Burn Report'!M$3:M$61,'[1]Burn Report'!$A$3:$A$61,"&gt;="&amp;($A37+DAY(1)),'[1]Burn Report'!$A$3:$A$61,"&lt;="&amp;$A38)</f>
        <v>#VALUE!</v>
      </c>
      <c r="G37" s="175" t="e">
        <f>SUMIFS('Burn Report'!N$3:N$61,'[1]Burn Report'!$A$3:$A$61,"&gt;="&amp;($A37+DAY(1)),'[1]Burn Report'!$A$3:$A$61,"&lt;="&amp;$A38)</f>
        <v>#VALUE!</v>
      </c>
      <c r="H37" s="175" t="e">
        <f>SUMIFS('Burn Report'!O$3:O$61,'[1]Burn Report'!$A$3:$A$61,"&gt;="&amp;($A37+DAY(1)),'[1]Burn Report'!$A$3:$A$61,"&lt;="&amp;$A38)</f>
        <v>#VALUE!</v>
      </c>
    </row>
    <row r="38" spans="1:8" x14ac:dyDescent="0.3">
      <c r="A38" s="74">
        <v>43156</v>
      </c>
      <c r="B38" s="73">
        <v>7</v>
      </c>
      <c r="C38" s="175" t="e">
        <f>SUMIFS('Burn Report'!J$3:J$61,'[1]Burn Report'!$A$3:$A$61,"&gt;="&amp;($A38+DAY(1)),'[1]Burn Report'!$A$3:$A$61,"&lt;="&amp;$A39)</f>
        <v>#VALUE!</v>
      </c>
      <c r="D38" s="175" t="e">
        <f>SUMIFS('Burn Report'!K$3:K$61,'[1]Burn Report'!$A$3:$A$61,"&gt;="&amp;($A38+DAY(1)),'[1]Burn Report'!$A$3:$A$61,"&lt;="&amp;$A39)</f>
        <v>#VALUE!</v>
      </c>
      <c r="E38" s="175" t="e">
        <f>SUMIFS('Burn Report'!L$3:L$61,'[1]Burn Report'!$A$3:$A$61,"&gt;="&amp;($A38+DAY(1)),'[1]Burn Report'!$A$3:$A$61,"&lt;="&amp;$A39)</f>
        <v>#VALUE!</v>
      </c>
      <c r="F38" s="175" t="e">
        <f>SUMIFS('Burn Report'!M$3:M$61,'[1]Burn Report'!$A$3:$A$61,"&gt;="&amp;($A38+DAY(1)),'[1]Burn Report'!$A$3:$A$61,"&lt;="&amp;$A39)</f>
        <v>#VALUE!</v>
      </c>
      <c r="G38" s="175" t="e">
        <f>SUMIFS('Burn Report'!N$3:N$61,'[1]Burn Report'!$A$3:$A$61,"&gt;="&amp;($A38+DAY(1)),'[1]Burn Report'!$A$3:$A$61,"&lt;="&amp;$A39)</f>
        <v>#VALUE!</v>
      </c>
      <c r="H38" s="175" t="e">
        <f>SUMIFS('Burn Report'!O$3:O$61,'[1]Burn Report'!$A$3:$A$61,"&gt;="&amp;($A38+DAY(1)),'[1]Burn Report'!$A$3:$A$61,"&lt;="&amp;$A39)</f>
        <v>#VALUE!</v>
      </c>
    </row>
    <row r="39" spans="1:8" x14ac:dyDescent="0.3">
      <c r="A39" s="74">
        <v>43163</v>
      </c>
      <c r="B39" s="73">
        <v>8</v>
      </c>
      <c r="C39" s="175" t="e">
        <f>SUMIFS('Burn Report'!J$3:J$61,'[1]Burn Report'!$A$3:$A$61,"&gt;="&amp;($A39+DAY(1)),'[1]Burn Report'!$A$3:$A$61,"&lt;="&amp;$A40)</f>
        <v>#VALUE!</v>
      </c>
      <c r="D39" s="175" t="e">
        <f>SUMIFS('Burn Report'!K$3:K$61,'[1]Burn Report'!$A$3:$A$61,"&gt;="&amp;($A39+DAY(1)),'[1]Burn Report'!$A$3:$A$61,"&lt;="&amp;$A40)</f>
        <v>#VALUE!</v>
      </c>
      <c r="E39" s="175" t="e">
        <f>SUMIFS('Burn Report'!L$3:L$61,'[1]Burn Report'!$A$3:$A$61,"&gt;="&amp;($A39+DAY(1)),'[1]Burn Report'!$A$3:$A$61,"&lt;="&amp;$A40)</f>
        <v>#VALUE!</v>
      </c>
      <c r="F39" s="175" t="e">
        <f>SUMIFS('Burn Report'!M$3:M$61,'[1]Burn Report'!$A$3:$A$61,"&gt;="&amp;($A39+DAY(1)),'[1]Burn Report'!$A$3:$A$61,"&lt;="&amp;$A40)</f>
        <v>#VALUE!</v>
      </c>
      <c r="G39" s="175" t="e">
        <f>SUMIFS('Burn Report'!N$3:N$61,'[1]Burn Report'!$A$3:$A$61,"&gt;="&amp;($A39+DAY(1)),'[1]Burn Report'!$A$3:$A$61,"&lt;="&amp;$A40)</f>
        <v>#VALUE!</v>
      </c>
      <c r="H39" s="175" t="e">
        <f>SUMIFS('Burn Report'!O$3:O$61,'[1]Burn Report'!$A$3:$A$61,"&gt;="&amp;($A39+DAY(1)),'[1]Burn Report'!$A$3:$A$61,"&lt;="&amp;$A40)</f>
        <v>#VALUE!</v>
      </c>
    </row>
    <row r="40" spans="1:8" x14ac:dyDescent="0.3">
      <c r="A40" s="74">
        <v>43170</v>
      </c>
      <c r="B40" s="73">
        <v>9</v>
      </c>
      <c r="C40" s="175" t="e">
        <f>SUMIFS('Burn Report'!J$3:J$61,'[1]Burn Report'!$A$3:$A$61,"&gt;="&amp;($A40+DAY(1)),'[1]Burn Report'!$A$3:$A$61,"&lt;="&amp;$A41)</f>
        <v>#VALUE!</v>
      </c>
      <c r="D40" s="175" t="e">
        <f>SUMIFS('Burn Report'!K$3:K$61,'[1]Burn Report'!$A$3:$A$61,"&gt;="&amp;($A40+DAY(1)),'[1]Burn Report'!$A$3:$A$61,"&lt;="&amp;$A41)</f>
        <v>#VALUE!</v>
      </c>
      <c r="E40" s="175" t="e">
        <f>SUMIFS('Burn Report'!L$3:L$61,'[1]Burn Report'!$A$3:$A$61,"&gt;="&amp;($A40+DAY(1)),'[1]Burn Report'!$A$3:$A$61,"&lt;="&amp;$A41)</f>
        <v>#VALUE!</v>
      </c>
      <c r="F40" s="175" t="e">
        <f>SUMIFS('Burn Report'!M$3:M$61,'[1]Burn Report'!$A$3:$A$61,"&gt;="&amp;($A40+DAY(1)),'[1]Burn Report'!$A$3:$A$61,"&lt;="&amp;$A41)</f>
        <v>#VALUE!</v>
      </c>
      <c r="G40" s="175" t="e">
        <f>SUMIFS('Burn Report'!N$3:N$61,'[1]Burn Report'!$A$3:$A$61,"&gt;="&amp;($A40+DAY(1)),'[1]Burn Report'!$A$3:$A$61,"&lt;="&amp;$A41)</f>
        <v>#VALUE!</v>
      </c>
      <c r="H40" s="175" t="e">
        <f>SUMIFS('Burn Report'!O$3:O$61,'[1]Burn Report'!$A$3:$A$61,"&gt;="&amp;($A40+DAY(1)),'[1]Burn Report'!$A$3:$A$61,"&lt;="&amp;$A41)</f>
        <v>#VALUE!</v>
      </c>
    </row>
    <row r="41" spans="1:8" x14ac:dyDescent="0.3">
      <c r="A41" s="74">
        <v>43177</v>
      </c>
      <c r="B41" s="73">
        <v>10</v>
      </c>
      <c r="C41" s="175" t="e">
        <f>SUMIFS('Burn Report'!J$3:J$61,'[1]Burn Report'!$A$3:$A$61,"&gt;="&amp;($A41+DAY(1)),'[1]Burn Report'!$A$3:$A$61,"&lt;="&amp;$A42)</f>
        <v>#VALUE!</v>
      </c>
      <c r="D41" s="175" t="e">
        <f>SUMIFS('Burn Report'!K$3:K$61,'[1]Burn Report'!$A$3:$A$61,"&gt;="&amp;($A41+DAY(1)),'[1]Burn Report'!$A$3:$A$61,"&lt;="&amp;$A42)</f>
        <v>#VALUE!</v>
      </c>
      <c r="E41" s="175" t="e">
        <f>SUMIFS('Burn Report'!L$3:L$61,'[1]Burn Report'!$A$3:$A$61,"&gt;="&amp;($A41+DAY(1)),'[1]Burn Report'!$A$3:$A$61,"&lt;="&amp;$A42)</f>
        <v>#VALUE!</v>
      </c>
      <c r="F41" s="175" t="e">
        <f>SUMIFS('Burn Report'!M$3:M$61,'[1]Burn Report'!$A$3:$A$61,"&gt;="&amp;($A41+DAY(1)),'[1]Burn Report'!$A$3:$A$61,"&lt;="&amp;$A42)</f>
        <v>#VALUE!</v>
      </c>
      <c r="G41" s="175" t="e">
        <f>SUMIFS('Burn Report'!N$3:N$61,'[1]Burn Report'!$A$3:$A$61,"&gt;="&amp;($A41+DAY(1)),'[1]Burn Report'!$A$3:$A$61,"&lt;="&amp;$A42)</f>
        <v>#VALUE!</v>
      </c>
      <c r="H41" s="175" t="e">
        <f>SUMIFS('Burn Report'!O$3:O$61,'[1]Burn Report'!$A$3:$A$61,"&gt;="&amp;($A41+DAY(1)),'[1]Burn Report'!$A$3:$A$61,"&lt;="&amp;$A42)</f>
        <v>#VALUE!</v>
      </c>
    </row>
    <row r="42" spans="1:8" x14ac:dyDescent="0.3">
      <c r="A42" s="74">
        <v>43184</v>
      </c>
      <c r="B42" s="73">
        <v>11</v>
      </c>
      <c r="C42" s="175" t="e">
        <f>SUMIFS('Burn Report'!J$3:J$61,'[1]Burn Report'!$A$3:$A$61,"&gt;="&amp;($A42+DAY(1)),'[1]Burn Report'!$A$3:$A$61,"&lt;="&amp;$A43)</f>
        <v>#VALUE!</v>
      </c>
      <c r="D42" s="175" t="e">
        <f>SUMIFS('Burn Report'!K$3:K$61,'[1]Burn Report'!$A$3:$A$61,"&gt;="&amp;($A42+DAY(1)),'[1]Burn Report'!$A$3:$A$61,"&lt;="&amp;$A43)</f>
        <v>#VALUE!</v>
      </c>
      <c r="E42" s="175" t="e">
        <f>SUMIFS('Burn Report'!L$3:L$61,'[1]Burn Report'!$A$3:$A$61,"&gt;="&amp;($A42+DAY(1)),'[1]Burn Report'!$A$3:$A$61,"&lt;="&amp;$A43)</f>
        <v>#VALUE!</v>
      </c>
      <c r="F42" s="175" t="e">
        <f>SUMIFS('Burn Report'!M$3:M$61,'[1]Burn Report'!$A$3:$A$61,"&gt;="&amp;($A42+DAY(1)),'[1]Burn Report'!$A$3:$A$61,"&lt;="&amp;$A43)</f>
        <v>#VALUE!</v>
      </c>
      <c r="G42" s="175" t="e">
        <f>SUMIFS('Burn Report'!N$3:N$61,'[1]Burn Report'!$A$3:$A$61,"&gt;="&amp;($A42+DAY(1)),'[1]Burn Report'!$A$3:$A$61,"&lt;="&amp;$A43)</f>
        <v>#VALUE!</v>
      </c>
      <c r="H42" s="175" t="e">
        <f>SUMIFS('Burn Report'!O$3:O$61,'[1]Burn Report'!$A$3:$A$61,"&gt;="&amp;($A42+DAY(1)),'[1]Burn Report'!$A$3:$A$61,"&lt;="&amp;$A43)</f>
        <v>#VALUE!</v>
      </c>
    </row>
    <row r="43" spans="1:8" x14ac:dyDescent="0.3">
      <c r="A43" s="74">
        <v>43191</v>
      </c>
      <c r="B43" s="73">
        <v>12</v>
      </c>
      <c r="C43" s="175" t="e">
        <f>SUMIFS('Burn Report'!J$3:J$61,'[1]Burn Report'!$A$3:$A$61,"&gt;="&amp;($A43+DAY(1)),'[1]Burn Report'!$A$3:$A$61,"&lt;="&amp;$A44)</f>
        <v>#VALUE!</v>
      </c>
      <c r="D43" s="175" t="e">
        <f>SUMIFS('Burn Report'!K$3:K$61,'[1]Burn Report'!$A$3:$A$61,"&gt;="&amp;($A43+DAY(1)),'[1]Burn Report'!$A$3:$A$61,"&lt;="&amp;$A44)</f>
        <v>#VALUE!</v>
      </c>
      <c r="E43" s="175" t="e">
        <f>SUMIFS('Burn Report'!L$3:L$61,'[1]Burn Report'!$A$3:$A$61,"&gt;="&amp;($A43+DAY(1)),'[1]Burn Report'!$A$3:$A$61,"&lt;="&amp;$A44)</f>
        <v>#VALUE!</v>
      </c>
      <c r="F43" s="175" t="e">
        <f>SUMIFS('Burn Report'!M$3:M$61,'[1]Burn Report'!$A$3:$A$61,"&gt;="&amp;($A43+DAY(1)),'[1]Burn Report'!$A$3:$A$61,"&lt;="&amp;$A44)</f>
        <v>#VALUE!</v>
      </c>
      <c r="G43" s="175" t="e">
        <f>SUMIFS('Burn Report'!N$3:N$61,'[1]Burn Report'!$A$3:$A$61,"&gt;="&amp;($A43+DAY(1)),'[1]Burn Report'!$A$3:$A$61,"&lt;="&amp;$A44)</f>
        <v>#VALUE!</v>
      </c>
      <c r="H43" s="175" t="e">
        <f>SUMIFS('Burn Report'!O$3:O$61,'[1]Burn Report'!$A$3:$A$61,"&gt;="&amp;($A43+DAY(1)),'[1]Burn Report'!$A$3:$A$61,"&lt;="&amp;$A44)</f>
        <v>#VALUE!</v>
      </c>
    </row>
    <row r="44" spans="1:8" x14ac:dyDescent="0.3">
      <c r="A44" s="74">
        <v>43198</v>
      </c>
      <c r="B44" s="73">
        <v>13</v>
      </c>
      <c r="C44" s="175" t="e">
        <f>SUMIFS('Burn Report'!J$3:J$61,'[1]Burn Report'!$A$3:$A$61,"&gt;="&amp;($A44+DAY(1)),'[1]Burn Report'!$A$3:$A$61,"&lt;="&amp;$A45)</f>
        <v>#VALUE!</v>
      </c>
      <c r="D44" s="175" t="e">
        <f>SUMIFS('Burn Report'!K$3:K$61,'[1]Burn Report'!$A$3:$A$61,"&gt;="&amp;($A44+DAY(1)),'[1]Burn Report'!$A$3:$A$61,"&lt;="&amp;$A45)</f>
        <v>#VALUE!</v>
      </c>
      <c r="E44" s="175" t="e">
        <f>SUMIFS('Burn Report'!L$3:L$61,'[1]Burn Report'!$A$3:$A$61,"&gt;="&amp;($A44+DAY(1)),'[1]Burn Report'!$A$3:$A$61,"&lt;="&amp;$A45)</f>
        <v>#VALUE!</v>
      </c>
      <c r="F44" s="175" t="e">
        <f>SUMIFS('Burn Report'!M$3:M$61,'[1]Burn Report'!$A$3:$A$61,"&gt;="&amp;($A44+DAY(1)),'[1]Burn Report'!$A$3:$A$61,"&lt;="&amp;$A45)</f>
        <v>#VALUE!</v>
      </c>
      <c r="G44" s="175" t="e">
        <f>SUMIFS('Burn Report'!N$3:N$61,'[1]Burn Report'!$A$3:$A$61,"&gt;="&amp;($A44+DAY(1)),'[1]Burn Report'!$A$3:$A$61,"&lt;="&amp;$A45)</f>
        <v>#VALUE!</v>
      </c>
      <c r="H44" s="175" t="e">
        <f>SUMIFS('Burn Report'!O$3:O$61,'[1]Burn Report'!$A$3:$A$61,"&gt;="&amp;($A44+DAY(1)),'[1]Burn Report'!$A$3:$A$61,"&lt;="&amp;$A45)</f>
        <v>#VALUE!</v>
      </c>
    </row>
    <row r="45" spans="1:8" x14ac:dyDescent="0.3">
      <c r="A45" s="74">
        <v>43205</v>
      </c>
      <c r="B45" s="73">
        <v>14</v>
      </c>
      <c r="C45" s="175" t="e">
        <f>SUMIFS('Burn Report'!J$3:J$61,'[1]Burn Report'!$A$3:$A$61,"&gt;="&amp;($A45+DAY(1)),'[1]Burn Report'!$A$3:$A$61,"&lt;="&amp;$A46)</f>
        <v>#VALUE!</v>
      </c>
      <c r="D45" s="175" t="e">
        <f>SUMIFS('Burn Report'!K$3:K$61,'[1]Burn Report'!$A$3:$A$61,"&gt;="&amp;($A45+DAY(1)),'[1]Burn Report'!$A$3:$A$61,"&lt;="&amp;$A46)</f>
        <v>#VALUE!</v>
      </c>
      <c r="E45" s="175" t="e">
        <f>SUMIFS('Burn Report'!L$3:L$61,'[1]Burn Report'!$A$3:$A$61,"&gt;="&amp;($A45+DAY(1)),'[1]Burn Report'!$A$3:$A$61,"&lt;="&amp;$A46)</f>
        <v>#VALUE!</v>
      </c>
      <c r="F45" s="175" t="e">
        <f>SUMIFS('Burn Report'!M$3:M$61,'[1]Burn Report'!$A$3:$A$61,"&gt;="&amp;($A45+DAY(1)),'[1]Burn Report'!$A$3:$A$61,"&lt;="&amp;$A46)</f>
        <v>#VALUE!</v>
      </c>
      <c r="G45" s="175" t="e">
        <f>SUMIFS('Burn Report'!N$3:N$61,'[1]Burn Report'!$A$3:$A$61,"&gt;="&amp;($A45+DAY(1)),'[1]Burn Report'!$A$3:$A$61,"&lt;="&amp;$A46)</f>
        <v>#VALUE!</v>
      </c>
      <c r="H45" s="175" t="e">
        <f>SUMIFS('Burn Report'!O$3:O$61,'[1]Burn Report'!$A$3:$A$61,"&gt;="&amp;($A45+DAY(1)),'[1]Burn Report'!$A$3:$A$61,"&lt;="&amp;$A46)</f>
        <v>#VALUE!</v>
      </c>
    </row>
    <row r="46" spans="1:8" x14ac:dyDescent="0.3">
      <c r="A46" s="74">
        <v>43212</v>
      </c>
      <c r="B46" s="73">
        <v>15</v>
      </c>
      <c r="C46" s="175" t="e">
        <f>SUMIFS('Burn Report'!J$3:J$61,'[1]Burn Report'!$A$3:$A$61,"&gt;="&amp;($A46+DAY(1)),'[1]Burn Report'!$A$3:$A$61,"&lt;="&amp;$A47)</f>
        <v>#VALUE!</v>
      </c>
      <c r="D46" s="175" t="e">
        <f>SUMIFS('Burn Report'!K$3:K$61,'[1]Burn Report'!$A$3:$A$61,"&gt;="&amp;($A46+DAY(1)),'[1]Burn Report'!$A$3:$A$61,"&lt;="&amp;$A47)</f>
        <v>#VALUE!</v>
      </c>
      <c r="E46" s="175" t="e">
        <f>SUMIFS('Burn Report'!L$3:L$61,'[1]Burn Report'!$A$3:$A$61,"&gt;="&amp;($A46+DAY(1)),'[1]Burn Report'!$A$3:$A$61,"&lt;="&amp;$A47)</f>
        <v>#VALUE!</v>
      </c>
      <c r="F46" s="175" t="e">
        <f>SUMIFS('Burn Report'!M$3:M$61,'[1]Burn Report'!$A$3:$A$61,"&gt;="&amp;($A46+DAY(1)),'[1]Burn Report'!$A$3:$A$61,"&lt;="&amp;$A47)</f>
        <v>#VALUE!</v>
      </c>
      <c r="G46" s="175" t="e">
        <f>SUMIFS('Burn Report'!N$3:N$61,'[1]Burn Report'!$A$3:$A$61,"&gt;="&amp;($A46+DAY(1)),'[1]Burn Report'!$A$3:$A$61,"&lt;="&amp;$A47)</f>
        <v>#VALUE!</v>
      </c>
      <c r="H46" s="175" t="e">
        <f>SUMIFS('Burn Report'!O$3:O$61,'[1]Burn Report'!$A$3:$A$61,"&gt;="&amp;($A46+DAY(1)),'[1]Burn Report'!$A$3:$A$61,"&lt;="&amp;$A47)</f>
        <v>#VALUE!</v>
      </c>
    </row>
    <row r="47" spans="1:8" ht="15" thickBot="1" x14ac:dyDescent="0.35">
      <c r="A47" s="176" t="s">
        <v>133</v>
      </c>
      <c r="B47" s="179" t="e">
        <f>SUM(C47:H47)</f>
        <v>#VALUE!</v>
      </c>
      <c r="C47" s="189" t="e">
        <f>SUM(C32:C46)</f>
        <v>#VALUE!</v>
      </c>
      <c r="D47" s="177" t="e">
        <f t="shared" ref="D47:H47" si="2">SUM(D32:D46)</f>
        <v>#VALUE!</v>
      </c>
      <c r="E47" s="177" t="e">
        <f t="shared" si="2"/>
        <v>#VALUE!</v>
      </c>
      <c r="F47" s="177" t="e">
        <f t="shared" si="2"/>
        <v>#VALUE!</v>
      </c>
      <c r="G47" s="177" t="e">
        <f t="shared" si="2"/>
        <v>#VALUE!</v>
      </c>
      <c r="H47" s="178" t="e">
        <f t="shared" si="2"/>
        <v>#VALUE!</v>
      </c>
    </row>
    <row r="49" spans="1:8" ht="15" thickBot="1" x14ac:dyDescent="0.35">
      <c r="A49" s="79" t="s">
        <v>139</v>
      </c>
    </row>
    <row r="50" spans="1:8" x14ac:dyDescent="0.3">
      <c r="A50" s="78" t="s">
        <v>138</v>
      </c>
      <c r="B50" s="76" t="s">
        <v>137</v>
      </c>
      <c r="C50" s="77" t="s">
        <v>101</v>
      </c>
      <c r="D50" s="76" t="s">
        <v>66</v>
      </c>
      <c r="E50" s="76" t="s">
        <v>136</v>
      </c>
      <c r="F50" s="76" t="s">
        <v>74</v>
      </c>
      <c r="G50" s="76" t="s">
        <v>135</v>
      </c>
      <c r="H50" s="75" t="s">
        <v>126</v>
      </c>
    </row>
    <row r="51" spans="1:8" x14ac:dyDescent="0.3">
      <c r="A51" s="74">
        <v>43114</v>
      </c>
      <c r="B51" s="73">
        <v>1</v>
      </c>
      <c r="C51" s="72" t="e">
        <f>SUMIFS('[3]Weekly Meeting Costs'!P$3:P$24,'[3]Weekly Meeting Costs'!$A$3:$A$24,"&gt;="&amp;$A51,'[3]Weekly Meeting Costs'!$A$3:$A$24,"&lt;="&amp;$A52)</f>
        <v>#VALUE!</v>
      </c>
      <c r="D51" s="72" t="e">
        <f>SUMIFS('[3]Weekly Meeting Costs'!Q$3:Q$24,'[3]Weekly Meeting Costs'!$A$3:$A$24,"&gt;="&amp;$A51,'[3]Weekly Meeting Costs'!$A$3:$A$24,"&lt;="&amp;$A52)</f>
        <v>#VALUE!</v>
      </c>
      <c r="E51" s="72" t="e">
        <f>SUMIFS('[3]Weekly Meeting Costs'!R$3:R$24,'[3]Weekly Meeting Costs'!$A$3:$A$24,"&gt;="&amp;$A51,'[3]Weekly Meeting Costs'!$A$3:$A$24,"&lt;="&amp;$A52)</f>
        <v>#VALUE!</v>
      </c>
      <c r="F51" s="72" t="e">
        <f>SUMIFS('[3]Weekly Meeting Costs'!S$3:S$24,'[3]Weekly Meeting Costs'!$A$3:$A$24,"&gt;="&amp;$A51,'[3]Weekly Meeting Costs'!$A$3:$A$24,"&lt;="&amp;$A52)</f>
        <v>#VALUE!</v>
      </c>
      <c r="G51" s="72" t="e">
        <f>SUMIFS('[3]Weekly Meeting Costs'!T$3:T$24,'[3]Weekly Meeting Costs'!$A$3:$A$24,"&gt;="&amp;$A51,'[3]Weekly Meeting Costs'!$A$3:$A$24,"&lt;="&amp;$A52)</f>
        <v>#VALUE!</v>
      </c>
      <c r="H51" s="72" t="e">
        <f>SUMIFS('[3]Weekly Meeting Costs'!U$3:U$24,'[3]Weekly Meeting Costs'!$A$3:$A$24,"&gt;="&amp;$A51,'[3]Weekly Meeting Costs'!$A$3:$A$24,"&lt;="&amp;$A52)</f>
        <v>#VALUE!</v>
      </c>
    </row>
    <row r="52" spans="1:8" x14ac:dyDescent="0.3">
      <c r="A52" s="74">
        <v>43121</v>
      </c>
      <c r="B52" s="73">
        <v>2</v>
      </c>
      <c r="C52" s="72" t="e">
        <f>SUMIFS('[3]Weekly Meeting Costs'!P$3:P$24,'[3]Weekly Meeting Costs'!$A$3:$A$24,"&gt;="&amp;($A52+DAY(1)),'[3]Weekly Meeting Costs'!$A$3:$A$24,"&lt;="&amp;$A53)</f>
        <v>#VALUE!</v>
      </c>
      <c r="D52" s="72" t="e">
        <f>SUMIFS('[3]Weekly Meeting Costs'!Q$3:Q$24,'[3]Weekly Meeting Costs'!$A$3:$A$24,"&gt;="&amp;($A52+DAY(1)),'[3]Weekly Meeting Costs'!$A$3:$A$24,"&lt;="&amp;$A53)</f>
        <v>#VALUE!</v>
      </c>
      <c r="E52" s="72" t="e">
        <f>SUMIFS('[3]Weekly Meeting Costs'!R$3:R$24,'[3]Weekly Meeting Costs'!$A$3:$A$24,"&gt;="&amp;($A52+DAY(1)),'[3]Weekly Meeting Costs'!$A$3:$A$24,"&lt;="&amp;$A53)</f>
        <v>#VALUE!</v>
      </c>
      <c r="F52" s="72" t="e">
        <f>SUMIFS('[3]Weekly Meeting Costs'!S$3:S$24,'[3]Weekly Meeting Costs'!$A$3:$A$24,"&gt;="&amp;($A52+DAY(1)),'[3]Weekly Meeting Costs'!$A$3:$A$24,"&lt;="&amp;$A53)</f>
        <v>#VALUE!</v>
      </c>
      <c r="G52" s="72" t="e">
        <f>SUMIFS('[3]Weekly Meeting Costs'!T$3:T$24,'[3]Weekly Meeting Costs'!$A$3:$A$24,"&gt;="&amp;($A52+DAY(1)),'[3]Weekly Meeting Costs'!$A$3:$A$24,"&lt;="&amp;$A53)</f>
        <v>#VALUE!</v>
      </c>
      <c r="H52" s="72" t="e">
        <f>SUMIFS('[3]Weekly Meeting Costs'!U$3:U$24,'[3]Weekly Meeting Costs'!$A$3:$A$24,"&gt;="&amp;($A52+DAY(1)),'[3]Weekly Meeting Costs'!$A$3:$A$24,"&lt;="&amp;$A53)</f>
        <v>#VALUE!</v>
      </c>
    </row>
    <row r="53" spans="1:8" x14ac:dyDescent="0.3">
      <c r="A53" s="74">
        <v>43128</v>
      </c>
      <c r="B53" s="73">
        <v>3</v>
      </c>
      <c r="C53" s="72" t="e">
        <f>SUMIFS('[3]Weekly Meeting Costs'!P$3:P$24,'[3]Weekly Meeting Costs'!$A$3:$A$24,"&gt;="&amp;($A53+DAY(1)),'[3]Weekly Meeting Costs'!$A$3:$A$24,"&lt;="&amp;$A54)</f>
        <v>#VALUE!</v>
      </c>
      <c r="D53" s="72" t="e">
        <f>SUMIFS('[3]Weekly Meeting Costs'!Q$3:Q$24,'[3]Weekly Meeting Costs'!$A$3:$A$24,"&gt;="&amp;($A53+DAY(1)),'[3]Weekly Meeting Costs'!$A$3:$A$24,"&lt;="&amp;$A54)</f>
        <v>#VALUE!</v>
      </c>
      <c r="E53" s="72" t="e">
        <f>SUMIFS('[3]Weekly Meeting Costs'!R$3:R$24,'[3]Weekly Meeting Costs'!$A$3:$A$24,"&gt;="&amp;($A53+DAY(1)),'[3]Weekly Meeting Costs'!$A$3:$A$24,"&lt;="&amp;$A54)</f>
        <v>#VALUE!</v>
      </c>
      <c r="F53" s="72" t="e">
        <f>SUMIFS('[3]Weekly Meeting Costs'!S$3:S$24,'[3]Weekly Meeting Costs'!$A$3:$A$24,"&gt;="&amp;($A53+DAY(1)),'[3]Weekly Meeting Costs'!$A$3:$A$24,"&lt;="&amp;$A54)</f>
        <v>#VALUE!</v>
      </c>
      <c r="G53" s="72" t="e">
        <f>SUMIFS('[3]Weekly Meeting Costs'!T$3:T$24,'[3]Weekly Meeting Costs'!$A$3:$A$24,"&gt;="&amp;($A53+DAY(1)),'[3]Weekly Meeting Costs'!$A$3:$A$24,"&lt;="&amp;$A54)</f>
        <v>#VALUE!</v>
      </c>
      <c r="H53" s="72" t="e">
        <f>SUMIFS('[3]Weekly Meeting Costs'!U$3:U$24,'[3]Weekly Meeting Costs'!$A$3:$A$24,"&gt;="&amp;($A53+DAY(1)),'[3]Weekly Meeting Costs'!$A$3:$A$24,"&lt;="&amp;$A54)</f>
        <v>#VALUE!</v>
      </c>
    </row>
    <row r="54" spans="1:8" x14ac:dyDescent="0.3">
      <c r="A54" s="74">
        <v>43135</v>
      </c>
      <c r="B54" s="73">
        <v>4</v>
      </c>
      <c r="C54" s="72" t="e">
        <f>SUMIFS('[3]Weekly Meeting Costs'!P$3:P$24,'[3]Weekly Meeting Costs'!$A$3:$A$24,"&gt;="&amp;($A54+DAY(1)),'[3]Weekly Meeting Costs'!$A$3:$A$24,"&lt;="&amp;$A55)</f>
        <v>#VALUE!</v>
      </c>
      <c r="D54" s="72" t="e">
        <f>SUMIFS('[3]Weekly Meeting Costs'!Q$3:Q$24,'[3]Weekly Meeting Costs'!$A$3:$A$24,"&gt;="&amp;($A54+DAY(1)),'[3]Weekly Meeting Costs'!$A$3:$A$24,"&lt;="&amp;$A55)</f>
        <v>#VALUE!</v>
      </c>
      <c r="E54" s="72" t="e">
        <f>SUMIFS('[3]Weekly Meeting Costs'!R$3:R$24,'[3]Weekly Meeting Costs'!$A$3:$A$24,"&gt;="&amp;($A54+DAY(1)),'[3]Weekly Meeting Costs'!$A$3:$A$24,"&lt;="&amp;$A55)</f>
        <v>#VALUE!</v>
      </c>
      <c r="F54" s="72" t="e">
        <f>SUMIFS('[3]Weekly Meeting Costs'!S$3:S$24,'[3]Weekly Meeting Costs'!$A$3:$A$24,"&gt;="&amp;($A54+DAY(1)),'[3]Weekly Meeting Costs'!$A$3:$A$24,"&lt;="&amp;$A55)</f>
        <v>#VALUE!</v>
      </c>
      <c r="G54" s="72" t="e">
        <f>SUMIFS('[3]Weekly Meeting Costs'!T$3:T$24,'[3]Weekly Meeting Costs'!$A$3:$A$24,"&gt;="&amp;($A54+DAY(1)),'[3]Weekly Meeting Costs'!$A$3:$A$24,"&lt;="&amp;$A55)</f>
        <v>#VALUE!</v>
      </c>
      <c r="H54" s="72" t="e">
        <f>SUMIFS('[3]Weekly Meeting Costs'!U$3:U$24,'[3]Weekly Meeting Costs'!$A$3:$A$24,"&gt;="&amp;($A54+DAY(1)),'[3]Weekly Meeting Costs'!$A$3:$A$24,"&lt;="&amp;$A55)</f>
        <v>#VALUE!</v>
      </c>
    </row>
    <row r="55" spans="1:8" x14ac:dyDescent="0.3">
      <c r="A55" s="74">
        <v>43142</v>
      </c>
      <c r="B55" s="73">
        <v>5</v>
      </c>
      <c r="C55" s="72" t="e">
        <f>SUMIFS('[3]Weekly Meeting Costs'!P$3:P$24,'[3]Weekly Meeting Costs'!$A$3:$A$24,"&gt;="&amp;($A55+DAY(1)),'[3]Weekly Meeting Costs'!$A$3:$A$24,"&lt;="&amp;$A56)</f>
        <v>#VALUE!</v>
      </c>
      <c r="D55" s="72" t="e">
        <f>SUMIFS('[3]Weekly Meeting Costs'!Q$3:Q$24,'[3]Weekly Meeting Costs'!$A$3:$A$24,"&gt;="&amp;($A55+DAY(1)),'[3]Weekly Meeting Costs'!$A$3:$A$24,"&lt;="&amp;$A56)</f>
        <v>#VALUE!</v>
      </c>
      <c r="E55" s="72" t="e">
        <f>SUMIFS('[3]Weekly Meeting Costs'!R$3:R$24,'[3]Weekly Meeting Costs'!$A$3:$A$24,"&gt;="&amp;($A55+DAY(1)),'[3]Weekly Meeting Costs'!$A$3:$A$24,"&lt;="&amp;$A56)</f>
        <v>#VALUE!</v>
      </c>
      <c r="F55" s="72" t="e">
        <f>SUMIFS('[3]Weekly Meeting Costs'!S$3:S$24,'[3]Weekly Meeting Costs'!$A$3:$A$24,"&gt;="&amp;($A55+DAY(1)),'[3]Weekly Meeting Costs'!$A$3:$A$24,"&lt;="&amp;$A56)</f>
        <v>#VALUE!</v>
      </c>
      <c r="G55" s="72" t="e">
        <f>SUMIFS('[3]Weekly Meeting Costs'!T$3:T$24,'[3]Weekly Meeting Costs'!$A$3:$A$24,"&gt;="&amp;($A55+DAY(1)),'[3]Weekly Meeting Costs'!$A$3:$A$24,"&lt;="&amp;$A56)</f>
        <v>#VALUE!</v>
      </c>
      <c r="H55" s="72" t="e">
        <f>SUMIFS('[3]Weekly Meeting Costs'!U$3:U$24,'[3]Weekly Meeting Costs'!$A$3:$A$24,"&gt;="&amp;($A55+DAY(1)),'[3]Weekly Meeting Costs'!$A$3:$A$24,"&lt;="&amp;$A56)</f>
        <v>#VALUE!</v>
      </c>
    </row>
    <row r="56" spans="1:8" x14ac:dyDescent="0.3">
      <c r="A56" s="74">
        <v>43149</v>
      </c>
      <c r="B56" s="73">
        <v>6</v>
      </c>
      <c r="C56" s="72" t="e">
        <f>SUMIFS('[3]Weekly Meeting Costs'!P$3:P$24,'[3]Weekly Meeting Costs'!$A$3:$A$24,"&gt;="&amp;($A56+DAY(1)),'[3]Weekly Meeting Costs'!$A$3:$A$24,"&lt;="&amp;$A57)</f>
        <v>#VALUE!</v>
      </c>
      <c r="D56" s="72" t="e">
        <f>SUMIFS('[3]Weekly Meeting Costs'!Q$3:Q$24,'[3]Weekly Meeting Costs'!$A$3:$A$24,"&gt;="&amp;($A56+DAY(1)),'[3]Weekly Meeting Costs'!$A$3:$A$24,"&lt;="&amp;$A57)</f>
        <v>#VALUE!</v>
      </c>
      <c r="E56" s="72" t="e">
        <f>SUMIFS('[3]Weekly Meeting Costs'!R$3:R$24,'[3]Weekly Meeting Costs'!$A$3:$A$24,"&gt;="&amp;($A56+DAY(1)),'[3]Weekly Meeting Costs'!$A$3:$A$24,"&lt;="&amp;$A57)</f>
        <v>#VALUE!</v>
      </c>
      <c r="F56" s="72" t="e">
        <f>SUMIFS('[3]Weekly Meeting Costs'!S$3:S$24,'[3]Weekly Meeting Costs'!$A$3:$A$24,"&gt;="&amp;($A56+DAY(1)),'[3]Weekly Meeting Costs'!$A$3:$A$24,"&lt;="&amp;$A57)</f>
        <v>#VALUE!</v>
      </c>
      <c r="G56" s="72" t="e">
        <f>SUMIFS('[3]Weekly Meeting Costs'!T$3:T$24,'[3]Weekly Meeting Costs'!$A$3:$A$24,"&gt;="&amp;($A56+DAY(1)),'[3]Weekly Meeting Costs'!$A$3:$A$24,"&lt;="&amp;$A57)</f>
        <v>#VALUE!</v>
      </c>
      <c r="H56" s="72" t="e">
        <f>SUMIFS('[3]Weekly Meeting Costs'!U$3:U$24,'[3]Weekly Meeting Costs'!$A$3:$A$24,"&gt;="&amp;($A56+DAY(1)),'[3]Weekly Meeting Costs'!$A$3:$A$24,"&lt;="&amp;$A57)</f>
        <v>#VALUE!</v>
      </c>
    </row>
    <row r="57" spans="1:8" x14ac:dyDescent="0.3">
      <c r="A57" s="74">
        <v>43156</v>
      </c>
      <c r="B57" s="73">
        <v>7</v>
      </c>
      <c r="C57" s="72" t="e">
        <f>SUMIFS('[3]Weekly Meeting Costs'!P$3:P$24,'[3]Weekly Meeting Costs'!$A$3:$A$24,"&gt;="&amp;($A57+DAY(1)),'[3]Weekly Meeting Costs'!$A$3:$A$24,"&lt;="&amp;$A58)</f>
        <v>#VALUE!</v>
      </c>
      <c r="D57" s="72" t="e">
        <f>SUMIFS('[3]Weekly Meeting Costs'!Q$3:Q$24,'[3]Weekly Meeting Costs'!$A$3:$A$24,"&gt;="&amp;($A57+DAY(1)),'[3]Weekly Meeting Costs'!$A$3:$A$24,"&lt;="&amp;$A58)</f>
        <v>#VALUE!</v>
      </c>
      <c r="E57" s="72" t="e">
        <f>SUMIFS('[3]Weekly Meeting Costs'!R$3:R$24,'[3]Weekly Meeting Costs'!$A$3:$A$24,"&gt;="&amp;($A57+DAY(1)),'[3]Weekly Meeting Costs'!$A$3:$A$24,"&lt;="&amp;$A58)</f>
        <v>#VALUE!</v>
      </c>
      <c r="F57" s="72" t="e">
        <f>SUMIFS('[3]Weekly Meeting Costs'!S$3:S$24,'[3]Weekly Meeting Costs'!$A$3:$A$24,"&gt;="&amp;($A57+DAY(1)),'[3]Weekly Meeting Costs'!$A$3:$A$24,"&lt;="&amp;$A58)</f>
        <v>#VALUE!</v>
      </c>
      <c r="G57" s="72" t="e">
        <f>SUMIFS('[3]Weekly Meeting Costs'!T$3:T$24,'[3]Weekly Meeting Costs'!$A$3:$A$24,"&gt;="&amp;($A57+DAY(1)),'[3]Weekly Meeting Costs'!$A$3:$A$24,"&lt;="&amp;$A58)</f>
        <v>#VALUE!</v>
      </c>
      <c r="H57" s="72" t="e">
        <f>SUMIFS('[3]Weekly Meeting Costs'!U$3:U$24,'[3]Weekly Meeting Costs'!$A$3:$A$24,"&gt;="&amp;($A57+DAY(1)),'[3]Weekly Meeting Costs'!$A$3:$A$24,"&lt;="&amp;$A58)</f>
        <v>#VALUE!</v>
      </c>
    </row>
    <row r="58" spans="1:8" x14ac:dyDescent="0.3">
      <c r="A58" s="74">
        <v>43163</v>
      </c>
      <c r="B58" s="73">
        <v>8</v>
      </c>
      <c r="C58" s="72" t="e">
        <f>SUMIFS('[3]Weekly Meeting Costs'!P$3:P$24,'[3]Weekly Meeting Costs'!$A$3:$A$24,"&gt;="&amp;($A58+DAY(1)),'[3]Weekly Meeting Costs'!$A$3:$A$24,"&lt;="&amp;$A59)</f>
        <v>#VALUE!</v>
      </c>
      <c r="D58" s="72" t="e">
        <f>SUMIFS('[3]Weekly Meeting Costs'!Q$3:Q$24,'[3]Weekly Meeting Costs'!$A$3:$A$24,"&gt;="&amp;($A58+DAY(1)),'[3]Weekly Meeting Costs'!$A$3:$A$24,"&lt;="&amp;$A59)</f>
        <v>#VALUE!</v>
      </c>
      <c r="E58" s="72" t="e">
        <f>SUMIFS('[3]Weekly Meeting Costs'!R$3:R$24,'[3]Weekly Meeting Costs'!$A$3:$A$24,"&gt;="&amp;($A58+DAY(1)),'[3]Weekly Meeting Costs'!$A$3:$A$24,"&lt;="&amp;$A59)</f>
        <v>#VALUE!</v>
      </c>
      <c r="F58" s="72" t="e">
        <f>SUMIFS('[3]Weekly Meeting Costs'!S$3:S$24,'[3]Weekly Meeting Costs'!$A$3:$A$24,"&gt;="&amp;($A58+DAY(1)),'[3]Weekly Meeting Costs'!$A$3:$A$24,"&lt;="&amp;$A59)</f>
        <v>#VALUE!</v>
      </c>
      <c r="G58" s="72" t="e">
        <f>SUMIFS('[3]Weekly Meeting Costs'!T$3:T$24,'[3]Weekly Meeting Costs'!$A$3:$A$24,"&gt;="&amp;($A58+DAY(1)),'[3]Weekly Meeting Costs'!$A$3:$A$24,"&lt;="&amp;$A59)</f>
        <v>#VALUE!</v>
      </c>
      <c r="H58" s="72" t="e">
        <f>SUMIFS('[3]Weekly Meeting Costs'!U$3:U$24,'[3]Weekly Meeting Costs'!$A$3:$A$24,"&gt;="&amp;($A58+DAY(1)),'[3]Weekly Meeting Costs'!$A$3:$A$24,"&lt;="&amp;$A59)</f>
        <v>#VALUE!</v>
      </c>
    </row>
    <row r="59" spans="1:8" x14ac:dyDescent="0.3">
      <c r="A59" s="74">
        <v>43170</v>
      </c>
      <c r="B59" s="73">
        <v>9</v>
      </c>
      <c r="C59" s="72" t="e">
        <f>SUMIFS('[3]Weekly Meeting Costs'!P$3:P$24,'[3]Weekly Meeting Costs'!$A$3:$A$24,"&gt;="&amp;($A59+DAY(1)),'[3]Weekly Meeting Costs'!$A$3:$A$24,"&lt;="&amp;$A60)</f>
        <v>#VALUE!</v>
      </c>
      <c r="D59" s="72" t="e">
        <f>SUMIFS('[3]Weekly Meeting Costs'!Q$3:Q$24,'[3]Weekly Meeting Costs'!$A$3:$A$24,"&gt;="&amp;($A59+DAY(1)),'[3]Weekly Meeting Costs'!$A$3:$A$24,"&lt;="&amp;$A60)</f>
        <v>#VALUE!</v>
      </c>
      <c r="E59" s="72" t="e">
        <f>SUMIFS('[3]Weekly Meeting Costs'!R$3:R$24,'[3]Weekly Meeting Costs'!$A$3:$A$24,"&gt;="&amp;($A59+DAY(1)),'[3]Weekly Meeting Costs'!$A$3:$A$24,"&lt;="&amp;$A60)</f>
        <v>#VALUE!</v>
      </c>
      <c r="F59" s="72" t="e">
        <f>SUMIFS('[3]Weekly Meeting Costs'!S$3:S$24,'[3]Weekly Meeting Costs'!$A$3:$A$24,"&gt;="&amp;($A59+DAY(1)),'[3]Weekly Meeting Costs'!$A$3:$A$24,"&lt;="&amp;$A60)</f>
        <v>#VALUE!</v>
      </c>
      <c r="G59" s="72" t="e">
        <f>SUMIFS('[3]Weekly Meeting Costs'!T$3:T$24,'[3]Weekly Meeting Costs'!$A$3:$A$24,"&gt;="&amp;($A59+DAY(1)),'[3]Weekly Meeting Costs'!$A$3:$A$24,"&lt;="&amp;$A60)</f>
        <v>#VALUE!</v>
      </c>
      <c r="H59" s="72" t="e">
        <f>SUMIFS('[3]Weekly Meeting Costs'!U$3:U$24,'[3]Weekly Meeting Costs'!$A$3:$A$24,"&gt;="&amp;($A59+DAY(1)),'[3]Weekly Meeting Costs'!$A$3:$A$24,"&lt;="&amp;$A60)</f>
        <v>#VALUE!</v>
      </c>
    </row>
    <row r="60" spans="1:8" x14ac:dyDescent="0.3">
      <c r="A60" s="74">
        <v>43177</v>
      </c>
      <c r="B60" s="73">
        <v>10</v>
      </c>
      <c r="C60" s="72" t="e">
        <f>SUMIFS('[3]Weekly Meeting Costs'!P$3:P$24,'[3]Weekly Meeting Costs'!$A$3:$A$24,"&gt;="&amp;($A60+DAY(1)),'[3]Weekly Meeting Costs'!$A$3:$A$24,"&lt;="&amp;$A61)</f>
        <v>#VALUE!</v>
      </c>
      <c r="D60" s="72" t="e">
        <f>SUMIFS('[3]Weekly Meeting Costs'!Q$3:Q$24,'[3]Weekly Meeting Costs'!$A$3:$A$24,"&gt;="&amp;($A60+DAY(1)),'[3]Weekly Meeting Costs'!$A$3:$A$24,"&lt;="&amp;$A61)</f>
        <v>#VALUE!</v>
      </c>
      <c r="E60" s="72" t="e">
        <f>SUMIFS('[3]Weekly Meeting Costs'!R$3:R$24,'[3]Weekly Meeting Costs'!$A$3:$A$24,"&gt;="&amp;($A60+DAY(1)),'[3]Weekly Meeting Costs'!$A$3:$A$24,"&lt;="&amp;$A61)</f>
        <v>#VALUE!</v>
      </c>
      <c r="F60" s="72" t="e">
        <f>SUMIFS('[3]Weekly Meeting Costs'!S$3:S$24,'[3]Weekly Meeting Costs'!$A$3:$A$24,"&gt;="&amp;($A60+DAY(1)),'[3]Weekly Meeting Costs'!$A$3:$A$24,"&lt;="&amp;$A61)</f>
        <v>#VALUE!</v>
      </c>
      <c r="G60" s="72" t="e">
        <f>SUMIFS('[3]Weekly Meeting Costs'!T$3:T$24,'[3]Weekly Meeting Costs'!$A$3:$A$24,"&gt;="&amp;($A60+DAY(1)),'[3]Weekly Meeting Costs'!$A$3:$A$24,"&lt;="&amp;$A61)</f>
        <v>#VALUE!</v>
      </c>
      <c r="H60" s="72" t="e">
        <f>SUMIFS('[3]Weekly Meeting Costs'!U$3:U$24,'[3]Weekly Meeting Costs'!$A$3:$A$24,"&gt;="&amp;($A60+DAY(1)),'[3]Weekly Meeting Costs'!$A$3:$A$24,"&lt;="&amp;$A61)</f>
        <v>#VALUE!</v>
      </c>
    </row>
    <row r="61" spans="1:8" x14ac:dyDescent="0.3">
      <c r="A61" s="74">
        <v>43184</v>
      </c>
      <c r="B61" s="73">
        <v>11</v>
      </c>
      <c r="C61" s="72" t="e">
        <f>SUMIFS('[3]Weekly Meeting Costs'!P$3:P$24,'[3]Weekly Meeting Costs'!$A$3:$A$24,"&gt;="&amp;($A61+DAY(1)),'[3]Weekly Meeting Costs'!$A$3:$A$24,"&lt;="&amp;$A62)</f>
        <v>#VALUE!</v>
      </c>
      <c r="D61" s="72" t="e">
        <f>SUMIFS('[3]Weekly Meeting Costs'!Q$3:Q$24,'[3]Weekly Meeting Costs'!$A$3:$A$24,"&gt;="&amp;($A61+DAY(1)),'[3]Weekly Meeting Costs'!$A$3:$A$24,"&lt;="&amp;$A62)</f>
        <v>#VALUE!</v>
      </c>
      <c r="E61" s="72" t="e">
        <f>SUMIFS('[3]Weekly Meeting Costs'!R$3:R$24,'[3]Weekly Meeting Costs'!$A$3:$A$24,"&gt;="&amp;($A61+DAY(1)),'[3]Weekly Meeting Costs'!$A$3:$A$24,"&lt;="&amp;$A62)</f>
        <v>#VALUE!</v>
      </c>
      <c r="F61" s="72" t="e">
        <f>SUMIFS('[3]Weekly Meeting Costs'!S$3:S$24,'[3]Weekly Meeting Costs'!$A$3:$A$24,"&gt;="&amp;($A61+DAY(1)),'[3]Weekly Meeting Costs'!$A$3:$A$24,"&lt;="&amp;$A62)</f>
        <v>#VALUE!</v>
      </c>
      <c r="G61" s="72" t="e">
        <f>SUMIFS('[3]Weekly Meeting Costs'!T$3:T$24,'[3]Weekly Meeting Costs'!$A$3:$A$24,"&gt;="&amp;($A61+DAY(1)),'[3]Weekly Meeting Costs'!$A$3:$A$24,"&lt;="&amp;$A62)</f>
        <v>#VALUE!</v>
      </c>
      <c r="H61" s="72" t="e">
        <f>SUMIFS('[3]Weekly Meeting Costs'!U$3:U$24,'[3]Weekly Meeting Costs'!$A$3:$A$24,"&gt;="&amp;($A61+DAY(1)),'[3]Weekly Meeting Costs'!$A$3:$A$24,"&lt;="&amp;$A62)</f>
        <v>#VALUE!</v>
      </c>
    </row>
    <row r="62" spans="1:8" x14ac:dyDescent="0.3">
      <c r="A62" s="74">
        <v>43191</v>
      </c>
      <c r="B62" s="73">
        <v>12</v>
      </c>
      <c r="C62" s="72" t="e">
        <f>SUMIFS('[3]Weekly Meeting Costs'!P$3:P$24,'[3]Weekly Meeting Costs'!$A$3:$A$24,"&gt;="&amp;($A62+DAY(1)),'[3]Weekly Meeting Costs'!$A$3:$A$24,"&lt;="&amp;$A63)</f>
        <v>#VALUE!</v>
      </c>
      <c r="D62" s="72" t="e">
        <f>SUMIFS('[3]Weekly Meeting Costs'!Q$3:Q$24,'[3]Weekly Meeting Costs'!$A$3:$A$24,"&gt;="&amp;($A62+DAY(1)),'[3]Weekly Meeting Costs'!$A$3:$A$24,"&lt;="&amp;$A63)</f>
        <v>#VALUE!</v>
      </c>
      <c r="E62" s="72" t="e">
        <f>SUMIFS('[3]Weekly Meeting Costs'!R$3:R$24,'[3]Weekly Meeting Costs'!$A$3:$A$24,"&gt;="&amp;($A62+DAY(1)),'[3]Weekly Meeting Costs'!$A$3:$A$24,"&lt;="&amp;$A63)</f>
        <v>#VALUE!</v>
      </c>
      <c r="F62" s="72" t="e">
        <f>SUMIFS('[3]Weekly Meeting Costs'!S$3:S$24,'[3]Weekly Meeting Costs'!$A$3:$A$24,"&gt;="&amp;($A62+DAY(1)),'[3]Weekly Meeting Costs'!$A$3:$A$24,"&lt;="&amp;$A63)</f>
        <v>#VALUE!</v>
      </c>
      <c r="G62" s="72" t="e">
        <f>SUMIFS('[3]Weekly Meeting Costs'!T$3:T$24,'[3]Weekly Meeting Costs'!$A$3:$A$24,"&gt;="&amp;($A62+DAY(1)),'[3]Weekly Meeting Costs'!$A$3:$A$24,"&lt;="&amp;$A63)</f>
        <v>#VALUE!</v>
      </c>
      <c r="H62" s="72" t="e">
        <f>SUMIFS('[3]Weekly Meeting Costs'!U$3:U$24,'[3]Weekly Meeting Costs'!$A$3:$A$24,"&gt;="&amp;($A62+DAY(1)),'[3]Weekly Meeting Costs'!$A$3:$A$24,"&lt;="&amp;$A63)</f>
        <v>#VALUE!</v>
      </c>
    </row>
    <row r="63" spans="1:8" x14ac:dyDescent="0.3">
      <c r="A63" s="74">
        <v>43198</v>
      </c>
      <c r="B63" s="73">
        <v>13</v>
      </c>
      <c r="C63" s="72" t="e">
        <f>SUMIFS('[3]Weekly Meeting Costs'!P$3:P$24,'[3]Weekly Meeting Costs'!$A$3:$A$24,"&gt;="&amp;($A63+DAY(1)),'[3]Weekly Meeting Costs'!$A$3:$A$24,"&lt;="&amp;$A64)</f>
        <v>#VALUE!</v>
      </c>
      <c r="D63" s="72" t="e">
        <f>SUMIFS('[3]Weekly Meeting Costs'!Q$3:Q$24,'[3]Weekly Meeting Costs'!$A$3:$A$24,"&gt;="&amp;($A63+DAY(1)),'[3]Weekly Meeting Costs'!$A$3:$A$24,"&lt;="&amp;$A64)</f>
        <v>#VALUE!</v>
      </c>
      <c r="E63" s="72" t="e">
        <f>SUMIFS('[3]Weekly Meeting Costs'!R$3:R$24,'[3]Weekly Meeting Costs'!$A$3:$A$24,"&gt;="&amp;($A63+DAY(1)),'[3]Weekly Meeting Costs'!$A$3:$A$24,"&lt;="&amp;$A64)</f>
        <v>#VALUE!</v>
      </c>
      <c r="F63" s="72" t="e">
        <f>SUMIFS('[3]Weekly Meeting Costs'!S$3:S$24,'[3]Weekly Meeting Costs'!$A$3:$A$24,"&gt;="&amp;($A63+DAY(1)),'[3]Weekly Meeting Costs'!$A$3:$A$24,"&lt;="&amp;$A64)</f>
        <v>#VALUE!</v>
      </c>
      <c r="G63" s="72" t="e">
        <f>SUMIFS('[3]Weekly Meeting Costs'!T$3:T$24,'[3]Weekly Meeting Costs'!$A$3:$A$24,"&gt;="&amp;($A63+DAY(1)),'[3]Weekly Meeting Costs'!$A$3:$A$24,"&lt;="&amp;$A64)</f>
        <v>#VALUE!</v>
      </c>
      <c r="H63" s="72" t="e">
        <f>SUMIFS('[3]Weekly Meeting Costs'!U$3:U$24,'[3]Weekly Meeting Costs'!$A$3:$A$24,"&gt;="&amp;($A63+DAY(1)),'[3]Weekly Meeting Costs'!$A$3:$A$24,"&lt;="&amp;$A64)</f>
        <v>#VALUE!</v>
      </c>
    </row>
    <row r="64" spans="1:8" x14ac:dyDescent="0.3">
      <c r="A64" s="74">
        <v>43205</v>
      </c>
      <c r="B64" s="73">
        <v>14</v>
      </c>
      <c r="C64" s="72" t="e">
        <f>SUMIFS('[3]Weekly Meeting Costs'!P$3:P$24,'[3]Weekly Meeting Costs'!$A$3:$A$24,"&gt;="&amp;($A64+DAY(1)),'[3]Weekly Meeting Costs'!$A$3:$A$24,"&lt;="&amp;$A65)</f>
        <v>#VALUE!</v>
      </c>
      <c r="D64" s="72" t="e">
        <f>SUMIFS('[3]Weekly Meeting Costs'!Q$3:Q$24,'[3]Weekly Meeting Costs'!$A$3:$A$24,"&gt;="&amp;($A64+DAY(1)),'[3]Weekly Meeting Costs'!$A$3:$A$24,"&lt;="&amp;$A65)</f>
        <v>#VALUE!</v>
      </c>
      <c r="E64" s="72" t="e">
        <f>SUMIFS('[3]Weekly Meeting Costs'!R$3:R$24,'[3]Weekly Meeting Costs'!$A$3:$A$24,"&gt;="&amp;($A64+DAY(1)),'[3]Weekly Meeting Costs'!$A$3:$A$24,"&lt;="&amp;$A65)</f>
        <v>#VALUE!</v>
      </c>
      <c r="F64" s="72" t="e">
        <f>SUMIFS('[3]Weekly Meeting Costs'!S$3:S$24,'[3]Weekly Meeting Costs'!$A$3:$A$24,"&gt;="&amp;($A64+DAY(1)),'[3]Weekly Meeting Costs'!$A$3:$A$24,"&lt;="&amp;$A65)</f>
        <v>#VALUE!</v>
      </c>
      <c r="G64" s="72" t="e">
        <f>SUMIFS('[3]Weekly Meeting Costs'!T$3:T$24,'[3]Weekly Meeting Costs'!$A$3:$A$24,"&gt;="&amp;($A64+DAY(1)),'[3]Weekly Meeting Costs'!$A$3:$A$24,"&lt;="&amp;$A65)</f>
        <v>#VALUE!</v>
      </c>
      <c r="H64" s="72" t="e">
        <f>SUMIFS('[3]Weekly Meeting Costs'!U$3:U$24,'[3]Weekly Meeting Costs'!$A$3:$A$24,"&gt;="&amp;($A64+DAY(1)),'[3]Weekly Meeting Costs'!$A$3:$A$24,"&lt;="&amp;$A65)</f>
        <v>#VALUE!</v>
      </c>
    </row>
    <row r="65" spans="1:8" x14ac:dyDescent="0.3">
      <c r="A65" s="74">
        <v>43212</v>
      </c>
      <c r="B65" s="73">
        <v>15</v>
      </c>
      <c r="C65" s="72" t="e">
        <f>SUMIFS('[3]Weekly Meeting Costs'!P$3:P$24,'[3]Weekly Meeting Costs'!$A$3:$A$24,"&gt;="&amp;($A65+DAY(1)),'[3]Weekly Meeting Costs'!$A$3:$A$24,"&lt;="&amp;$A66)</f>
        <v>#VALUE!</v>
      </c>
      <c r="D65" s="72" t="e">
        <f>SUMIFS('[3]Weekly Meeting Costs'!Q$3:Q$24,'[3]Weekly Meeting Costs'!$A$3:$A$24,"&gt;="&amp;($A65+DAY(1)),'[3]Weekly Meeting Costs'!$A$3:$A$24,"&lt;="&amp;$A66)</f>
        <v>#VALUE!</v>
      </c>
      <c r="E65" s="72" t="e">
        <f>SUMIFS('[3]Weekly Meeting Costs'!R$3:R$24,'[3]Weekly Meeting Costs'!$A$3:$A$24,"&gt;="&amp;($A65+DAY(1)),'[3]Weekly Meeting Costs'!$A$3:$A$24,"&lt;="&amp;$A66)</f>
        <v>#VALUE!</v>
      </c>
      <c r="F65" s="72" t="e">
        <f>SUMIFS('[3]Weekly Meeting Costs'!S$3:S$24,'[3]Weekly Meeting Costs'!$A$3:$A$24,"&gt;="&amp;($A65+DAY(1)),'[3]Weekly Meeting Costs'!$A$3:$A$24,"&lt;="&amp;$A66)</f>
        <v>#VALUE!</v>
      </c>
      <c r="G65" s="72" t="e">
        <f>SUMIFS('[3]Weekly Meeting Costs'!T$3:T$24,'[3]Weekly Meeting Costs'!$A$3:$A$24,"&gt;="&amp;($A65+DAY(1)),'[3]Weekly Meeting Costs'!$A$3:$A$24,"&lt;="&amp;$A66)</f>
        <v>#VALUE!</v>
      </c>
      <c r="H65" s="72" t="e">
        <f>SUMIFS('[3]Weekly Meeting Costs'!U$3:U$24,'[3]Weekly Meeting Costs'!$A$3:$A$24,"&gt;="&amp;($A65+DAY(1)),'[3]Weekly Meeting Costs'!$A$3:$A$24,"&lt;="&amp;$A66)</f>
        <v>#VALUE!</v>
      </c>
    </row>
    <row r="66" spans="1:8" ht="15" thickBot="1" x14ac:dyDescent="0.35">
      <c r="A66" s="183" t="s">
        <v>133</v>
      </c>
      <c r="B66" s="180" t="e">
        <f>SUM(C66:H66)</f>
        <v>#VALUE!</v>
      </c>
      <c r="C66" s="181" t="e">
        <f>SUM(C51:C65)</f>
        <v>#VALUE!</v>
      </c>
      <c r="D66" s="180" t="e">
        <f t="shared" ref="D66:H66" si="3">SUM(D51:D65)</f>
        <v>#VALUE!</v>
      </c>
      <c r="E66" s="180" t="e">
        <f t="shared" si="3"/>
        <v>#VALUE!</v>
      </c>
      <c r="F66" s="180" t="e">
        <f t="shared" si="3"/>
        <v>#VALUE!</v>
      </c>
      <c r="G66" s="180" t="e">
        <f t="shared" si="3"/>
        <v>#VALUE!</v>
      </c>
      <c r="H66" s="182" t="e">
        <f t="shared" si="3"/>
        <v>#VALUE!</v>
      </c>
    </row>
    <row r="68" spans="1:8" ht="15" thickBot="1" x14ac:dyDescent="0.35">
      <c r="A68" s="79" t="s">
        <v>178</v>
      </c>
    </row>
    <row r="69" spans="1:8" x14ac:dyDescent="0.3">
      <c r="A69" s="78" t="s">
        <v>138</v>
      </c>
      <c r="B69" s="76" t="s">
        <v>137</v>
      </c>
      <c r="C69" s="77" t="s">
        <v>101</v>
      </c>
      <c r="D69" s="76" t="s">
        <v>66</v>
      </c>
      <c r="E69" s="76" t="s">
        <v>136</v>
      </c>
      <c r="F69" s="76" t="s">
        <v>74</v>
      </c>
      <c r="G69" s="76" t="s">
        <v>135</v>
      </c>
      <c r="H69" s="75" t="s">
        <v>126</v>
      </c>
    </row>
    <row r="70" spans="1:8" x14ac:dyDescent="0.3">
      <c r="A70" s="74">
        <v>43114</v>
      </c>
      <c r="B70" s="73">
        <v>1</v>
      </c>
      <c r="C70" s="188" t="e">
        <f>SUMIFS('[3]Weekly Meeting Costs'!X$3:X$24,'[3]Weekly Meeting Costs'!$A$3:$A$24,"&gt;="&amp;$A70,'[3]Weekly Meeting Costs'!$A$3:$A$24,"&lt;="&amp;$A71)</f>
        <v>#VALUE!</v>
      </c>
      <c r="D70" s="188" t="e">
        <f>SUMIFS('[3]Weekly Meeting Costs'!Y$3:Y$24,'[3]Weekly Meeting Costs'!$A$3:$A$24,"&gt;="&amp;$A70,'[3]Weekly Meeting Costs'!$A$3:$A$24,"&lt;="&amp;$A71)</f>
        <v>#VALUE!</v>
      </c>
      <c r="E70" s="188" t="e">
        <f>SUMIFS('[3]Weekly Meeting Costs'!Z$3:Z$24,'[3]Weekly Meeting Costs'!$A$3:$A$24,"&gt;="&amp;$A70,'[3]Weekly Meeting Costs'!$A$3:$A$24,"&lt;="&amp;$A71)</f>
        <v>#VALUE!</v>
      </c>
      <c r="F70" s="188" t="e">
        <f>SUMIFS('[3]Weekly Meeting Costs'!AA$3:AA$24,'[3]Weekly Meeting Costs'!$A$3:$A$24,"&gt;="&amp;$A70,'[3]Weekly Meeting Costs'!$A$3:$A$24,"&lt;="&amp;$A71)</f>
        <v>#VALUE!</v>
      </c>
      <c r="G70" s="188" t="e">
        <f>SUMIFS('[3]Weekly Meeting Costs'!AB$3:AB$24,'[3]Weekly Meeting Costs'!$A$3:$A$24,"&gt;="&amp;$A70,'[3]Weekly Meeting Costs'!$A$3:$A$24,"&lt;="&amp;$A71)</f>
        <v>#VALUE!</v>
      </c>
      <c r="H70" s="188" t="e">
        <f>SUMIFS('[3]Weekly Meeting Costs'!AC$3:AC$24,'[3]Weekly Meeting Costs'!$A$3:$A$24,"&gt;="&amp;$A70,'[3]Weekly Meeting Costs'!$A$3:$A$24,"&lt;="&amp;$A71)</f>
        <v>#VALUE!</v>
      </c>
    </row>
    <row r="71" spans="1:8" x14ac:dyDescent="0.3">
      <c r="A71" s="74">
        <v>43121</v>
      </c>
      <c r="B71" s="73">
        <v>2</v>
      </c>
      <c r="C71" s="188" t="e">
        <f>SUMIFS('[3]Weekly Meeting Costs'!X$3:X$24,'[3]Weekly Meeting Costs'!$A$3:$A$24,"&gt;="&amp;($A71+DAY(1)),'[3]Weekly Meeting Costs'!$A$3:$A$24,"&lt;="&amp;$A72)</f>
        <v>#VALUE!</v>
      </c>
      <c r="D71" s="188" t="e">
        <f>SUMIFS('[3]Weekly Meeting Costs'!Y$3:Y$24,'[3]Weekly Meeting Costs'!$A$3:$A$24,"&gt;="&amp;($A71+DAY(1)),'[3]Weekly Meeting Costs'!$A$3:$A$24,"&lt;="&amp;$A72)</f>
        <v>#VALUE!</v>
      </c>
      <c r="E71" s="188" t="e">
        <f>SUMIFS('[3]Weekly Meeting Costs'!Z$3:Z$24,'[3]Weekly Meeting Costs'!$A$3:$A$24,"&gt;="&amp;($A71+DAY(1)),'[3]Weekly Meeting Costs'!$A$3:$A$24,"&lt;="&amp;$A72)</f>
        <v>#VALUE!</v>
      </c>
      <c r="F71" s="188" t="e">
        <f>SUMIFS('[3]Weekly Meeting Costs'!AA$3:AA$24,'[3]Weekly Meeting Costs'!$A$3:$A$24,"&gt;="&amp;($A71+DAY(1)),'[3]Weekly Meeting Costs'!$A$3:$A$24,"&lt;="&amp;$A72)</f>
        <v>#VALUE!</v>
      </c>
      <c r="G71" s="188" t="e">
        <f>SUMIFS('[3]Weekly Meeting Costs'!AB$3:AB$24,'[3]Weekly Meeting Costs'!$A$3:$A$24,"&gt;="&amp;($A71+DAY(1)),'[3]Weekly Meeting Costs'!$A$3:$A$24,"&lt;="&amp;$A72)</f>
        <v>#VALUE!</v>
      </c>
      <c r="H71" s="188" t="e">
        <f>SUMIFS('[3]Weekly Meeting Costs'!AC$3:AC$24,'[3]Weekly Meeting Costs'!$A$3:$A$24,"&gt;="&amp;($A71+DAY(1)),'[3]Weekly Meeting Costs'!$A$3:$A$24,"&lt;="&amp;$A72)</f>
        <v>#VALUE!</v>
      </c>
    </row>
    <row r="72" spans="1:8" x14ac:dyDescent="0.3">
      <c r="A72" s="74">
        <v>43128</v>
      </c>
      <c r="B72" s="73">
        <v>3</v>
      </c>
      <c r="C72" s="188" t="e">
        <f>SUMIFS('[3]Weekly Meeting Costs'!X$3:X$24,'[3]Weekly Meeting Costs'!$A$3:$A$24,"&gt;="&amp;($A72+DAY(1)),'[3]Weekly Meeting Costs'!$A$3:$A$24,"&lt;="&amp;$A73)</f>
        <v>#VALUE!</v>
      </c>
      <c r="D72" s="188" t="e">
        <f>SUMIFS('[3]Weekly Meeting Costs'!Y$3:Y$24,'[3]Weekly Meeting Costs'!$A$3:$A$24,"&gt;="&amp;($A72+DAY(1)),'[3]Weekly Meeting Costs'!$A$3:$A$24,"&lt;="&amp;$A73)</f>
        <v>#VALUE!</v>
      </c>
      <c r="E72" s="188" t="e">
        <f>SUMIFS('[3]Weekly Meeting Costs'!Z$3:Z$24,'[3]Weekly Meeting Costs'!$A$3:$A$24,"&gt;="&amp;($A72+DAY(1)),'[3]Weekly Meeting Costs'!$A$3:$A$24,"&lt;="&amp;$A73)</f>
        <v>#VALUE!</v>
      </c>
      <c r="F72" s="188" t="e">
        <f>SUMIFS('[3]Weekly Meeting Costs'!AA$3:AA$24,'[3]Weekly Meeting Costs'!$A$3:$A$24,"&gt;="&amp;($A72+DAY(1)),'[3]Weekly Meeting Costs'!$A$3:$A$24,"&lt;="&amp;$A73)</f>
        <v>#VALUE!</v>
      </c>
      <c r="G72" s="188" t="e">
        <f>SUMIFS('[3]Weekly Meeting Costs'!AB$3:AB$24,'[3]Weekly Meeting Costs'!$A$3:$A$24,"&gt;="&amp;($A72+DAY(1)),'[3]Weekly Meeting Costs'!$A$3:$A$24,"&lt;="&amp;$A73)</f>
        <v>#VALUE!</v>
      </c>
      <c r="H72" s="188" t="e">
        <f>SUMIFS('[3]Weekly Meeting Costs'!AC$3:AC$24,'[3]Weekly Meeting Costs'!$A$3:$A$24,"&gt;="&amp;($A72+DAY(1)),'[3]Weekly Meeting Costs'!$A$3:$A$24,"&lt;="&amp;$A73)</f>
        <v>#VALUE!</v>
      </c>
    </row>
    <row r="73" spans="1:8" x14ac:dyDescent="0.3">
      <c r="A73" s="74">
        <v>43135</v>
      </c>
      <c r="B73" s="73">
        <v>4</v>
      </c>
      <c r="C73" s="188" t="e">
        <f>SUMIFS('[3]Weekly Meeting Costs'!X$3:X$24,'[3]Weekly Meeting Costs'!$A$3:$A$24,"&gt;="&amp;($A73+DAY(1)),'[3]Weekly Meeting Costs'!$A$3:$A$24,"&lt;="&amp;$A74)</f>
        <v>#VALUE!</v>
      </c>
      <c r="D73" s="188" t="e">
        <f>SUMIFS('[3]Weekly Meeting Costs'!Y$3:Y$24,'[3]Weekly Meeting Costs'!$A$3:$A$24,"&gt;="&amp;($A73+DAY(1)),'[3]Weekly Meeting Costs'!$A$3:$A$24,"&lt;="&amp;$A74)</f>
        <v>#VALUE!</v>
      </c>
      <c r="E73" s="188" t="e">
        <f>SUMIFS('[3]Weekly Meeting Costs'!Z$3:Z$24,'[3]Weekly Meeting Costs'!$A$3:$A$24,"&gt;="&amp;($A73+DAY(1)),'[3]Weekly Meeting Costs'!$A$3:$A$24,"&lt;="&amp;$A74)</f>
        <v>#VALUE!</v>
      </c>
      <c r="F73" s="188" t="e">
        <f>SUMIFS('[3]Weekly Meeting Costs'!AA$3:AA$24,'[3]Weekly Meeting Costs'!$A$3:$A$24,"&gt;="&amp;($A73+DAY(1)),'[3]Weekly Meeting Costs'!$A$3:$A$24,"&lt;="&amp;$A74)</f>
        <v>#VALUE!</v>
      </c>
      <c r="G73" s="188" t="e">
        <f>SUMIFS('[3]Weekly Meeting Costs'!AB$3:AB$24,'[3]Weekly Meeting Costs'!$A$3:$A$24,"&gt;="&amp;($A73+DAY(1)),'[3]Weekly Meeting Costs'!$A$3:$A$24,"&lt;="&amp;$A74)</f>
        <v>#VALUE!</v>
      </c>
      <c r="H73" s="188" t="e">
        <f>SUMIFS('[3]Weekly Meeting Costs'!AC$3:AC$24,'[3]Weekly Meeting Costs'!$A$3:$A$24,"&gt;="&amp;($A73+DAY(1)),'[3]Weekly Meeting Costs'!$A$3:$A$24,"&lt;="&amp;$A74)</f>
        <v>#VALUE!</v>
      </c>
    </row>
    <row r="74" spans="1:8" x14ac:dyDescent="0.3">
      <c r="A74" s="74">
        <v>43142</v>
      </c>
      <c r="B74" s="73">
        <v>5</v>
      </c>
      <c r="C74" s="188" t="e">
        <f>SUMIFS('[3]Weekly Meeting Costs'!X$3:X$24,'[3]Weekly Meeting Costs'!$A$3:$A$24,"&gt;="&amp;($A74+DAY(1)),'[3]Weekly Meeting Costs'!$A$3:$A$24,"&lt;="&amp;$A75)</f>
        <v>#VALUE!</v>
      </c>
      <c r="D74" s="188" t="e">
        <f>SUMIFS('[3]Weekly Meeting Costs'!Y$3:Y$24,'[3]Weekly Meeting Costs'!$A$3:$A$24,"&gt;="&amp;($A74+DAY(1)),'[3]Weekly Meeting Costs'!$A$3:$A$24,"&lt;="&amp;$A75)</f>
        <v>#VALUE!</v>
      </c>
      <c r="E74" s="188" t="e">
        <f>SUMIFS('[3]Weekly Meeting Costs'!Z$3:Z$24,'[3]Weekly Meeting Costs'!$A$3:$A$24,"&gt;="&amp;($A74+DAY(1)),'[3]Weekly Meeting Costs'!$A$3:$A$24,"&lt;="&amp;$A75)</f>
        <v>#VALUE!</v>
      </c>
      <c r="F74" s="188" t="e">
        <f>SUMIFS('[3]Weekly Meeting Costs'!AA$3:AA$24,'[3]Weekly Meeting Costs'!$A$3:$A$24,"&gt;="&amp;($A74+DAY(1)),'[3]Weekly Meeting Costs'!$A$3:$A$24,"&lt;="&amp;$A75)</f>
        <v>#VALUE!</v>
      </c>
      <c r="G74" s="188" t="e">
        <f>SUMIFS('[3]Weekly Meeting Costs'!AB$3:AB$24,'[3]Weekly Meeting Costs'!$A$3:$A$24,"&gt;="&amp;($A74+DAY(1)),'[3]Weekly Meeting Costs'!$A$3:$A$24,"&lt;="&amp;$A75)</f>
        <v>#VALUE!</v>
      </c>
      <c r="H74" s="188" t="e">
        <f>SUMIFS('[3]Weekly Meeting Costs'!AC$3:AC$24,'[3]Weekly Meeting Costs'!$A$3:$A$24,"&gt;="&amp;($A74+DAY(1)),'[3]Weekly Meeting Costs'!$A$3:$A$24,"&lt;="&amp;$A75)</f>
        <v>#VALUE!</v>
      </c>
    </row>
    <row r="75" spans="1:8" x14ac:dyDescent="0.3">
      <c r="A75" s="74">
        <v>43149</v>
      </c>
      <c r="B75" s="73">
        <v>6</v>
      </c>
      <c r="C75" s="188" t="e">
        <f>SUMIFS('[3]Weekly Meeting Costs'!X$3:X$24,'[3]Weekly Meeting Costs'!$A$3:$A$24,"&gt;="&amp;($A75+DAY(1)),'[3]Weekly Meeting Costs'!$A$3:$A$24,"&lt;="&amp;$A76)</f>
        <v>#VALUE!</v>
      </c>
      <c r="D75" s="188" t="e">
        <f>SUMIFS('[3]Weekly Meeting Costs'!Y$3:Y$24,'[3]Weekly Meeting Costs'!$A$3:$A$24,"&gt;="&amp;($A75+DAY(1)),'[3]Weekly Meeting Costs'!$A$3:$A$24,"&lt;="&amp;$A76)</f>
        <v>#VALUE!</v>
      </c>
      <c r="E75" s="188" t="e">
        <f>SUMIFS('[3]Weekly Meeting Costs'!Z$3:Z$24,'[3]Weekly Meeting Costs'!$A$3:$A$24,"&gt;="&amp;($A75+DAY(1)),'[3]Weekly Meeting Costs'!$A$3:$A$24,"&lt;="&amp;$A76)</f>
        <v>#VALUE!</v>
      </c>
      <c r="F75" s="188" t="e">
        <f>SUMIFS('[3]Weekly Meeting Costs'!AA$3:AA$24,'[3]Weekly Meeting Costs'!$A$3:$A$24,"&gt;="&amp;($A75+DAY(1)),'[3]Weekly Meeting Costs'!$A$3:$A$24,"&lt;="&amp;$A76)</f>
        <v>#VALUE!</v>
      </c>
      <c r="G75" s="188" t="e">
        <f>SUMIFS('[3]Weekly Meeting Costs'!AB$3:AB$24,'[3]Weekly Meeting Costs'!$A$3:$A$24,"&gt;="&amp;($A75+DAY(1)),'[3]Weekly Meeting Costs'!$A$3:$A$24,"&lt;="&amp;$A76)</f>
        <v>#VALUE!</v>
      </c>
      <c r="H75" s="188" t="e">
        <f>SUMIFS('[3]Weekly Meeting Costs'!AC$3:AC$24,'[3]Weekly Meeting Costs'!$A$3:$A$24,"&gt;="&amp;($A75+DAY(1)),'[3]Weekly Meeting Costs'!$A$3:$A$24,"&lt;="&amp;$A76)</f>
        <v>#VALUE!</v>
      </c>
    </row>
    <row r="76" spans="1:8" x14ac:dyDescent="0.3">
      <c r="A76" s="74">
        <v>43156</v>
      </c>
      <c r="B76" s="73">
        <v>7</v>
      </c>
      <c r="C76" s="188" t="e">
        <f>SUMIFS('[3]Weekly Meeting Costs'!X$3:X$24,'[3]Weekly Meeting Costs'!$A$3:$A$24,"&gt;="&amp;($A76+DAY(1)),'[3]Weekly Meeting Costs'!$A$3:$A$24,"&lt;="&amp;$A77)</f>
        <v>#VALUE!</v>
      </c>
      <c r="D76" s="188" t="e">
        <f>SUMIFS('[3]Weekly Meeting Costs'!Y$3:Y$24,'[3]Weekly Meeting Costs'!$A$3:$A$24,"&gt;="&amp;($A76+DAY(1)),'[3]Weekly Meeting Costs'!$A$3:$A$24,"&lt;="&amp;$A77)</f>
        <v>#VALUE!</v>
      </c>
      <c r="E76" s="188" t="e">
        <f>SUMIFS('[3]Weekly Meeting Costs'!Z$3:Z$24,'[3]Weekly Meeting Costs'!$A$3:$A$24,"&gt;="&amp;($A76+DAY(1)),'[3]Weekly Meeting Costs'!$A$3:$A$24,"&lt;="&amp;$A77)</f>
        <v>#VALUE!</v>
      </c>
      <c r="F76" s="188" t="e">
        <f>SUMIFS('[3]Weekly Meeting Costs'!AA$3:AA$24,'[3]Weekly Meeting Costs'!$A$3:$A$24,"&gt;="&amp;($A76+DAY(1)),'[3]Weekly Meeting Costs'!$A$3:$A$24,"&lt;="&amp;$A77)</f>
        <v>#VALUE!</v>
      </c>
      <c r="G76" s="188" t="e">
        <f>SUMIFS('[3]Weekly Meeting Costs'!AB$3:AB$24,'[3]Weekly Meeting Costs'!$A$3:$A$24,"&gt;="&amp;($A76+DAY(1)),'[3]Weekly Meeting Costs'!$A$3:$A$24,"&lt;="&amp;$A77)</f>
        <v>#VALUE!</v>
      </c>
      <c r="H76" s="188" t="e">
        <f>SUMIFS('[3]Weekly Meeting Costs'!AC$3:AC$24,'[3]Weekly Meeting Costs'!$A$3:$A$24,"&gt;="&amp;($A76+DAY(1)),'[3]Weekly Meeting Costs'!$A$3:$A$24,"&lt;="&amp;$A77)</f>
        <v>#VALUE!</v>
      </c>
    </row>
    <row r="77" spans="1:8" x14ac:dyDescent="0.3">
      <c r="A77" s="74">
        <v>43163</v>
      </c>
      <c r="B77" s="73">
        <v>8</v>
      </c>
      <c r="C77" s="188" t="e">
        <f>SUMIFS('[3]Weekly Meeting Costs'!X$3:X$24,'[3]Weekly Meeting Costs'!$A$3:$A$24,"&gt;="&amp;($A77+DAY(1)),'[3]Weekly Meeting Costs'!$A$3:$A$24,"&lt;="&amp;$A78)</f>
        <v>#VALUE!</v>
      </c>
      <c r="D77" s="188" t="e">
        <f>SUMIFS('[3]Weekly Meeting Costs'!Y$3:Y$24,'[3]Weekly Meeting Costs'!$A$3:$A$24,"&gt;="&amp;($A77+DAY(1)),'[3]Weekly Meeting Costs'!$A$3:$A$24,"&lt;="&amp;$A78)</f>
        <v>#VALUE!</v>
      </c>
      <c r="E77" s="188" t="e">
        <f>SUMIFS('[3]Weekly Meeting Costs'!Z$3:Z$24,'[3]Weekly Meeting Costs'!$A$3:$A$24,"&gt;="&amp;($A77+DAY(1)),'[3]Weekly Meeting Costs'!$A$3:$A$24,"&lt;="&amp;$A78)</f>
        <v>#VALUE!</v>
      </c>
      <c r="F77" s="188" t="e">
        <f>SUMIFS('[3]Weekly Meeting Costs'!AA$3:AA$24,'[3]Weekly Meeting Costs'!$A$3:$A$24,"&gt;="&amp;($A77+DAY(1)),'[3]Weekly Meeting Costs'!$A$3:$A$24,"&lt;="&amp;$A78)</f>
        <v>#VALUE!</v>
      </c>
      <c r="G77" s="188" t="e">
        <f>SUMIFS('[3]Weekly Meeting Costs'!AB$3:AB$24,'[3]Weekly Meeting Costs'!$A$3:$A$24,"&gt;="&amp;($A77+DAY(1)),'[3]Weekly Meeting Costs'!$A$3:$A$24,"&lt;="&amp;$A78)</f>
        <v>#VALUE!</v>
      </c>
      <c r="H77" s="188" t="e">
        <f>SUMIFS('[3]Weekly Meeting Costs'!AC$3:AC$24,'[3]Weekly Meeting Costs'!$A$3:$A$24,"&gt;="&amp;($A77+DAY(1)),'[3]Weekly Meeting Costs'!$A$3:$A$24,"&lt;="&amp;$A78)</f>
        <v>#VALUE!</v>
      </c>
    </row>
    <row r="78" spans="1:8" x14ac:dyDescent="0.3">
      <c r="A78" s="74">
        <v>43170</v>
      </c>
      <c r="B78" s="73">
        <v>9</v>
      </c>
      <c r="C78" s="188" t="e">
        <f>SUMIFS('[3]Weekly Meeting Costs'!X$3:X$24,'[3]Weekly Meeting Costs'!$A$3:$A$24,"&gt;="&amp;($A78+DAY(1)),'[3]Weekly Meeting Costs'!$A$3:$A$24,"&lt;="&amp;$A79)</f>
        <v>#VALUE!</v>
      </c>
      <c r="D78" s="188" t="e">
        <f>SUMIFS('[3]Weekly Meeting Costs'!Y$3:Y$24,'[3]Weekly Meeting Costs'!$A$3:$A$24,"&gt;="&amp;($A78+DAY(1)),'[3]Weekly Meeting Costs'!$A$3:$A$24,"&lt;="&amp;$A79)</f>
        <v>#VALUE!</v>
      </c>
      <c r="E78" s="188" t="e">
        <f>SUMIFS('[3]Weekly Meeting Costs'!Z$3:Z$24,'[3]Weekly Meeting Costs'!$A$3:$A$24,"&gt;="&amp;($A78+DAY(1)),'[3]Weekly Meeting Costs'!$A$3:$A$24,"&lt;="&amp;$A79)</f>
        <v>#VALUE!</v>
      </c>
      <c r="F78" s="188" t="e">
        <f>SUMIFS('[3]Weekly Meeting Costs'!AA$3:AA$24,'[3]Weekly Meeting Costs'!$A$3:$A$24,"&gt;="&amp;($A78+DAY(1)),'[3]Weekly Meeting Costs'!$A$3:$A$24,"&lt;="&amp;$A79)</f>
        <v>#VALUE!</v>
      </c>
      <c r="G78" s="188" t="e">
        <f>SUMIFS('[3]Weekly Meeting Costs'!AB$3:AB$24,'[3]Weekly Meeting Costs'!$A$3:$A$24,"&gt;="&amp;($A78+DAY(1)),'[3]Weekly Meeting Costs'!$A$3:$A$24,"&lt;="&amp;$A79)</f>
        <v>#VALUE!</v>
      </c>
      <c r="H78" s="188" t="e">
        <f>SUMIFS('[3]Weekly Meeting Costs'!AC$3:AC$24,'[3]Weekly Meeting Costs'!$A$3:$A$24,"&gt;="&amp;($A78+DAY(1)),'[3]Weekly Meeting Costs'!$A$3:$A$24,"&lt;="&amp;$A79)</f>
        <v>#VALUE!</v>
      </c>
    </row>
    <row r="79" spans="1:8" x14ac:dyDescent="0.3">
      <c r="A79" s="74">
        <v>43177</v>
      </c>
      <c r="B79" s="73">
        <v>10</v>
      </c>
      <c r="C79" s="188" t="e">
        <f>SUMIFS('[3]Weekly Meeting Costs'!X$3:X$24,'[3]Weekly Meeting Costs'!$A$3:$A$24,"&gt;="&amp;($A79+DAY(1)),'[3]Weekly Meeting Costs'!$A$3:$A$24,"&lt;="&amp;$A80)</f>
        <v>#VALUE!</v>
      </c>
      <c r="D79" s="188" t="e">
        <f>SUMIFS('[3]Weekly Meeting Costs'!Y$3:Y$24,'[3]Weekly Meeting Costs'!$A$3:$A$24,"&gt;="&amp;($A79+DAY(1)),'[3]Weekly Meeting Costs'!$A$3:$A$24,"&lt;="&amp;$A80)</f>
        <v>#VALUE!</v>
      </c>
      <c r="E79" s="188" t="e">
        <f>SUMIFS('[3]Weekly Meeting Costs'!Z$3:Z$24,'[3]Weekly Meeting Costs'!$A$3:$A$24,"&gt;="&amp;($A79+DAY(1)),'[3]Weekly Meeting Costs'!$A$3:$A$24,"&lt;="&amp;$A80)</f>
        <v>#VALUE!</v>
      </c>
      <c r="F79" s="188" t="e">
        <f>SUMIFS('[3]Weekly Meeting Costs'!AA$3:AA$24,'[3]Weekly Meeting Costs'!$A$3:$A$24,"&gt;="&amp;($A79+DAY(1)),'[3]Weekly Meeting Costs'!$A$3:$A$24,"&lt;="&amp;$A80)</f>
        <v>#VALUE!</v>
      </c>
      <c r="G79" s="188" t="e">
        <f>SUMIFS('[3]Weekly Meeting Costs'!AB$3:AB$24,'[3]Weekly Meeting Costs'!$A$3:$A$24,"&gt;="&amp;($A79+DAY(1)),'[3]Weekly Meeting Costs'!$A$3:$A$24,"&lt;="&amp;$A80)</f>
        <v>#VALUE!</v>
      </c>
      <c r="H79" s="188" t="e">
        <f>SUMIFS('[3]Weekly Meeting Costs'!AC$3:AC$24,'[3]Weekly Meeting Costs'!$A$3:$A$24,"&gt;="&amp;($A79+DAY(1)),'[3]Weekly Meeting Costs'!$A$3:$A$24,"&lt;="&amp;$A80)</f>
        <v>#VALUE!</v>
      </c>
    </row>
    <row r="80" spans="1:8" x14ac:dyDescent="0.3">
      <c r="A80" s="74">
        <v>43184</v>
      </c>
      <c r="B80" s="73">
        <v>11</v>
      </c>
      <c r="C80" s="188" t="e">
        <f>SUMIFS('[3]Weekly Meeting Costs'!X$3:X$24,'[3]Weekly Meeting Costs'!$A$3:$A$24,"&gt;="&amp;($A80+DAY(1)),'[3]Weekly Meeting Costs'!$A$3:$A$24,"&lt;="&amp;$A81)</f>
        <v>#VALUE!</v>
      </c>
      <c r="D80" s="188" t="e">
        <f>SUMIFS('[3]Weekly Meeting Costs'!Y$3:Y$24,'[3]Weekly Meeting Costs'!$A$3:$A$24,"&gt;="&amp;($A80+DAY(1)),'[3]Weekly Meeting Costs'!$A$3:$A$24,"&lt;="&amp;$A81)</f>
        <v>#VALUE!</v>
      </c>
      <c r="E80" s="188" t="e">
        <f>SUMIFS('[3]Weekly Meeting Costs'!Z$3:Z$24,'[3]Weekly Meeting Costs'!$A$3:$A$24,"&gt;="&amp;($A80+DAY(1)),'[3]Weekly Meeting Costs'!$A$3:$A$24,"&lt;="&amp;$A81)</f>
        <v>#VALUE!</v>
      </c>
      <c r="F80" s="188" t="e">
        <f>SUMIFS('[3]Weekly Meeting Costs'!AA$3:AA$24,'[3]Weekly Meeting Costs'!$A$3:$A$24,"&gt;="&amp;($A80+DAY(1)),'[3]Weekly Meeting Costs'!$A$3:$A$24,"&lt;="&amp;$A81)</f>
        <v>#VALUE!</v>
      </c>
      <c r="G80" s="188" t="e">
        <f>SUMIFS('[3]Weekly Meeting Costs'!AB$3:AB$24,'[3]Weekly Meeting Costs'!$A$3:$A$24,"&gt;="&amp;($A80+DAY(1)),'[3]Weekly Meeting Costs'!$A$3:$A$24,"&lt;="&amp;$A81)</f>
        <v>#VALUE!</v>
      </c>
      <c r="H80" s="188" t="e">
        <f>SUMIFS('[3]Weekly Meeting Costs'!AC$3:AC$24,'[3]Weekly Meeting Costs'!$A$3:$A$24,"&gt;="&amp;($A80+DAY(1)),'[3]Weekly Meeting Costs'!$A$3:$A$24,"&lt;="&amp;$A81)</f>
        <v>#VALUE!</v>
      </c>
    </row>
    <row r="81" spans="1:8" x14ac:dyDescent="0.3">
      <c r="A81" s="74">
        <v>43191</v>
      </c>
      <c r="B81" s="73">
        <v>12</v>
      </c>
      <c r="C81" s="188" t="e">
        <f>SUMIFS('[3]Weekly Meeting Costs'!X$3:X$24,'[3]Weekly Meeting Costs'!$A$3:$A$24,"&gt;="&amp;($A81+DAY(1)),'[3]Weekly Meeting Costs'!$A$3:$A$24,"&lt;="&amp;$A82)</f>
        <v>#VALUE!</v>
      </c>
      <c r="D81" s="188" t="e">
        <f>SUMIFS('[3]Weekly Meeting Costs'!Y$3:Y$24,'[3]Weekly Meeting Costs'!$A$3:$A$24,"&gt;="&amp;($A81+DAY(1)),'[3]Weekly Meeting Costs'!$A$3:$A$24,"&lt;="&amp;$A82)</f>
        <v>#VALUE!</v>
      </c>
      <c r="E81" s="188" t="e">
        <f>SUMIFS('[3]Weekly Meeting Costs'!Z$3:Z$24,'[3]Weekly Meeting Costs'!$A$3:$A$24,"&gt;="&amp;($A81+DAY(1)),'[3]Weekly Meeting Costs'!$A$3:$A$24,"&lt;="&amp;$A82)</f>
        <v>#VALUE!</v>
      </c>
      <c r="F81" s="188" t="e">
        <f>SUMIFS('[3]Weekly Meeting Costs'!AA$3:AA$24,'[3]Weekly Meeting Costs'!$A$3:$A$24,"&gt;="&amp;($A81+DAY(1)),'[3]Weekly Meeting Costs'!$A$3:$A$24,"&lt;="&amp;$A82)</f>
        <v>#VALUE!</v>
      </c>
      <c r="G81" s="188" t="e">
        <f>SUMIFS('[3]Weekly Meeting Costs'!AB$3:AB$24,'[3]Weekly Meeting Costs'!$A$3:$A$24,"&gt;="&amp;($A81+DAY(1)),'[3]Weekly Meeting Costs'!$A$3:$A$24,"&lt;="&amp;$A82)</f>
        <v>#VALUE!</v>
      </c>
      <c r="H81" s="188" t="e">
        <f>SUMIFS('[3]Weekly Meeting Costs'!AC$3:AC$24,'[3]Weekly Meeting Costs'!$A$3:$A$24,"&gt;="&amp;($A81+DAY(1)),'[3]Weekly Meeting Costs'!$A$3:$A$24,"&lt;="&amp;$A82)</f>
        <v>#VALUE!</v>
      </c>
    </row>
    <row r="82" spans="1:8" x14ac:dyDescent="0.3">
      <c r="A82" s="74">
        <v>43198</v>
      </c>
      <c r="B82" s="73">
        <v>13</v>
      </c>
      <c r="C82" s="188" t="e">
        <f>SUMIFS('[3]Weekly Meeting Costs'!X$3:X$24,'[3]Weekly Meeting Costs'!$A$3:$A$24,"&gt;="&amp;($A82+DAY(1)),'[3]Weekly Meeting Costs'!$A$3:$A$24,"&lt;="&amp;$A83)</f>
        <v>#VALUE!</v>
      </c>
      <c r="D82" s="188" t="e">
        <f>SUMIFS('[3]Weekly Meeting Costs'!Y$3:Y$24,'[3]Weekly Meeting Costs'!$A$3:$A$24,"&gt;="&amp;($A82+DAY(1)),'[3]Weekly Meeting Costs'!$A$3:$A$24,"&lt;="&amp;$A83)</f>
        <v>#VALUE!</v>
      </c>
      <c r="E82" s="188" t="e">
        <f>SUMIFS('[3]Weekly Meeting Costs'!Z$3:Z$24,'[3]Weekly Meeting Costs'!$A$3:$A$24,"&gt;="&amp;($A82+DAY(1)),'[3]Weekly Meeting Costs'!$A$3:$A$24,"&lt;="&amp;$A83)</f>
        <v>#VALUE!</v>
      </c>
      <c r="F82" s="188" t="e">
        <f>SUMIFS('[3]Weekly Meeting Costs'!AA$3:AA$24,'[3]Weekly Meeting Costs'!$A$3:$A$24,"&gt;="&amp;($A82+DAY(1)),'[3]Weekly Meeting Costs'!$A$3:$A$24,"&lt;="&amp;$A83)</f>
        <v>#VALUE!</v>
      </c>
      <c r="G82" s="188" t="e">
        <f>SUMIFS('[3]Weekly Meeting Costs'!AB$3:AB$24,'[3]Weekly Meeting Costs'!$A$3:$A$24,"&gt;="&amp;($A82+DAY(1)),'[3]Weekly Meeting Costs'!$A$3:$A$24,"&lt;="&amp;$A83)</f>
        <v>#VALUE!</v>
      </c>
      <c r="H82" s="188" t="e">
        <f>SUMIFS('[3]Weekly Meeting Costs'!AC$3:AC$24,'[3]Weekly Meeting Costs'!$A$3:$A$24,"&gt;="&amp;($A82+DAY(1)),'[3]Weekly Meeting Costs'!$A$3:$A$24,"&lt;="&amp;$A83)</f>
        <v>#VALUE!</v>
      </c>
    </row>
    <row r="83" spans="1:8" x14ac:dyDescent="0.3">
      <c r="A83" s="74">
        <v>43205</v>
      </c>
      <c r="B83" s="73">
        <v>14</v>
      </c>
      <c r="C83" s="188" t="e">
        <f>SUMIFS('[3]Weekly Meeting Costs'!X$3:X$24,'[3]Weekly Meeting Costs'!$A$3:$A$24,"&gt;="&amp;($A83+DAY(1)),'[3]Weekly Meeting Costs'!$A$3:$A$24,"&lt;="&amp;$A84)</f>
        <v>#VALUE!</v>
      </c>
      <c r="D83" s="188" t="e">
        <f>SUMIFS('[3]Weekly Meeting Costs'!Y$3:Y$24,'[3]Weekly Meeting Costs'!$A$3:$A$24,"&gt;="&amp;($A83+DAY(1)),'[3]Weekly Meeting Costs'!$A$3:$A$24,"&lt;="&amp;$A84)</f>
        <v>#VALUE!</v>
      </c>
      <c r="E83" s="188" t="e">
        <f>SUMIFS('[3]Weekly Meeting Costs'!Z$3:Z$24,'[3]Weekly Meeting Costs'!$A$3:$A$24,"&gt;="&amp;($A83+DAY(1)),'[3]Weekly Meeting Costs'!$A$3:$A$24,"&lt;="&amp;$A84)</f>
        <v>#VALUE!</v>
      </c>
      <c r="F83" s="188" t="e">
        <f>SUMIFS('[3]Weekly Meeting Costs'!AA$3:AA$24,'[3]Weekly Meeting Costs'!$A$3:$A$24,"&gt;="&amp;($A83+DAY(1)),'[3]Weekly Meeting Costs'!$A$3:$A$24,"&lt;="&amp;$A84)</f>
        <v>#VALUE!</v>
      </c>
      <c r="G83" s="188" t="e">
        <f>SUMIFS('[3]Weekly Meeting Costs'!AB$3:AB$24,'[3]Weekly Meeting Costs'!$A$3:$A$24,"&gt;="&amp;($A83+DAY(1)),'[3]Weekly Meeting Costs'!$A$3:$A$24,"&lt;="&amp;$A84)</f>
        <v>#VALUE!</v>
      </c>
      <c r="H83" s="188" t="e">
        <f>SUMIFS('[3]Weekly Meeting Costs'!AC$3:AC$24,'[3]Weekly Meeting Costs'!$A$3:$A$24,"&gt;="&amp;($A83+DAY(1)),'[3]Weekly Meeting Costs'!$A$3:$A$24,"&lt;="&amp;$A84)</f>
        <v>#VALUE!</v>
      </c>
    </row>
    <row r="84" spans="1:8" x14ac:dyDescent="0.3">
      <c r="A84" s="74">
        <v>43212</v>
      </c>
      <c r="B84" s="73">
        <v>15</v>
      </c>
      <c r="C84" s="188" t="e">
        <f>SUMIFS('[3]Weekly Meeting Costs'!X$3:X$24,'[3]Weekly Meeting Costs'!$A$3:$A$24,"&gt;="&amp;($A84+DAY(1)),'[3]Weekly Meeting Costs'!$A$3:$A$24,"&lt;="&amp;$A85)</f>
        <v>#VALUE!</v>
      </c>
      <c r="D84" s="188" t="e">
        <f>SUMIFS('[3]Weekly Meeting Costs'!Y$3:Y$24,'[3]Weekly Meeting Costs'!$A$3:$A$24,"&gt;="&amp;($A84+DAY(1)),'[3]Weekly Meeting Costs'!$A$3:$A$24,"&lt;="&amp;$A85)</f>
        <v>#VALUE!</v>
      </c>
      <c r="E84" s="188" t="e">
        <f>SUMIFS('[3]Weekly Meeting Costs'!Z$3:Z$24,'[3]Weekly Meeting Costs'!$A$3:$A$24,"&gt;="&amp;($A84+DAY(1)),'[3]Weekly Meeting Costs'!$A$3:$A$24,"&lt;="&amp;$A85)</f>
        <v>#VALUE!</v>
      </c>
      <c r="F84" s="188" t="e">
        <f>SUMIFS('[3]Weekly Meeting Costs'!AA$3:AA$24,'[3]Weekly Meeting Costs'!$A$3:$A$24,"&gt;="&amp;($A84+DAY(1)),'[3]Weekly Meeting Costs'!$A$3:$A$24,"&lt;="&amp;$A85)</f>
        <v>#VALUE!</v>
      </c>
      <c r="G84" s="188" t="e">
        <f>SUMIFS('[3]Weekly Meeting Costs'!AB$3:AB$24,'[3]Weekly Meeting Costs'!$A$3:$A$24,"&gt;="&amp;($A84+DAY(1)),'[3]Weekly Meeting Costs'!$A$3:$A$24,"&lt;="&amp;$A85)</f>
        <v>#VALUE!</v>
      </c>
      <c r="H84" s="188" t="e">
        <f>SUMIFS('[3]Weekly Meeting Costs'!AC$3:AC$24,'[3]Weekly Meeting Costs'!$A$3:$A$24,"&gt;="&amp;($A84+DAY(1)),'[3]Weekly Meeting Costs'!$A$3:$A$24,"&lt;="&amp;$A85)</f>
        <v>#VALUE!</v>
      </c>
    </row>
    <row r="85" spans="1:8" ht="15" thickBot="1" x14ac:dyDescent="0.35">
      <c r="A85" s="176" t="s">
        <v>133</v>
      </c>
      <c r="B85" s="179" t="e">
        <f>SUM(C85:H85)</f>
        <v>#VALUE!</v>
      </c>
      <c r="C85" s="192" t="e">
        <f t="shared" ref="C85:H85" si="4">SUM(C70:C84)</f>
        <v>#VALUE!</v>
      </c>
      <c r="D85" s="193" t="e">
        <f t="shared" si="4"/>
        <v>#VALUE!</v>
      </c>
      <c r="E85" s="193" t="e">
        <f t="shared" si="4"/>
        <v>#VALUE!</v>
      </c>
      <c r="F85" s="193" t="e">
        <f t="shared" si="4"/>
        <v>#VALUE!</v>
      </c>
      <c r="G85" s="193" t="e">
        <f t="shared" si="4"/>
        <v>#VALUE!</v>
      </c>
      <c r="H85" s="194" t="e">
        <f t="shared" si="4"/>
        <v>#VALUE!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E41" sqref="E40:E4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8.88671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.6" thickBot="1" x14ac:dyDescent="1.05">
      <c r="B1" s="6" t="s">
        <v>190</v>
      </c>
      <c r="C1" s="7"/>
      <c r="D1" s="8"/>
      <c r="E1" s="8"/>
      <c r="F1" s="8"/>
      <c r="G1" s="8"/>
      <c r="H1" s="8"/>
    </row>
    <row r="2" spans="1:68" ht="21" customHeight="1" thickTop="1" thickBot="1" x14ac:dyDescent="0.35">
      <c r="B2" s="201">
        <f ca="1">NOW()</f>
        <v>43192.990386921294</v>
      </c>
      <c r="C2" s="201"/>
      <c r="D2" s="201"/>
      <c r="E2" s="201"/>
      <c r="F2" s="201"/>
      <c r="G2" s="201"/>
      <c r="H2" s="10" t="s">
        <v>1</v>
      </c>
      <c r="I2" s="10">
        <f ca="1">DAY(NOW())</f>
        <v>2</v>
      </c>
      <c r="K2" s="11"/>
      <c r="L2" s="202" t="s">
        <v>2</v>
      </c>
      <c r="M2" s="202"/>
      <c r="N2" s="202"/>
      <c r="O2" s="202"/>
      <c r="P2" s="202"/>
      <c r="Q2" s="12"/>
      <c r="R2" s="202" t="s">
        <v>3</v>
      </c>
      <c r="S2" s="202"/>
      <c r="T2" s="202"/>
      <c r="U2" s="202"/>
      <c r="V2" s="13"/>
      <c r="W2" s="202" t="s">
        <v>4</v>
      </c>
      <c r="X2" s="202"/>
      <c r="Y2" s="202"/>
      <c r="Z2" s="202"/>
      <c r="AA2" s="14"/>
      <c r="AB2" s="202" t="s">
        <v>5</v>
      </c>
      <c r="AC2" s="202"/>
      <c r="AD2" s="202"/>
      <c r="AE2" s="202"/>
      <c r="AF2" s="202"/>
      <c r="AG2" s="202"/>
      <c r="AH2" s="202"/>
      <c r="AI2" s="15"/>
      <c r="AJ2" s="196" t="s">
        <v>6</v>
      </c>
      <c r="AK2" s="196"/>
      <c r="AL2" s="196"/>
      <c r="AM2" s="196"/>
      <c r="AN2" s="196"/>
      <c r="AO2" s="196"/>
      <c r="AP2" s="196"/>
      <c r="AQ2" s="196"/>
    </row>
    <row r="3" spans="1:68" s="16" customFormat="1" ht="39.9" customHeight="1" thickTop="1" x14ac:dyDescent="0.3">
      <c r="B3" s="197" t="s">
        <v>7</v>
      </c>
      <c r="C3" s="198" t="s">
        <v>8</v>
      </c>
      <c r="D3" s="199" t="s">
        <v>9</v>
      </c>
      <c r="E3" s="199" t="s">
        <v>10</v>
      </c>
      <c r="F3" s="199" t="s">
        <v>11</v>
      </c>
      <c r="G3" s="199" t="s">
        <v>12</v>
      </c>
      <c r="H3" s="200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197"/>
      <c r="C4" s="198"/>
      <c r="D4" s="199"/>
      <c r="E4" s="199"/>
      <c r="F4" s="199"/>
      <c r="G4" s="199"/>
      <c r="H4" s="200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8" t="str">
        <f>IF(SUMPRODUCT(--(NOT(ISERR(SEARCH({"T","An"},'[4]CDR Project Planner'!$C5))))),'[4]CDR Project Planner'!B5,"")</f>
        <v>PDR</v>
      </c>
      <c r="C5" s="39" t="str">
        <f>IF(SUMPRODUCT(--(NOT(ISERR(SEARCH({"T","An"},'[4]CDR Project Planner'!$C5))))),'[4]CDR Project Planner'!C5,"")</f>
        <v>T</v>
      </c>
      <c r="D5" s="39">
        <f>IF(SUMPRODUCT(--(NOT(ISERR(SEARCH({"T","An"},'[4]CDR Project Planner'!$C5))))),'[4]CDR Project Planner'!D5,"")</f>
        <v>22</v>
      </c>
      <c r="E5" s="39">
        <f>IF(SUMPRODUCT(--(NOT(ISERR(SEARCH({"T","An"},'[4]CDR Project Planner'!$C5))))),'[4]CDR Project Planner'!E5,"")</f>
        <v>1</v>
      </c>
      <c r="F5" s="39">
        <f>IF(SUMPRODUCT(--(NOT(ISERR(SEARCH({"T","An"},'[4]CDR Project Planner'!$C5))))),'[4]CDR Project Planner'!F5,"")</f>
        <v>22</v>
      </c>
      <c r="G5" s="39">
        <f>IF(SUMPRODUCT(--(NOT(ISERR(SEARCH({"T","An"},'[4]CDR Project Planner'!$C5))))),'[4]CDR Project Planner'!G5,"")</f>
        <v>1</v>
      </c>
      <c r="H5" s="40">
        <f>IF(SUMPRODUCT(--(NOT(ISERR(SEARCH({"T","An"},'[4]CDR Project Planner'!$C5))))),'[4]CDR Project Planner'!H5,"")</f>
        <v>1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68" ht="14.4" x14ac:dyDescent="0.3">
      <c r="B6" s="34" t="str">
        <f>IF(SUMPRODUCT(--(NOT(ISERR(SEARCH({"T","An"},'[4]CDR Project Planner'!$C6))))),'[4]CDR Project Planner'!B6,"")</f>
        <v/>
      </c>
      <c r="C6" s="35" t="str">
        <f>IF(SUMPRODUCT(--(NOT(ISERR(SEARCH({"T","An"},'[4]CDR Project Planner'!$C6))))),'[4]CDR Project Planner'!C6,"")</f>
        <v/>
      </c>
      <c r="D6" s="35" t="str">
        <f>IF(SUMPRODUCT(--(NOT(ISERR(SEARCH({"T","An"},'[4]CDR Project Planner'!$C6))))),'[4]CDR Project Planner'!D6,"")</f>
        <v/>
      </c>
      <c r="E6" s="35" t="str">
        <f>IF(SUMPRODUCT(--(NOT(ISERR(SEARCH({"T","An"},'[4]CDR Project Planner'!$C6))))),'[4]CDR Project Planner'!E6,"")</f>
        <v/>
      </c>
      <c r="F6" s="35" t="str">
        <f>IF(SUMPRODUCT(--(NOT(ISERR(SEARCH({"T","An"},'[4]CDR Project Planner'!$C6))))),'[4]CDR Project Planner'!F6,"")</f>
        <v/>
      </c>
      <c r="G6" s="35" t="str">
        <f>IF(SUMPRODUCT(--(NOT(ISERR(SEARCH({"T","An"},'[4]CDR Project Planner'!$C6))))),'[4]CDR Project Planner'!G6,"")</f>
        <v/>
      </c>
      <c r="H6" s="40" t="str">
        <f>IF(SUMPRODUCT(--(NOT(ISERR(SEARCH({"T","An"},'[4]CDR Project Planner'!$C6))))),'[4]CDR Project Planner'!H6,"")</f>
        <v/>
      </c>
    </row>
    <row r="7" spans="1:68" s="4" customFormat="1" ht="14.4" outlineLevel="1" x14ac:dyDescent="0.3">
      <c r="A7" s="1"/>
      <c r="B7" s="34" t="str">
        <f>IF(SUMPRODUCT(--(NOT(ISERR(SEARCH({"T","An"},'[4]CDR Project Planner'!$C7))))),'[4]CDR Project Planner'!B7,"")</f>
        <v/>
      </c>
      <c r="C7" s="35" t="str">
        <f>IF(SUMPRODUCT(--(NOT(ISERR(SEARCH({"T","An"},'[4]CDR Project Planner'!$C7))))),'[4]CDR Project Planner'!C7,"")</f>
        <v/>
      </c>
      <c r="D7" s="35" t="str">
        <f>IF(SUMPRODUCT(--(NOT(ISERR(SEARCH({"T","An"},'[4]CDR Project Planner'!$C7))))),'[4]CDR Project Planner'!D7,"")</f>
        <v/>
      </c>
      <c r="E7" s="35" t="str">
        <f>IF(SUMPRODUCT(--(NOT(ISERR(SEARCH({"T","An"},'[4]CDR Project Planner'!$C7))))),'[4]CDR Project Planner'!E7,"")</f>
        <v/>
      </c>
      <c r="F7" s="35" t="str">
        <f>IF(SUMPRODUCT(--(NOT(ISERR(SEARCH({"T","An"},'[4]CDR Project Planner'!$C7))))),'[4]CDR Project Planner'!F7,"")</f>
        <v/>
      </c>
      <c r="G7" s="35" t="str">
        <f>IF(SUMPRODUCT(--(NOT(ISERR(SEARCH({"T","An"},'[4]CDR Project Planner'!$C7))))),'[4]CDR Project Planner'!G7,"")</f>
        <v/>
      </c>
      <c r="H7" s="40" t="str">
        <f>IF(SUMPRODUCT(--(NOT(ISERR(SEARCH({"T","An"},'[4]CDR Project Planner'!$C7))))),'[4]CDR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34" t="str">
        <f>IF(SUMPRODUCT(--(NOT(ISERR(SEARCH({"T","An"},'[4]CDR Project Planner'!$C8))))),'[4]CDR Project Planner'!B8,"")</f>
        <v/>
      </c>
      <c r="C8" s="35" t="str">
        <f>IF(SUMPRODUCT(--(NOT(ISERR(SEARCH({"T","An"},'[4]CDR Project Planner'!$C8))))),'[4]CDR Project Planner'!C8,"")</f>
        <v/>
      </c>
      <c r="D8" s="35" t="str">
        <f>IF(SUMPRODUCT(--(NOT(ISERR(SEARCH({"T","An"},'[4]CDR Project Planner'!$C8))))),'[4]CDR Project Planner'!D8,"")</f>
        <v/>
      </c>
      <c r="E8" s="35" t="str">
        <f>IF(SUMPRODUCT(--(NOT(ISERR(SEARCH({"T","An"},'[4]CDR Project Planner'!$C8))))),'[4]CDR Project Planner'!E8,"")</f>
        <v/>
      </c>
      <c r="F8" s="35" t="str">
        <f>IF(SUMPRODUCT(--(NOT(ISERR(SEARCH({"T","An"},'[4]CDR Project Planner'!$C8))))),'[4]CDR Project Planner'!F8,"")</f>
        <v/>
      </c>
      <c r="G8" s="35" t="str">
        <f>IF(SUMPRODUCT(--(NOT(ISERR(SEARCH({"T","An"},'[4]CDR Project Planner'!$C8))))),'[4]CDR Project Planner'!G8,"")</f>
        <v/>
      </c>
      <c r="H8" s="40" t="str">
        <f>IF(SUMPRODUCT(--(NOT(ISERR(SEARCH({"T","An"},'[4]CDR Project Planner'!$C8))))),'[4]CDR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4" t="str">
        <f>IF(SUMPRODUCT(--(NOT(ISERR(SEARCH({"T","An"},'[4]CDR Project Planner'!$C9))))),'[4]CDR Project Planner'!B9,"")</f>
        <v/>
      </c>
      <c r="C9" s="35" t="str">
        <f>IF(SUMPRODUCT(--(NOT(ISERR(SEARCH({"T","An"},'[4]CDR Project Planner'!$C9))))),'[4]CDR Project Planner'!C9,"")</f>
        <v/>
      </c>
      <c r="D9" s="35" t="str">
        <f>IF(SUMPRODUCT(--(NOT(ISERR(SEARCH({"T","An"},'[4]CDR Project Planner'!$C9))))),'[4]CDR Project Planner'!D9,"")</f>
        <v/>
      </c>
      <c r="E9" s="35" t="str">
        <f>IF(SUMPRODUCT(--(NOT(ISERR(SEARCH({"T","An"},'[4]CDR Project Planner'!$C9))))),'[4]CDR Project Planner'!E9,"")</f>
        <v/>
      </c>
      <c r="F9" s="35" t="str">
        <f>IF(SUMPRODUCT(--(NOT(ISERR(SEARCH({"T","An"},'[4]CDR Project Planner'!$C9))))),'[4]CDR Project Planner'!F9,"")</f>
        <v/>
      </c>
      <c r="G9" s="35" t="str">
        <f>IF(SUMPRODUCT(--(NOT(ISERR(SEARCH({"T","An"},'[4]CDR Project Planner'!$C9))))),'[4]CDR Project Planner'!G9,"")</f>
        <v/>
      </c>
      <c r="H9" s="40" t="str">
        <f>IF(SUMPRODUCT(--(NOT(ISERR(SEARCH({"T","An"},'[4]CDR Project Planner'!$C9))))),'[4]CDR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4" t="str">
        <f>IF(SUMPRODUCT(--(NOT(ISERR(SEARCH({"T","An"},'[4]CDR Project Planner'!$C10))))),'[4]CDR Project Planner'!B10,"")</f>
        <v/>
      </c>
      <c r="C10" s="35" t="str">
        <f>IF(SUMPRODUCT(--(NOT(ISERR(SEARCH({"T","An"},'[4]CDR Project Planner'!$C10))))),'[4]CDR Project Planner'!C10,"")</f>
        <v/>
      </c>
      <c r="D10" s="35" t="str">
        <f>IF(SUMPRODUCT(--(NOT(ISERR(SEARCH({"T","An"},'[4]CDR Project Planner'!$C10))))),'[4]CDR Project Planner'!D10,"")</f>
        <v/>
      </c>
      <c r="E10" s="35" t="str">
        <f>IF(SUMPRODUCT(--(NOT(ISERR(SEARCH({"T","An"},'[4]CDR Project Planner'!$C10))))),'[4]CDR Project Planner'!E10,"")</f>
        <v/>
      </c>
      <c r="F10" s="35" t="str">
        <f>IF(SUMPRODUCT(--(NOT(ISERR(SEARCH({"T","An"},'[4]CDR Project Planner'!$C10))))),'[4]CDR Project Planner'!F10,"")</f>
        <v/>
      </c>
      <c r="G10" s="35" t="str">
        <f>IF(SUMPRODUCT(--(NOT(ISERR(SEARCH({"T","An"},'[4]CDR Project Planner'!$C10))))),'[4]CDR Project Planner'!G10,"")</f>
        <v/>
      </c>
      <c r="H10" s="40" t="str">
        <f>IF(SUMPRODUCT(--(NOT(ISERR(SEARCH({"T","An"},'[4]CDR Project Planner'!$C10))))),'[4]CDR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4" t="str">
        <f>IF(SUMPRODUCT(--(NOT(ISERR(SEARCH({"T","An"},'[4]CDR Project Planner'!#REF!))))),'[4]CDR Project Planner'!#REF!,"")</f>
        <v/>
      </c>
      <c r="C11" s="35" t="str">
        <f>IF(SUMPRODUCT(--(NOT(ISERR(SEARCH({"T","An"},'[4]CDR Project Planner'!#REF!))))),'[4]CDR Project Planner'!#REF!,"")</f>
        <v/>
      </c>
      <c r="D11" s="35" t="str">
        <f>IF(SUMPRODUCT(--(NOT(ISERR(SEARCH({"T","An"},'[4]CDR Project Planner'!#REF!))))),'[4]CDR Project Planner'!#REF!,"")</f>
        <v/>
      </c>
      <c r="E11" s="35" t="str">
        <f>IF(SUMPRODUCT(--(NOT(ISERR(SEARCH({"T","An"},'[4]CDR Project Planner'!#REF!))))),'[4]CDR Project Planner'!#REF!,"")</f>
        <v/>
      </c>
      <c r="F11" s="35" t="str">
        <f>IF(SUMPRODUCT(--(NOT(ISERR(SEARCH({"T","An"},'[4]CDR Project Planner'!#REF!))))),'[4]CDR Project Planner'!#REF!,"")</f>
        <v/>
      </c>
      <c r="G11" s="35" t="str">
        <f>IF(SUMPRODUCT(--(NOT(ISERR(SEARCH({"T","An"},'[4]CDR Project Planner'!#REF!))))),'[4]CDR Project Planner'!#REF!,"")</f>
        <v/>
      </c>
      <c r="H11" s="40" t="str">
        <f>IF(SUMPRODUCT(--(NOT(ISERR(SEARCH({"T","An"},'[4]CDR Project Planner'!#REF!))))),'[4]CDR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4" t="str">
        <f>IF(SUMPRODUCT(--(NOT(ISERR(SEARCH({"T","An"},'[4]CDR Project Planner'!$C11))))),'[4]CDR Project Planner'!B11,"")</f>
        <v/>
      </c>
      <c r="C12" s="35" t="str">
        <f>IF(SUMPRODUCT(--(NOT(ISERR(SEARCH({"T","An"},'[4]CDR Project Planner'!$C11))))),'[4]CDR Project Planner'!C11,"")</f>
        <v/>
      </c>
      <c r="D12" s="35" t="str">
        <f>IF(SUMPRODUCT(--(NOT(ISERR(SEARCH({"T","An"},'[4]CDR Project Planner'!$C11))))),'[4]CDR Project Planner'!D11,"")</f>
        <v/>
      </c>
      <c r="E12" s="35" t="str">
        <f>IF(SUMPRODUCT(--(NOT(ISERR(SEARCH({"T","An"},'[4]CDR Project Planner'!$C11))))),'[4]CDR Project Planner'!E11,"")</f>
        <v/>
      </c>
      <c r="F12" s="35" t="str">
        <f>IF(SUMPRODUCT(--(NOT(ISERR(SEARCH({"T","An"},'[4]CDR Project Planner'!$C11))))),'[4]CDR Project Planner'!F11,"")</f>
        <v/>
      </c>
      <c r="G12" s="35" t="str">
        <f>IF(SUMPRODUCT(--(NOT(ISERR(SEARCH({"T","An"},'[4]CDR Project Planner'!$C11))))),'[4]CDR Project Planner'!G11,"")</f>
        <v/>
      </c>
      <c r="H12" s="40" t="str">
        <f>IF(SUMPRODUCT(--(NOT(ISERR(SEARCH({"T","An"},'[4]CDR Project Planner'!$C11))))),'[4]CDR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4" t="str">
        <f>IF(SUMPRODUCT(--(NOT(ISERR(SEARCH({"T","An"},'[4]CDR Project Planner'!$C14))))),'[4]CDR Project Planner'!B14,"")</f>
        <v/>
      </c>
      <c r="C13" s="35" t="str">
        <f>IF(SUMPRODUCT(--(NOT(ISERR(SEARCH({"T","An"},'[4]CDR Project Planner'!$C14))))),'[4]CDR Project Planner'!C14,"")</f>
        <v/>
      </c>
      <c r="D13" s="35" t="str">
        <f>IF(SUMPRODUCT(--(NOT(ISERR(SEARCH({"T","An"},'[4]CDR Project Planner'!$C14))))),'[4]CDR Project Planner'!D14,"")</f>
        <v/>
      </c>
      <c r="E13" s="35" t="str">
        <f>IF(SUMPRODUCT(--(NOT(ISERR(SEARCH({"T","An"},'[4]CDR Project Planner'!$C14))))),'[4]CDR Project Planner'!E14,"")</f>
        <v/>
      </c>
      <c r="F13" s="35" t="str">
        <f>IF(SUMPRODUCT(--(NOT(ISERR(SEARCH({"T","An"},'[4]CDR Project Planner'!$C14))))),'[4]CDR Project Planner'!F14,"")</f>
        <v/>
      </c>
      <c r="G13" s="35" t="str">
        <f>IF(SUMPRODUCT(--(NOT(ISERR(SEARCH({"T","An"},'[4]CDR Project Planner'!$C14))))),'[4]CDR Project Planner'!G14,"")</f>
        <v/>
      </c>
      <c r="H13" s="40" t="str">
        <f>IF(SUMPRODUCT(--(NOT(ISERR(SEARCH({"T","An"},'[4]CDR Project Planner'!$C14))))),'[4]CDR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4" t="str">
        <f>IF(SUMPRODUCT(--(NOT(ISERR(SEARCH({"T","An"},'[4]CDR Project Planner'!$C15))))),'[4]CDR Project Planner'!B15,"")</f>
        <v/>
      </c>
      <c r="C14" s="35" t="str">
        <f>IF(SUMPRODUCT(--(NOT(ISERR(SEARCH({"T","An"},'[4]CDR Project Planner'!$C15))))),'[4]CDR Project Planner'!C15,"")</f>
        <v/>
      </c>
      <c r="D14" s="35" t="str">
        <f>IF(SUMPRODUCT(--(NOT(ISERR(SEARCH({"T","An"},'[4]CDR Project Planner'!$C15))))),'[4]CDR Project Planner'!D15,"")</f>
        <v/>
      </c>
      <c r="E14" s="35" t="str">
        <f>IF(SUMPRODUCT(--(NOT(ISERR(SEARCH({"T","An"},'[4]CDR Project Planner'!$C15))))),'[4]CDR Project Planner'!E15,"")</f>
        <v/>
      </c>
      <c r="F14" s="35" t="str">
        <f>IF(SUMPRODUCT(--(NOT(ISERR(SEARCH({"T","An"},'[4]CDR Project Planner'!$C15))))),'[4]CDR Project Planner'!F15,"")</f>
        <v/>
      </c>
      <c r="G14" s="35" t="str">
        <f>IF(SUMPRODUCT(--(NOT(ISERR(SEARCH({"T","An"},'[4]CDR Project Planner'!$C15))))),'[4]CDR Project Planner'!G15,"")</f>
        <v/>
      </c>
      <c r="H14" s="195" t="str">
        <f>IF(SUMPRODUCT(--(NOT(ISERR(SEARCH({"T","An"},'[4]CDR Project Planner'!$C15))))),'[4]CDR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4" t="str">
        <f>IF(SUMPRODUCT(--(NOT(ISERR(SEARCH({"T","An"},'[4]CDR Project Planner'!$C16))))),'[4]CDR Project Planner'!B16,"")</f>
        <v/>
      </c>
      <c r="C15" s="35" t="str">
        <f>IF(SUMPRODUCT(--(NOT(ISERR(SEARCH({"T","An"},'[4]CDR Project Planner'!$C16))))),'[4]CDR Project Planner'!C16,"")</f>
        <v/>
      </c>
      <c r="D15" s="35" t="str">
        <f>IF(SUMPRODUCT(--(NOT(ISERR(SEARCH({"T","An"},'[4]CDR Project Planner'!$C16))))),'[4]CDR Project Planner'!D16,"")</f>
        <v/>
      </c>
      <c r="E15" s="35" t="str">
        <f>IF(SUMPRODUCT(--(NOT(ISERR(SEARCH({"T","An"},'[4]CDR Project Planner'!$C16))))),'[4]CDR Project Planner'!E16,"")</f>
        <v/>
      </c>
      <c r="F15" s="35" t="str">
        <f>IF(SUMPRODUCT(--(NOT(ISERR(SEARCH({"T","An"},'[4]CDR Project Planner'!$C16))))),'[4]CDR Project Planner'!F16,"")</f>
        <v/>
      </c>
      <c r="G15" s="35" t="str">
        <f>IF(SUMPRODUCT(--(NOT(ISERR(SEARCH({"T","An"},'[4]CDR Project Planner'!$C16))))),'[4]CDR Project Planner'!G16,"")</f>
        <v/>
      </c>
      <c r="H15" s="195" t="str">
        <f>IF(SUMPRODUCT(--(NOT(ISERR(SEARCH({"T","An"},'[4]CDR Project Planner'!$C16))))),'[4]CDR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4" t="str">
        <f>IF(SUMPRODUCT(--(NOT(ISERR(SEARCH({"T","An"},'[4]CDR Project Planner'!$C17))))),'[4]CDR Project Planner'!B17,"")</f>
        <v/>
      </c>
      <c r="C16" s="35" t="str">
        <f>IF(SUMPRODUCT(--(NOT(ISERR(SEARCH({"T","An"},'[4]CDR Project Planner'!$C17))))),'[4]CDR Project Planner'!C17,"")</f>
        <v/>
      </c>
      <c r="D16" s="35" t="str">
        <f>IF(SUMPRODUCT(--(NOT(ISERR(SEARCH({"T","An"},'[4]CDR Project Planner'!$C17))))),'[4]CDR Project Planner'!D17,"")</f>
        <v/>
      </c>
      <c r="E16" s="35" t="str">
        <f>IF(SUMPRODUCT(--(NOT(ISERR(SEARCH({"T","An"},'[4]CDR Project Planner'!$C17))))),'[4]CDR Project Planner'!E17,"")</f>
        <v/>
      </c>
      <c r="F16" s="35" t="str">
        <f>IF(SUMPRODUCT(--(NOT(ISERR(SEARCH({"T","An"},'[4]CDR Project Planner'!$C17))))),'[4]CDR Project Planner'!F17,"")</f>
        <v/>
      </c>
      <c r="G16" s="35" t="str">
        <f>IF(SUMPRODUCT(--(NOT(ISERR(SEARCH({"T","An"},'[4]CDR Project Planner'!$C17))))),'[4]CDR Project Planner'!G17,"")</f>
        <v/>
      </c>
      <c r="H16" s="195" t="str">
        <f>IF(SUMPRODUCT(--(NOT(ISERR(SEARCH({"T","An"},'[4]CDR Project Planner'!$C17))))),'[4]CDR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4" t="str">
        <f>IF(SUMPRODUCT(--(NOT(ISERR(SEARCH({"T","An"},'[4]CDR Project Planner'!$C18))))),'[4]CDR Project Planner'!B18,"")</f>
        <v/>
      </c>
      <c r="C17" s="35" t="str">
        <f>IF(SUMPRODUCT(--(NOT(ISERR(SEARCH({"T","An"},'[4]CDR Project Planner'!$C18))))),'[4]CDR Project Planner'!C18,"")</f>
        <v/>
      </c>
      <c r="D17" s="35" t="str">
        <f>IF(SUMPRODUCT(--(NOT(ISERR(SEARCH({"T","An"},'[4]CDR Project Planner'!$C18))))),'[4]CDR Project Planner'!D18,"")</f>
        <v/>
      </c>
      <c r="E17" s="35" t="str">
        <f>IF(SUMPRODUCT(--(NOT(ISERR(SEARCH({"T","An"},'[4]CDR Project Planner'!$C18))))),'[4]CDR Project Planner'!E18,"")</f>
        <v/>
      </c>
      <c r="F17" s="35" t="str">
        <f>IF(SUMPRODUCT(--(NOT(ISERR(SEARCH({"T","An"},'[4]CDR Project Planner'!$C18))))),'[4]CDR Project Planner'!F18,"")</f>
        <v/>
      </c>
      <c r="G17" s="35" t="str">
        <f>IF(SUMPRODUCT(--(NOT(ISERR(SEARCH({"T","An"},'[4]CDR Project Planner'!$C18))))),'[4]CDR Project Planner'!G18,"")</f>
        <v/>
      </c>
      <c r="H17" s="195" t="str">
        <f>IF(SUMPRODUCT(--(NOT(ISERR(SEARCH({"T","An"},'[4]CDR Project Planner'!$C18))))),'[4]CDR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4" t="str">
        <f>IF(SUMPRODUCT(--(NOT(ISERR(SEARCH({"T","An"},'[4]CDR Project Planner'!$C19))))),'[4]CDR Project Planner'!B19,"")</f>
        <v/>
      </c>
      <c r="C18" s="35" t="str">
        <f>IF(SUMPRODUCT(--(NOT(ISERR(SEARCH({"T","An"},'[4]CDR Project Planner'!$C19))))),'[4]CDR Project Planner'!C19,"")</f>
        <v/>
      </c>
      <c r="D18" s="35" t="str">
        <f>IF(SUMPRODUCT(--(NOT(ISERR(SEARCH({"T","An"},'[4]CDR Project Planner'!$C19))))),'[4]CDR Project Planner'!D19,"")</f>
        <v/>
      </c>
      <c r="E18" s="35" t="str">
        <f>IF(SUMPRODUCT(--(NOT(ISERR(SEARCH({"T","An"},'[4]CDR Project Planner'!$C19))))),'[4]CDR Project Planner'!E19,"")</f>
        <v/>
      </c>
      <c r="F18" s="35" t="str">
        <f>IF(SUMPRODUCT(--(NOT(ISERR(SEARCH({"T","An"},'[4]CDR Project Planner'!$C19))))),'[4]CDR Project Planner'!F19,"")</f>
        <v/>
      </c>
      <c r="G18" s="35" t="str">
        <f>IF(SUMPRODUCT(--(NOT(ISERR(SEARCH({"T","An"},'[4]CDR Project Planner'!$C19))))),'[4]CDR Project Planner'!G19,"")</f>
        <v/>
      </c>
      <c r="H18" s="195" t="str">
        <f>IF(SUMPRODUCT(--(NOT(ISERR(SEARCH({"T","An"},'[4]CDR Project Planner'!$C19))))),'[4]CDR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4" t="str">
        <f>IF(SUMPRODUCT(--(NOT(ISERR(SEARCH({"T","An"},'[4]CDR Project Planner'!#REF!))))),'[4]CDR Project Planner'!#REF!,"")</f>
        <v/>
      </c>
      <c r="C19" s="35" t="str">
        <f>IF(SUMPRODUCT(--(NOT(ISERR(SEARCH({"T","An"},'[4]CDR Project Planner'!#REF!))))),'[4]CDR Project Planner'!#REF!,"")</f>
        <v/>
      </c>
      <c r="D19" s="35" t="str">
        <f>IF(SUMPRODUCT(--(NOT(ISERR(SEARCH({"T","An"},'[4]CDR Project Planner'!#REF!))))),'[4]CDR Project Planner'!#REF!,"")</f>
        <v/>
      </c>
      <c r="E19" s="35" t="str">
        <f>IF(SUMPRODUCT(--(NOT(ISERR(SEARCH({"T","An"},'[4]CDR Project Planner'!#REF!))))),'[4]CDR Project Planner'!#REF!,"")</f>
        <v/>
      </c>
      <c r="F19" s="35" t="str">
        <f>IF(SUMPRODUCT(--(NOT(ISERR(SEARCH({"T","An"},'[4]CDR Project Planner'!#REF!))))),'[4]CDR Project Planner'!#REF!,"")</f>
        <v/>
      </c>
      <c r="G19" s="35" t="str">
        <f>IF(SUMPRODUCT(--(NOT(ISERR(SEARCH({"T","An"},'[4]CDR Project Planner'!#REF!))))),'[4]CDR Project Planner'!#REF!,"")</f>
        <v/>
      </c>
      <c r="H19" s="195" t="str">
        <f>IF(SUMPRODUCT(--(NOT(ISERR(SEARCH({"T","An"},'[4]CDR Project Planner'!#REF!))))),'[4]CDR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4" t="str">
        <f>IF(SUMPRODUCT(--(NOT(ISERR(SEARCH({"T","An"},'[4]CDR Project Planner'!#REF!))))),'[4]CDR Project Planner'!#REF!,"")</f>
        <v/>
      </c>
      <c r="C20" s="35" t="str">
        <f>IF(SUMPRODUCT(--(NOT(ISERR(SEARCH({"T","An"},'[4]CDR Project Planner'!#REF!))))),'[4]CDR Project Planner'!#REF!,"")</f>
        <v/>
      </c>
      <c r="D20" s="35" t="str">
        <f>IF(SUMPRODUCT(--(NOT(ISERR(SEARCH({"T","An"},'[4]CDR Project Planner'!#REF!))))),'[4]CDR Project Planner'!#REF!,"")</f>
        <v/>
      </c>
      <c r="E20" s="35" t="str">
        <f>IF(SUMPRODUCT(--(NOT(ISERR(SEARCH({"T","An"},'[4]CDR Project Planner'!#REF!))))),'[4]CDR Project Planner'!#REF!,"")</f>
        <v/>
      </c>
      <c r="F20" s="35" t="str">
        <f>IF(SUMPRODUCT(--(NOT(ISERR(SEARCH({"T","An"},'[4]CDR Project Planner'!#REF!))))),'[4]CDR Project Planner'!#REF!,"")</f>
        <v/>
      </c>
      <c r="G20" s="35" t="str">
        <f>IF(SUMPRODUCT(--(NOT(ISERR(SEARCH({"T","An"},'[4]CDR Project Planner'!#REF!))))),'[4]CDR Project Planner'!#REF!,"")</f>
        <v/>
      </c>
      <c r="H20" s="195" t="str">
        <f>IF(SUMPRODUCT(--(NOT(ISERR(SEARCH({"T","An"},'[4]CDR Project Planner'!#REF!))))),'[4]CDR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4" t="str">
        <f>IF(SUMPRODUCT(--(NOT(ISERR(SEARCH({"T","An"},'[4]CDR Project Planner'!$C21))))),'[4]CDR Project Planner'!B21,"")</f>
        <v/>
      </c>
      <c r="C21" s="35" t="str">
        <f>IF(SUMPRODUCT(--(NOT(ISERR(SEARCH({"T","An"},'[4]CDR Project Planner'!$C21))))),'[4]CDR Project Planner'!C21,"")</f>
        <v/>
      </c>
      <c r="D21" s="35" t="str">
        <f>IF(SUMPRODUCT(--(NOT(ISERR(SEARCH({"T","An"},'[4]CDR Project Planner'!$C21))))),'[4]CDR Project Planner'!D21,"")</f>
        <v/>
      </c>
      <c r="E21" s="35" t="str">
        <f>IF(SUMPRODUCT(--(NOT(ISERR(SEARCH({"T","An"},'[4]CDR Project Planner'!$C21))))),'[4]CDR Project Planner'!E21,"")</f>
        <v/>
      </c>
      <c r="F21" s="35" t="str">
        <f>IF(SUMPRODUCT(--(NOT(ISERR(SEARCH({"T","An"},'[4]CDR Project Planner'!$C21))))),'[4]CDR Project Planner'!F21,"")</f>
        <v/>
      </c>
      <c r="G21" s="35" t="str">
        <f>IF(SUMPRODUCT(--(NOT(ISERR(SEARCH({"T","An"},'[4]CDR Project Planner'!$C21))))),'[4]CDR Project Planner'!G21,"")</f>
        <v/>
      </c>
      <c r="H21" s="195" t="str">
        <f>IF(SUMPRODUCT(--(NOT(ISERR(SEARCH({"T","An"},'[4]CDR Project Planner'!$C21))))),'[4]CDR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4" t="str">
        <f>IF(SUMPRODUCT(--(NOT(ISERR(SEARCH({"T","An"},'[4]CDR Project Planner'!$C22))))),'[4]CDR Project Planner'!B22,"")</f>
        <v/>
      </c>
      <c r="C22" s="35" t="str">
        <f>IF(SUMPRODUCT(--(NOT(ISERR(SEARCH({"T","An"},'[4]CDR Project Planner'!$C22))))),'[4]CDR Project Planner'!C22,"")</f>
        <v/>
      </c>
      <c r="D22" s="35" t="str">
        <f>IF(SUMPRODUCT(--(NOT(ISERR(SEARCH({"T","An"},'[4]CDR Project Planner'!$C22))))),'[4]CDR Project Planner'!D22,"")</f>
        <v/>
      </c>
      <c r="E22" s="35" t="str">
        <f>IF(SUMPRODUCT(--(NOT(ISERR(SEARCH({"T","An"},'[4]CDR Project Planner'!$C22))))),'[4]CDR Project Planner'!E22,"")</f>
        <v/>
      </c>
      <c r="F22" s="35" t="str">
        <f>IF(SUMPRODUCT(--(NOT(ISERR(SEARCH({"T","An"},'[4]CDR Project Planner'!$C22))))),'[4]CDR Project Planner'!F22,"")</f>
        <v/>
      </c>
      <c r="G22" s="35" t="str">
        <f>IF(SUMPRODUCT(--(NOT(ISERR(SEARCH({"T","An"},'[4]CDR Project Planner'!$C22))))),'[4]CDR Project Planner'!G22,"")</f>
        <v/>
      </c>
      <c r="H22" s="195" t="str">
        <f>IF(SUMPRODUCT(--(NOT(ISERR(SEARCH({"T","An"},'[4]CDR Project Planner'!$C22))))),'[4]CDR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4" t="str">
        <f>IF(SUMPRODUCT(--(NOT(ISERR(SEARCH({"T","An"},'[4]CDR Project Planner'!$C23))))),'[4]CDR Project Planner'!B23,"")</f>
        <v/>
      </c>
      <c r="C23" s="35" t="str">
        <f>IF(SUMPRODUCT(--(NOT(ISERR(SEARCH({"T","An"},'[4]CDR Project Planner'!$C23))))),'[4]CDR Project Planner'!C23,"")</f>
        <v/>
      </c>
      <c r="D23" s="35" t="str">
        <f>IF(SUMPRODUCT(--(NOT(ISERR(SEARCH({"T","An"},'[4]CDR Project Planner'!$C23))))),'[4]CDR Project Planner'!D23,"")</f>
        <v/>
      </c>
      <c r="E23" s="35" t="str">
        <f>IF(SUMPRODUCT(--(NOT(ISERR(SEARCH({"T","An"},'[4]CDR Project Planner'!$C23))))),'[4]CDR Project Planner'!E23,"")</f>
        <v/>
      </c>
      <c r="F23" s="35" t="str">
        <f>IF(SUMPRODUCT(--(NOT(ISERR(SEARCH({"T","An"},'[4]CDR Project Planner'!$C23))))),'[4]CDR Project Planner'!F23,"")</f>
        <v/>
      </c>
      <c r="G23" s="35" t="str">
        <f>IF(SUMPRODUCT(--(NOT(ISERR(SEARCH({"T","An"},'[4]CDR Project Planner'!$C23))))),'[4]CDR Project Planner'!G23,"")</f>
        <v/>
      </c>
      <c r="H23" s="195" t="str">
        <f>IF(SUMPRODUCT(--(NOT(ISERR(SEARCH({"T","An"},'[4]CDR Project Planner'!$C23))))),'[4]CDR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4" t="str">
        <f>IF(SUMPRODUCT(--(NOT(ISERR(SEARCH({"T","An"},'[4]CDR Project Planner'!$C24))))),'[4]CDR Project Planner'!B24,"")</f>
        <v/>
      </c>
      <c r="C24" s="35" t="str">
        <f>IF(SUMPRODUCT(--(NOT(ISERR(SEARCH({"T","An"},'[4]CDR Project Planner'!$C24))))),'[4]CDR Project Planner'!C24,"")</f>
        <v/>
      </c>
      <c r="D24" s="35" t="str">
        <f>IF(SUMPRODUCT(--(NOT(ISERR(SEARCH({"T","An"},'[4]CDR Project Planner'!$C24))))),'[4]CDR Project Planner'!D24,"")</f>
        <v/>
      </c>
      <c r="E24" s="35" t="str">
        <f>IF(SUMPRODUCT(--(NOT(ISERR(SEARCH({"T","An"},'[4]CDR Project Planner'!$C24))))),'[4]CDR Project Planner'!E24,"")</f>
        <v/>
      </c>
      <c r="F24" s="35" t="str">
        <f>IF(SUMPRODUCT(--(NOT(ISERR(SEARCH({"T","An"},'[4]CDR Project Planner'!$C24))))),'[4]CDR Project Planner'!F24,"")</f>
        <v/>
      </c>
      <c r="G24" s="35" t="str">
        <f>IF(SUMPRODUCT(--(NOT(ISERR(SEARCH({"T","An"},'[4]CDR Project Planner'!$C24))))),'[4]CDR Project Planner'!G24,"")</f>
        <v/>
      </c>
      <c r="H24" s="195" t="str">
        <f>IF(SUMPRODUCT(--(NOT(ISERR(SEARCH({"T","An"},'[4]CDR Project Planner'!$C24))))),'[4]CDR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4" t="str">
        <f>IF(SUMPRODUCT(--(NOT(ISERR(SEARCH({"T","An"},'[4]CDR Project Planner'!#REF!))))),'[4]CDR Project Planner'!#REF!,"")</f>
        <v/>
      </c>
      <c r="C25" s="35" t="str">
        <f>IF(SUMPRODUCT(--(NOT(ISERR(SEARCH({"T","An"},'[4]CDR Project Planner'!#REF!))))),'[4]CDR Project Planner'!#REF!,"")</f>
        <v/>
      </c>
      <c r="D25" s="35" t="str">
        <f>IF(SUMPRODUCT(--(NOT(ISERR(SEARCH({"T","An"},'[4]CDR Project Planner'!#REF!))))),'[4]CDR Project Planner'!#REF!,"")</f>
        <v/>
      </c>
      <c r="E25" s="35" t="str">
        <f>IF(SUMPRODUCT(--(NOT(ISERR(SEARCH({"T","An"},'[4]CDR Project Planner'!#REF!))))),'[4]CDR Project Planner'!#REF!,"")</f>
        <v/>
      </c>
      <c r="F25" s="35" t="str">
        <f>IF(SUMPRODUCT(--(NOT(ISERR(SEARCH({"T","An"},'[4]CDR Project Planner'!#REF!))))),'[4]CDR Project Planner'!#REF!,"")</f>
        <v/>
      </c>
      <c r="G25" s="35" t="str">
        <f>IF(SUMPRODUCT(--(NOT(ISERR(SEARCH({"T","An"},'[4]CDR Project Planner'!#REF!))))),'[4]CDR Project Planner'!#REF!,"")</f>
        <v/>
      </c>
      <c r="H25" s="195" t="str">
        <f>IF(SUMPRODUCT(--(NOT(ISERR(SEARCH({"T","An"},'[4]CDR Project Planner'!#REF!))))),'[4]CDR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outlineLevel="1" x14ac:dyDescent="0.3">
      <c r="A26" s="1"/>
      <c r="B26" s="34" t="str">
        <f>IF(SUMPRODUCT(--(NOT(ISERR(SEARCH({"T","An"},'[4]CDR Project Planner'!$C28))))),'[4]CDR Project Planner'!B28,"")</f>
        <v/>
      </c>
      <c r="C26" s="35" t="str">
        <f>IF(SUMPRODUCT(--(NOT(ISERR(SEARCH({"T","An"},'[4]CDR Project Planner'!$C28))))),'[4]CDR Project Planner'!C28,"")</f>
        <v/>
      </c>
      <c r="D26" s="35" t="str">
        <f>IF(SUMPRODUCT(--(NOT(ISERR(SEARCH({"T","An"},'[4]CDR Project Planner'!$C28))))),'[4]CDR Project Planner'!D28,"")</f>
        <v/>
      </c>
      <c r="E26" s="35" t="str">
        <f>IF(SUMPRODUCT(--(NOT(ISERR(SEARCH({"T","An"},'[4]CDR Project Planner'!$C28))))),'[4]CDR Project Planner'!E28,"")</f>
        <v/>
      </c>
      <c r="F26" s="35" t="str">
        <f>IF(SUMPRODUCT(--(NOT(ISERR(SEARCH({"T","An"},'[4]CDR Project Planner'!$C28))))),'[4]CDR Project Planner'!F28,"")</f>
        <v/>
      </c>
      <c r="G26" s="35" t="str">
        <f>IF(SUMPRODUCT(--(NOT(ISERR(SEARCH({"T","An"},'[4]CDR Project Planner'!$C28))))),'[4]CDR Project Planner'!G28,"")</f>
        <v/>
      </c>
      <c r="H26" s="195" t="str">
        <f>IF(SUMPRODUCT(--(NOT(ISERR(SEARCH({"T","An"},'[4]CDR Project Planner'!$C28))))),'[4]CDR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x14ac:dyDescent="0.3">
      <c r="A27" s="1"/>
      <c r="B27" s="34" t="str">
        <f>IF(SUMPRODUCT(--(NOT(ISERR(SEARCH({"T","An"},'[4]CDR Project Planner'!$C29))))),'[4]CDR Project Planner'!B29,"")</f>
        <v/>
      </c>
      <c r="C27" s="35" t="str">
        <f>IF(SUMPRODUCT(--(NOT(ISERR(SEARCH({"T","An"},'[4]CDR Project Planner'!$C29))))),'[4]CDR Project Planner'!C29,"")</f>
        <v/>
      </c>
      <c r="D27" s="35" t="str">
        <f>IF(SUMPRODUCT(--(NOT(ISERR(SEARCH({"T","An"},'[4]CDR Project Planner'!$C29))))),'[4]CDR Project Planner'!D29,"")</f>
        <v/>
      </c>
      <c r="E27" s="35" t="str">
        <f>IF(SUMPRODUCT(--(NOT(ISERR(SEARCH({"T","An"},'[4]CDR Project Planner'!$C29))))),'[4]CDR Project Planner'!E29,"")</f>
        <v/>
      </c>
      <c r="F27" s="35" t="str">
        <f>IF(SUMPRODUCT(--(NOT(ISERR(SEARCH({"T","An"},'[4]CDR Project Planner'!$C29))))),'[4]CDR Project Planner'!F29,"")</f>
        <v/>
      </c>
      <c r="G27" s="35" t="str">
        <f>IF(SUMPRODUCT(--(NOT(ISERR(SEARCH({"T","An"},'[4]CDR Project Planner'!$C29))))),'[4]CDR Project Planner'!G29,"")</f>
        <v/>
      </c>
      <c r="H27" s="195" t="str">
        <f>IF(SUMPRODUCT(--(NOT(ISERR(SEARCH({"T","An"},'[4]CDR Project Planner'!$C29))))),'[4]CDR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4" t="str">
        <f>IF(SUMPRODUCT(--(NOT(ISERR(SEARCH({"T","An"},'[4]CDR Project Planner'!#REF!))))),'[4]CDR Project Planner'!#REF!,"")</f>
        <v/>
      </c>
      <c r="C28" s="35" t="str">
        <f>IF(SUMPRODUCT(--(NOT(ISERR(SEARCH({"T","An"},'[4]CDR Project Planner'!#REF!))))),'[4]CDR Project Planner'!#REF!,"")</f>
        <v/>
      </c>
      <c r="D28" s="35" t="str">
        <f>IF(SUMPRODUCT(--(NOT(ISERR(SEARCH({"T","An"},'[4]CDR Project Planner'!#REF!))))),'[4]CDR Project Planner'!#REF!,"")</f>
        <v/>
      </c>
      <c r="E28" s="35" t="str">
        <f>IF(SUMPRODUCT(--(NOT(ISERR(SEARCH({"T","An"},'[4]CDR Project Planner'!#REF!))))),'[4]CDR Project Planner'!#REF!,"")</f>
        <v/>
      </c>
      <c r="F28" s="35" t="str">
        <f>IF(SUMPRODUCT(--(NOT(ISERR(SEARCH({"T","An"},'[4]CDR Project Planner'!#REF!))))),'[4]CDR Project Planner'!#REF!,"")</f>
        <v/>
      </c>
      <c r="G28" s="35" t="str">
        <f>IF(SUMPRODUCT(--(NOT(ISERR(SEARCH({"T","An"},'[4]CDR Project Planner'!#REF!))))),'[4]CDR Project Planner'!#REF!,"")</f>
        <v/>
      </c>
      <c r="H28" s="195" t="str">
        <f>IF(SUMPRODUCT(--(NOT(ISERR(SEARCH({"T","An"},'[4]CDR Project Planner'!#REF!))))),'[4]CDR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34" t="str">
        <f>IF(SUMPRODUCT(--(NOT(ISERR(SEARCH({"T","An"},'[4]CDR Project Planner'!$C30))))),'[4]CDR Project Planner'!B30,"")</f>
        <v/>
      </c>
      <c r="C29" s="35" t="str">
        <f>IF(SUMPRODUCT(--(NOT(ISERR(SEARCH({"T","An"},'[4]CDR Project Planner'!$C30))))),'[4]CDR Project Planner'!C30,"")</f>
        <v/>
      </c>
      <c r="D29" s="35" t="str">
        <f>IF(SUMPRODUCT(--(NOT(ISERR(SEARCH({"T","An"},'[4]CDR Project Planner'!$C30))))),'[4]CDR Project Planner'!D30,"")</f>
        <v/>
      </c>
      <c r="E29" s="35" t="str">
        <f>IF(SUMPRODUCT(--(NOT(ISERR(SEARCH({"T","An"},'[4]CDR Project Planner'!$C30))))),'[4]CDR Project Planner'!E30,"")</f>
        <v/>
      </c>
      <c r="F29" s="35" t="str">
        <f>IF(SUMPRODUCT(--(NOT(ISERR(SEARCH({"T","An"},'[4]CDR Project Planner'!$C30))))),'[4]CDR Project Planner'!F30,"")</f>
        <v/>
      </c>
      <c r="G29" s="35" t="str">
        <f>IF(SUMPRODUCT(--(NOT(ISERR(SEARCH({"T","An"},'[4]CDR Project Planner'!$C30))))),'[4]CDR Project Planner'!G30,"")</f>
        <v/>
      </c>
      <c r="H29" s="195" t="str">
        <f>IF(SUMPRODUCT(--(NOT(ISERR(SEARCH({"T","An"},'[4]CDR Project Planner'!$C30))))),'[4]CDR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41" t="str">
        <f>IF(SUMPRODUCT(--(NOT(ISERR(SEARCH({"T","An"},'[4]CDR Project Planner'!$C35))))),'[4]CDR Project Planner'!B35,"")</f>
        <v>Project Management</v>
      </c>
      <c r="C30" s="35" t="str">
        <f>IF(SUMPRODUCT(--(NOT(ISERR(SEARCH({"T","An"},'[4]CDR Project Planner'!$C35))))),'[4]CDR Project Planner'!C35,"")</f>
        <v>An &amp; T &amp; ?</v>
      </c>
      <c r="D30" s="35"/>
      <c r="E30" s="35"/>
      <c r="F30" s="35"/>
      <c r="G30" s="35"/>
      <c r="H30" s="40">
        <f>IF(SUMPRODUCT(--(NOT(ISERR(SEARCH({"T","An"},'[4]CDR Project Planner'!$C35))))),'[4]CDR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42" t="str">
        <f>IF(SUMPRODUCT(--(NOT(ISERR(SEARCH({"T","An"},'[4]CDR Project Planner'!$C36))))),'[4]CDR Project Planner'!B36,"")</f>
        <v>Complete CDR Plan</v>
      </c>
      <c r="C31" s="35" t="str">
        <f>IF(SUMPRODUCT(--(NOT(ISERR(SEARCH({"T","An"},'[4]CDR Project Planner'!$C36))))),'[4]CDR Project Planner'!C36,"")</f>
        <v>An</v>
      </c>
      <c r="D31" s="35">
        <f>IF(SUMPRODUCT(--(NOT(ISERR(SEARCH({"T","An"},'[4]CDR Project Planner'!$C36))))),'[4]CDR Project Planner'!D36,"")</f>
        <v>23</v>
      </c>
      <c r="E31" s="35">
        <f>IF(SUMPRODUCT(--(NOT(ISERR(SEARCH({"T","An"},'[4]CDR Project Planner'!$C36))))),'[4]CDR Project Planner'!E36,"")</f>
        <v>7</v>
      </c>
      <c r="F31" s="35">
        <f>IF(SUMPRODUCT(--(NOT(ISERR(SEARCH({"T","An"},'[4]CDR Project Planner'!$C36))))),'[4]CDR Project Planner'!F36,"")</f>
        <v>23</v>
      </c>
      <c r="G31" s="35">
        <f>IF(SUMPRODUCT(--(NOT(ISERR(SEARCH({"T","An"},'[4]CDR Project Planner'!$C36))))),'[4]CDR Project Planner'!G36,"")</f>
        <v>0</v>
      </c>
      <c r="H31" s="40">
        <f>IF(SUMPRODUCT(--(NOT(ISERR(SEARCH({"T","An"},'[4]CDR Project Planner'!$C36))))),'[4]CDR Project Planner'!H36,"")</f>
        <v>0.5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4" t="str">
        <f>IF(SUMPRODUCT(--(NOT(ISERR(SEARCH({"T","An"},'[4]CDR Project Planner'!$C37))))),'[4]CDR Project Planner'!B37,"")</f>
        <v/>
      </c>
      <c r="C32" s="35" t="str">
        <f>IF(SUMPRODUCT(--(NOT(ISERR(SEARCH({"T","An"},'[4]CDR Project Planner'!$C37))))),'[4]CDR Project Planner'!C37,"")</f>
        <v/>
      </c>
      <c r="D32" s="35" t="str">
        <f>IF(SUMPRODUCT(--(NOT(ISERR(SEARCH({"T","An"},'[4]CDR Project Planner'!$C37))))),'[4]CDR Project Planner'!D37,"")</f>
        <v/>
      </c>
      <c r="E32" s="35" t="str">
        <f>IF(SUMPRODUCT(--(NOT(ISERR(SEARCH({"T","An"},'[4]CDR Project Planner'!$C37))))),'[4]CDR Project Planner'!E37,"")</f>
        <v/>
      </c>
      <c r="F32" s="35" t="str">
        <f>IF(SUMPRODUCT(--(NOT(ISERR(SEARCH({"T","An"},'[4]CDR Project Planner'!$C37))))),'[4]CDR Project Planner'!F37,"")</f>
        <v/>
      </c>
      <c r="G32" s="35" t="str">
        <f>IF(SUMPRODUCT(--(NOT(ISERR(SEARCH({"T","An"},'[4]CDR Project Planner'!$C37))))),'[4]CDR Project Planner'!G37,"")</f>
        <v/>
      </c>
      <c r="H32" s="40" t="str">
        <f>IF(SUMPRODUCT(--(NOT(ISERR(SEARCH({"T","An"},'[4]CDR Project Planner'!$C37))))),'[4]CDR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4" t="str">
        <f>IF(SUMPRODUCT(--(NOT(ISERR(SEARCH({"T","An"},'[4]CDR Project Planner'!$C38))))),'[4]CDR Project Planner'!B38,"")</f>
        <v/>
      </c>
      <c r="C33" s="35" t="str">
        <f>IF(SUMPRODUCT(--(NOT(ISERR(SEARCH({"T","An"},'[4]CDR Project Planner'!$C38))))),'[4]CDR Project Planner'!C38,"")</f>
        <v/>
      </c>
      <c r="D33" s="35" t="str">
        <f>IF(SUMPRODUCT(--(NOT(ISERR(SEARCH({"T","An"},'[4]CDR Project Planner'!$C38))))),'[4]CDR Project Planner'!D38,"")</f>
        <v/>
      </c>
      <c r="E33" s="35" t="str">
        <f>IF(SUMPRODUCT(--(NOT(ISERR(SEARCH({"T","An"},'[4]CDR Project Planner'!$C38))))),'[4]CDR Project Planner'!E38,"")</f>
        <v/>
      </c>
      <c r="F33" s="35" t="str">
        <f>IF(SUMPRODUCT(--(NOT(ISERR(SEARCH({"T","An"},'[4]CDR Project Planner'!$C38))))),'[4]CDR Project Planner'!F38,"")</f>
        <v/>
      </c>
      <c r="G33" s="35" t="str">
        <f>IF(SUMPRODUCT(--(NOT(ISERR(SEARCH({"T","An"},'[4]CDR Project Planner'!$C38))))),'[4]CDR Project Planner'!G38,"")</f>
        <v/>
      </c>
      <c r="H33" s="40" t="str">
        <f>IF(SUMPRODUCT(--(NOT(ISERR(SEARCH({"T","An"},'[4]CDR Project Planner'!$C38))))),'[4]CDR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42" t="str">
        <f>IF(SUMPRODUCT(--(NOT(ISERR(SEARCH({"T","An"},'[4]CDR Project Planner'!$C39))))),'[4]CDR Project Planner'!B39,"")</f>
        <v>Develop Tech Memo - Rover</v>
      </c>
      <c r="C34" s="35" t="str">
        <f>IF(SUMPRODUCT(--(NOT(ISERR(SEARCH({"T","An"},'[4]CDR Project Planner'!$C39))))),'[4]CDR Project Planner'!C39,"")</f>
        <v>An</v>
      </c>
      <c r="D34" s="35">
        <f>IF(SUMPRODUCT(--(NOT(ISERR(SEARCH({"T","An"},'[4]CDR Project Planner'!$C39))))),'[4]CDR Project Planner'!D39,"")</f>
        <v>41</v>
      </c>
      <c r="E34" s="35">
        <f>IF(SUMPRODUCT(--(NOT(ISERR(SEARCH({"T","An"},'[4]CDR Project Planner'!$C39))))),'[4]CDR Project Planner'!E39,"")</f>
        <v>6</v>
      </c>
      <c r="F34" s="35">
        <f>IF(SUMPRODUCT(--(NOT(ISERR(SEARCH({"T","An"},'[4]CDR Project Planner'!$C39))))),'[4]CDR Project Planner'!F39,"")</f>
        <v>0</v>
      </c>
      <c r="G34" s="35">
        <f>IF(SUMPRODUCT(--(NOT(ISERR(SEARCH({"T","An"},'[4]CDR Project Planner'!$C39))))),'[4]CDR Project Planner'!G39,"")</f>
        <v>0</v>
      </c>
      <c r="H34" s="40">
        <f>IF(SUMPRODUCT(--(NOT(ISERR(SEARCH({"T","An"},'[4]CDR Project Planner'!$C39))))),'[4]CDR Project Planner'!H39,"")</f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2" t="str">
        <f>IF(SUMPRODUCT(--(NOT(ISERR(SEARCH({"T","An"},'[4]CDR Project Planner'!$C40))))),'[4]CDR Project Planner'!B40,"")</f>
        <v>CDR PowerPoint</v>
      </c>
      <c r="C35" s="35" t="str">
        <f>IF(SUMPRODUCT(--(NOT(ISERR(SEARCH({"T","An"},'[4]CDR Project Planner'!$C40))))),'[4]CDR Project Planner'!C40,"")</f>
        <v>T</v>
      </c>
      <c r="D35" s="35">
        <f>IF(SUMPRODUCT(--(NOT(ISERR(SEARCH({"T","An"},'[4]CDR Project Planner'!$C40))))),'[4]CDR Project Planner'!D40,"")</f>
        <v>45</v>
      </c>
      <c r="E35" s="35">
        <f>IF(SUMPRODUCT(--(NOT(ISERR(SEARCH({"T","An"},'[4]CDR Project Planner'!$C40))))),'[4]CDR Project Planner'!E40,"")</f>
        <v>10</v>
      </c>
      <c r="F35" s="35">
        <f>IF(SUMPRODUCT(--(NOT(ISERR(SEARCH({"T","An"},'[4]CDR Project Planner'!$C40))))),'[4]CDR Project Planner'!F40,"")</f>
        <v>0</v>
      </c>
      <c r="G35" s="35">
        <f>IF(SUMPRODUCT(--(NOT(ISERR(SEARCH({"T","An"},'[4]CDR Project Planner'!$C40))))),'[4]CDR Project Planner'!G40,"")</f>
        <v>0</v>
      </c>
      <c r="H35" s="40">
        <f>IF(SUMPRODUCT(--(NOT(ISERR(SEARCH({"T","An"},'[4]CDR Project Planner'!$C40))))),'[4]CDR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8" t="str">
        <f>IF(SUMPRODUCT(--(NOT(ISERR(SEARCH({"T","An"},'[4]CDR Project Planner'!$C41))))),'[4]CDR Project Planner'!B41,"")</f>
        <v>CDR</v>
      </c>
      <c r="C36" s="39" t="str">
        <f>IF(SUMPRODUCT(--(NOT(ISERR(SEARCH({"T","An"},'[4]CDR Project Planner'!$C41))))),'[4]CDR Project Planner'!C41,"")</f>
        <v>T</v>
      </c>
      <c r="D36" s="39">
        <f>IF(SUMPRODUCT(--(NOT(ISERR(SEARCH({"T","An"},'[4]CDR Project Planner'!$C41))))),'[4]CDR Project Planner'!D41,"")</f>
        <v>55</v>
      </c>
      <c r="E36" s="39">
        <f>IF(SUMPRODUCT(--(NOT(ISERR(SEARCH({"T","An"},'[4]CDR Project Planner'!$C41))))),'[4]CDR Project Planner'!E41,"")</f>
        <v>1</v>
      </c>
      <c r="F36" s="39">
        <f>IF(SUMPRODUCT(--(NOT(ISERR(SEARCH({"T","An"},'[4]CDR Project Planner'!$C41))))),'[4]CDR Project Planner'!F41,"")</f>
        <v>55</v>
      </c>
      <c r="G36" s="39">
        <f>IF(SUMPRODUCT(--(NOT(ISERR(SEARCH({"T","An"},'[4]CDR Project Planner'!$C41))))),'[4]CDR Project Planner'!G41,"")</f>
        <v>1</v>
      </c>
      <c r="H36" s="40">
        <f>IF(SUMPRODUCT(--(NOT(ISERR(SEARCH({"T","An"},'[4]CDR Project Planner'!$C41))))),'[4]CDR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41" t="str">
        <f>IF(SUMPRODUCT(--(NOT(ISERR(SEARCH({"T","An"},'[4]CDR Project Planner'!$C42))))),'[4]CDR Project Planner'!B42,"")</f>
        <v>After We Finish</v>
      </c>
      <c r="C37" s="35" t="str">
        <f>IF(SUMPRODUCT(--(NOT(ISERR(SEARCH({"T","An"},'[4]CDR Project Planner'!$C42))))),'[4]CDR Project Planner'!C42,"")</f>
        <v>C &amp; An</v>
      </c>
      <c r="D37" s="35"/>
      <c r="E37" s="35"/>
      <c r="F37" s="35"/>
      <c r="G37" s="35"/>
      <c r="H37" s="40">
        <f>IF(SUMPRODUCT(--(NOT(ISERR(SEARCH({"T","An"},'[4]CDR Project Planner'!$C42))))),'[4]CDR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42" t="str">
        <f>IF(SUMPRODUCT(--(NOT(ISERR(SEARCH({"T","An"},'[4]CDR Project Planner'!$C43))))),'[4]CDR Project Planner'!B43,"")</f>
        <v>Create sound board*</v>
      </c>
      <c r="C38" s="35" t="str">
        <f>IF(SUMPRODUCT(--(NOT(ISERR(SEARCH({"T","An"},'[4]CDR Project Planner'!$C43))))),'[4]CDR Project Planner'!C43,"")</f>
        <v>C &amp; An</v>
      </c>
      <c r="D38" s="35" t="str">
        <f>IF(SUMPRODUCT(--(NOT(ISERR(SEARCH({"T","An"},'[4]CDR Project Planner'!$C43))))),'[4]CDR Project Planner'!D43,"")</f>
        <v>TBA</v>
      </c>
      <c r="E38" s="35" t="str">
        <f>IF(SUMPRODUCT(--(NOT(ISERR(SEARCH({"T","An"},'[4]CDR Project Planner'!$C43))))),'[4]CDR Project Planner'!E43,"")</f>
        <v>TBA</v>
      </c>
      <c r="F38" s="35">
        <f>IF(SUMPRODUCT(--(NOT(ISERR(SEARCH({"T","An"},'[4]CDR Project Planner'!$C43))))),'[4]CDR Project Planner'!F43,"")</f>
        <v>0</v>
      </c>
      <c r="G38" s="35">
        <f>IF(SUMPRODUCT(--(NOT(ISERR(SEARCH({"T","An"},'[4]CDR Project Planner'!$C43))))),'[4]CDR Project Planner'!G43,"")</f>
        <v>0</v>
      </c>
      <c r="H38" s="40">
        <f>IF(SUMPRODUCT(--(NOT(ISERR(SEARCH({"T","An"},'[4]CDR Project Planner'!$C43))))),'[4]CDR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42" t="str">
        <f>IF(SUMPRODUCT(--(NOT(ISERR(SEARCH({"T","An"},'[4]CDR Project Planner'!$C44))))),'[4]CDR Project Planner'!B44,"")</f>
        <v>Implement Wireless Speaker</v>
      </c>
      <c r="C39" s="35" t="str">
        <f>IF(SUMPRODUCT(--(NOT(ISERR(SEARCH({"T","An"},'[4]CDR Project Planner'!$C44))))),'[4]CDR Project Planner'!C44,"")</f>
        <v>An</v>
      </c>
      <c r="D39" s="35" t="str">
        <f>IF(SUMPRODUCT(--(NOT(ISERR(SEARCH({"T","An"},'[4]CDR Project Planner'!$C44))))),'[4]CDR Project Planner'!D44,"")</f>
        <v>TBA</v>
      </c>
      <c r="E39" s="35" t="str">
        <f>IF(SUMPRODUCT(--(NOT(ISERR(SEARCH({"T","An"},'[4]CDR Project Planner'!$C44))))),'[4]CDR Project Planner'!E44,"")</f>
        <v>TBA</v>
      </c>
      <c r="F39" s="35">
        <f>IF(SUMPRODUCT(--(NOT(ISERR(SEARCH({"T","An"},'[4]CDR Project Planner'!$C44))))),'[4]CDR Project Planner'!F44,"")</f>
        <v>0</v>
      </c>
      <c r="G39" s="35">
        <f>IF(SUMPRODUCT(--(NOT(ISERR(SEARCH({"T","An"},'[4]CDR Project Planner'!$C44))))),'[4]CDR Project Planner'!G44,"")</f>
        <v>0</v>
      </c>
      <c r="H39" s="40">
        <f>IF(SUMPRODUCT(--(NOT(ISERR(SEARCH({"T","An"},'[4]CDR Project Planner'!$C44))))),'[4]CDR Project Planner'!H44,"")</f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4" t="str">
        <f>IF(SUMPRODUCT(--(NOT(ISERR(SEARCH({"T","An"},'[4]CDR Project Planner'!$C45))))),'[4]CDR Project Planner'!B45,"")</f>
        <v/>
      </c>
      <c r="C40" s="35" t="str">
        <f>IF(SUMPRODUCT(--(NOT(ISERR(SEARCH({"T","An"},'[4]CDR Project Planner'!$C45))))),'[4]CDR Project Planner'!C45,"")</f>
        <v/>
      </c>
      <c r="D40" s="35" t="str">
        <f>IF(SUMPRODUCT(--(NOT(ISERR(SEARCH({"T","An"},'[4]CDR Project Planner'!$C45))))),'[4]CDR Project Planner'!D45,"")</f>
        <v/>
      </c>
      <c r="E40" s="35" t="str">
        <f>IF(SUMPRODUCT(--(NOT(ISERR(SEARCH({"T","An"},'[4]CDR Project Planner'!$C45))))),'[4]CDR Project Planner'!E45,"")</f>
        <v/>
      </c>
      <c r="F40" s="35" t="str">
        <f>IF(SUMPRODUCT(--(NOT(ISERR(SEARCH({"T","An"},'[4]CDR Project Planner'!$C45))))),'[4]CDR Project Planner'!F45,"")</f>
        <v/>
      </c>
      <c r="G40" s="35" t="str">
        <f>IF(SUMPRODUCT(--(NOT(ISERR(SEARCH({"T","An"},'[4]CDR Project Planner'!$C45))))),'[4]CDR Project Planner'!G45,"")</f>
        <v/>
      </c>
      <c r="H40" s="40" t="str">
        <f>IF(SUMPRODUCT(--(NOT(ISERR(SEARCH({"T","An"},'[4]CDR Project Planner'!$C45))))),'[4]CDR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4" t="str">
        <f>IF(SUMPRODUCT(--(NOT(ISERR(SEARCH({"T","An"},'[4]CDR Project Planner'!$C46))))),'[4]CDR Project Planner'!B46,"")</f>
        <v/>
      </c>
      <c r="C41" s="35" t="str">
        <f>IF(SUMPRODUCT(--(NOT(ISERR(SEARCH({"T","An"},'[4]CDR Project Planner'!$C46))))),'[4]CDR Project Planner'!C46,"")</f>
        <v/>
      </c>
      <c r="D41" s="35" t="str">
        <f>IF(SUMPRODUCT(--(NOT(ISERR(SEARCH({"T","An"},'[4]CDR Project Planner'!$C46))))),'[4]CDR Project Planner'!D46,"")</f>
        <v/>
      </c>
      <c r="E41" s="35" t="str">
        <f>IF(SUMPRODUCT(--(NOT(ISERR(SEARCH({"T","An"},'[4]CDR Project Planner'!$C46))))),'[4]CDR Project Planner'!E46,"")</f>
        <v/>
      </c>
      <c r="F41" s="35" t="str">
        <f>IF(SUMPRODUCT(--(NOT(ISERR(SEARCH({"T","An"},'[4]CDR Project Planner'!$C46))))),'[4]CDR Project Planner'!F46,"")</f>
        <v/>
      </c>
      <c r="G41" s="35" t="str">
        <f>IF(SUMPRODUCT(--(NOT(ISERR(SEARCH({"T","An"},'[4]CDR Project Planner'!$C46))))),'[4]CDR Project Planner'!G46,"")</f>
        <v/>
      </c>
      <c r="H41" s="40" t="str">
        <f>IF(SUMPRODUCT(--(NOT(ISERR(SEARCH({"T","An"},'[4]CDR Project Planner'!$C46))))),'[4]CDR Project Planner'!H46,"")</f>
        <v/>
      </c>
    </row>
    <row r="42" spans="1:68" ht="30" customHeight="1" x14ac:dyDescent="0.3">
      <c r="B42" s="34" t="str">
        <f>IF(SUMPRODUCT(--(NOT(ISERR(SEARCH({"T","An"},'[4]CDR Project Planner'!$C47))))),'[4]CDR Project Planner'!B47,"")</f>
        <v/>
      </c>
      <c r="C42" s="35" t="str">
        <f>IF(SUMPRODUCT(--(NOT(ISERR(SEARCH({"T","An"},'[4]CDR Project Planner'!$C47))))),'[4]CDR Project Planner'!C47,"")</f>
        <v/>
      </c>
      <c r="D42" s="35" t="str">
        <f>IF(SUMPRODUCT(--(NOT(ISERR(SEARCH({"T","An"},'[4]CDR Project Planner'!$C47))))),'[4]CDR Project Planner'!D47,"")</f>
        <v/>
      </c>
      <c r="E42" s="35" t="str">
        <f>IF(SUMPRODUCT(--(NOT(ISERR(SEARCH({"T","An"},'[4]CDR Project Planner'!$C47))))),'[4]CDR Project Planner'!E47,"")</f>
        <v/>
      </c>
      <c r="F42" s="35" t="str">
        <f>IF(SUMPRODUCT(--(NOT(ISERR(SEARCH({"T","An"},'[4]CDR Project Planner'!$C47))))),'[4]CDR Project Planner'!F47,"")</f>
        <v/>
      </c>
      <c r="G42" s="35" t="str">
        <f>IF(SUMPRODUCT(--(NOT(ISERR(SEARCH({"T","An"},'[4]CDR Project Planner'!$C47))))),'[4]CDR Project Planner'!G47,"")</f>
        <v/>
      </c>
      <c r="H42" s="40" t="str">
        <f>IF(SUMPRODUCT(--(NOT(ISERR(SEARCH({"T","An"},'[4]CDR Project Planner'!$C47))))),'[4]CDR Project Planner'!H47,"")</f>
        <v/>
      </c>
    </row>
    <row r="43" spans="1:68" ht="30" customHeight="1" x14ac:dyDescent="0.3">
      <c r="B43" s="34" t="str">
        <f>IF(SUMPRODUCT(--(NOT(ISERR(SEARCH({"T","An"},'[4]CDR Project Planner'!$C48))))),'[4]CDR Project Planner'!B48,"")</f>
        <v/>
      </c>
      <c r="C43" s="35" t="str">
        <f>IF(SUMPRODUCT(--(NOT(ISERR(SEARCH({"T","An"},'[4]CDR Project Planner'!$C48))))),'[4]CDR Project Planner'!C48,"")</f>
        <v/>
      </c>
      <c r="D43" s="35" t="str">
        <f>IF(SUMPRODUCT(--(NOT(ISERR(SEARCH({"T","An"},'[4]CDR Project Planner'!$C48))))),'[4]CDR Project Planner'!D48,"")</f>
        <v/>
      </c>
      <c r="E43" s="35" t="str">
        <f>IF(SUMPRODUCT(--(NOT(ISERR(SEARCH({"T","An"},'[4]CDR Project Planner'!$C48))))),'[4]CDR Project Planner'!E48,"")</f>
        <v/>
      </c>
      <c r="F43" s="35" t="str">
        <f>IF(SUMPRODUCT(--(NOT(ISERR(SEARCH({"T","An"},'[4]CDR Project Planner'!$C48))))),'[4]CDR Project Planner'!F48,"")</f>
        <v/>
      </c>
      <c r="G43" s="35" t="str">
        <f>IF(SUMPRODUCT(--(NOT(ISERR(SEARCH({"T","An"},'[4]CDR Project Planner'!$C48))))),'[4]CDR Project Planner'!G48,"")</f>
        <v/>
      </c>
      <c r="H43" s="40" t="str">
        <f>IF(SUMPRODUCT(--(NOT(ISERR(SEARCH({"T","An"},'[4]CDR Project Planner'!$C48))))),'[4]CDR Project Planner'!H48,"")</f>
        <v/>
      </c>
    </row>
    <row r="44" spans="1:68" s="4" customFormat="1" ht="30" customHeight="1" x14ac:dyDescent="0.3">
      <c r="A44" s="1"/>
      <c r="B44" s="34" t="str">
        <f>IF(SUMPRODUCT(--(NOT(ISERR(SEARCH({"T","An"},'[4]CDR Project Planner'!$C49))))),'[4]CDR Project Planner'!B49,"")</f>
        <v/>
      </c>
      <c r="C44" s="35" t="str">
        <f>IF(SUMPRODUCT(--(NOT(ISERR(SEARCH({"T","An"},'[4]CDR Project Planner'!$C49))))),'[4]CDR Project Planner'!C49,"")</f>
        <v/>
      </c>
      <c r="D44" s="35" t="str">
        <f>IF(SUMPRODUCT(--(NOT(ISERR(SEARCH({"T","An"},'[4]CDR Project Planner'!$C49))))),'[4]CDR Project Planner'!D49,"")</f>
        <v/>
      </c>
      <c r="E44" s="35" t="str">
        <f>IF(SUMPRODUCT(--(NOT(ISERR(SEARCH({"T","An"},'[4]CDR Project Planner'!$C49))))),'[4]CDR Project Planner'!E49,"")</f>
        <v/>
      </c>
      <c r="F44" s="35" t="str">
        <f>IF(SUMPRODUCT(--(NOT(ISERR(SEARCH({"T","An"},'[4]CDR Project Planner'!$C49))))),'[4]CDR Project Planner'!F49,"")</f>
        <v/>
      </c>
      <c r="G44" s="35" t="str">
        <f>IF(SUMPRODUCT(--(NOT(ISERR(SEARCH({"T","An"},'[4]CDR Project Planner'!$C49))))),'[4]CDR Project Planner'!G49,"")</f>
        <v/>
      </c>
      <c r="H44" s="40" t="str">
        <f>IF(SUMPRODUCT(--(NOT(ISERR(SEARCH({"T","An"},'[4]CDR Project Planner'!$C49))))),'[4]CDR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4" t="str">
        <f>IF(SUMPRODUCT(--(NOT(ISERR(SEARCH({"T","An"},'[4]CDR Project Planner'!$C50))))),'[4]CDR Project Planner'!B50,"")</f>
        <v/>
      </c>
      <c r="C45" s="35" t="str">
        <f>IF(SUMPRODUCT(--(NOT(ISERR(SEARCH({"T","An"},'[4]CDR Project Planner'!$C50))))),'[4]CDR Project Planner'!C50,"")</f>
        <v/>
      </c>
      <c r="D45" s="35" t="str">
        <f>IF(SUMPRODUCT(--(NOT(ISERR(SEARCH({"T","An"},'[4]CDR Project Planner'!$C50))))),'[4]CDR Project Planner'!D50,"")</f>
        <v/>
      </c>
      <c r="E45" s="35" t="str">
        <f>IF(SUMPRODUCT(--(NOT(ISERR(SEARCH({"T","An"},'[4]CDR Project Planner'!$C50))))),'[4]CDR Project Planner'!E50,"")</f>
        <v/>
      </c>
      <c r="F45" s="35" t="str">
        <f>IF(SUMPRODUCT(--(NOT(ISERR(SEARCH({"T","An"},'[4]CDR Project Planner'!$C50))))),'[4]CDR Project Planner'!F50,"")</f>
        <v/>
      </c>
      <c r="G45" s="35" t="str">
        <f>IF(SUMPRODUCT(--(NOT(ISERR(SEARCH({"T","An"},'[4]CDR Project Planner'!$C50))))),'[4]CDR Project Planner'!G50,"")</f>
        <v/>
      </c>
      <c r="H45" s="40" t="str">
        <f>IF(SUMPRODUCT(--(NOT(ISERR(SEARCH({"T","An"},'[4]CDR Project Planner'!$C50))))),'[4]CDR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4" t="str">
        <f>IF(SUMPRODUCT(--(NOT(ISERR(SEARCH({"T","An"},'[4]CDR Project Planner'!$C51))))),'[4]CDR Project Planner'!B51,"")</f>
        <v/>
      </c>
      <c r="C46" s="35" t="str">
        <f>IF(SUMPRODUCT(--(NOT(ISERR(SEARCH({"T","An"},'[4]CDR Project Planner'!$C51))))),'[4]CDR Project Planner'!C51,"")</f>
        <v/>
      </c>
      <c r="D46" s="35" t="str">
        <f>IF(SUMPRODUCT(--(NOT(ISERR(SEARCH({"T","An"},'[4]CDR Project Planner'!$C51))))),'[4]CDR Project Planner'!D51,"")</f>
        <v/>
      </c>
      <c r="E46" s="35" t="str">
        <f>IF(SUMPRODUCT(--(NOT(ISERR(SEARCH({"T","An"},'[4]CDR Project Planner'!$C51))))),'[4]CDR Project Planner'!E51,"")</f>
        <v/>
      </c>
      <c r="F46" s="35" t="str">
        <f>IF(SUMPRODUCT(--(NOT(ISERR(SEARCH({"T","An"},'[4]CDR Project Planner'!$C51))))),'[4]CDR Project Planner'!F51,"")</f>
        <v/>
      </c>
      <c r="G46" s="35" t="str">
        <f>IF(SUMPRODUCT(--(NOT(ISERR(SEARCH({"T","An"},'[4]CDR Project Planner'!$C51))))),'[4]CDR Project Planner'!G51,"")</f>
        <v/>
      </c>
      <c r="H46" s="40" t="str">
        <f>IF(SUMPRODUCT(--(NOT(ISERR(SEARCH({"T","An"},'[4]CDR Project Planner'!$C51))))),'[4]CDR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4" t="str">
        <f>IF(SUMPRODUCT(--(NOT(ISERR(SEARCH({"T","An"},'[4]CDR Project Planner'!$C52))))),'[4]CDR Project Planner'!B52,"")</f>
        <v/>
      </c>
      <c r="C47" s="35" t="str">
        <f>IF(SUMPRODUCT(--(NOT(ISERR(SEARCH({"T","An"},'[4]CDR Project Planner'!$C52))))),'[4]CDR Project Planner'!C52,"")</f>
        <v/>
      </c>
      <c r="D47" s="35" t="str">
        <f>IF(SUMPRODUCT(--(NOT(ISERR(SEARCH({"T","An"},'[4]CDR Project Planner'!$C52))))),'[4]CDR Project Planner'!D52,"")</f>
        <v/>
      </c>
      <c r="E47" s="35" t="str">
        <f>IF(SUMPRODUCT(--(NOT(ISERR(SEARCH({"T","An"},'[4]CDR Project Planner'!$C52))))),'[4]CDR Project Planner'!E52,"")</f>
        <v/>
      </c>
      <c r="F47" s="35" t="str">
        <f>IF(SUMPRODUCT(--(NOT(ISERR(SEARCH({"T","An"},'[4]CDR Project Planner'!$C52))))),'[4]CDR Project Planner'!F52,"")</f>
        <v/>
      </c>
      <c r="G47" s="35" t="str">
        <f>IF(SUMPRODUCT(--(NOT(ISERR(SEARCH({"T","An"},'[4]CDR Project Planner'!$C52))))),'[4]CDR Project Planner'!G52,"")</f>
        <v/>
      </c>
      <c r="H47" s="40" t="str">
        <f>IF(SUMPRODUCT(--(NOT(ISERR(SEARCH({"T","An"},'[4]CDR Project Planner'!$C52))))),'[4]CDR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4" t="str">
        <f>IF(SUMPRODUCT(--(NOT(ISERR(SEARCH({"T","An"},'[4]CDR Project Planner'!$C53))))),'[4]CDR Project Planner'!B53,"")</f>
        <v/>
      </c>
      <c r="C48" s="35" t="str">
        <f>IF(SUMPRODUCT(--(NOT(ISERR(SEARCH({"T","An"},'[4]CDR Project Planner'!$C53))))),'[4]CDR Project Planner'!C53,"")</f>
        <v/>
      </c>
      <c r="D48" s="35" t="str">
        <f>IF(SUMPRODUCT(--(NOT(ISERR(SEARCH({"T","An"},'[4]CDR Project Planner'!$C53))))),'[4]CDR Project Planner'!D53,"")</f>
        <v/>
      </c>
      <c r="E48" s="35" t="str">
        <f>IF(SUMPRODUCT(--(NOT(ISERR(SEARCH({"T","An"},'[4]CDR Project Planner'!$C53))))),'[4]CDR Project Planner'!E53,"")</f>
        <v/>
      </c>
      <c r="F48" s="35" t="str">
        <f>IF(SUMPRODUCT(--(NOT(ISERR(SEARCH({"T","An"},'[4]CDR Project Planner'!$C53))))),'[4]CDR Project Planner'!F53,"")</f>
        <v/>
      </c>
      <c r="G48" s="35" t="str">
        <f>IF(SUMPRODUCT(--(NOT(ISERR(SEARCH({"T","An"},'[4]CDR Project Planner'!$C53))))),'[4]CDR Project Planner'!G53,"")</f>
        <v/>
      </c>
      <c r="H48" s="40" t="str">
        <f>IF(SUMPRODUCT(--(NOT(ISERR(SEARCH({"T","An"},'[4]CDR Project Planner'!$C53))))),'[4]CDR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4" t="str">
        <f>IF(SUMPRODUCT(--(NOT(ISERR(SEARCH({"T","An"},'[4]CDR Project Planner'!$C54))))),'[4]CDR Project Planner'!B54,"")</f>
        <v/>
      </c>
      <c r="C49" s="35" t="str">
        <f>IF(SUMPRODUCT(--(NOT(ISERR(SEARCH({"T","An"},'[4]CDR Project Planner'!$C54))))),'[4]CDR Project Planner'!C54,"")</f>
        <v/>
      </c>
      <c r="D49" s="35" t="str">
        <f>IF(SUMPRODUCT(--(NOT(ISERR(SEARCH({"T","An"},'[4]CDR Project Planner'!$C54))))),'[4]CDR Project Planner'!D54,"")</f>
        <v/>
      </c>
      <c r="E49" s="35" t="str">
        <f>IF(SUMPRODUCT(--(NOT(ISERR(SEARCH({"T","An"},'[4]CDR Project Planner'!$C54))))),'[4]CDR Project Planner'!E54,"")</f>
        <v/>
      </c>
      <c r="F49" s="35" t="str">
        <f>IF(SUMPRODUCT(--(NOT(ISERR(SEARCH({"T","An"},'[4]CDR Project Planner'!$C54))))),'[4]CDR Project Planner'!F54,"")</f>
        <v/>
      </c>
      <c r="G49" s="35" t="str">
        <f>IF(SUMPRODUCT(--(NOT(ISERR(SEARCH({"T","An"},'[4]CDR Project Planner'!$C54))))),'[4]CDR Project Planner'!G54,"")</f>
        <v/>
      </c>
      <c r="H49" s="40" t="str">
        <f>IF(SUMPRODUCT(--(NOT(ISERR(SEARCH({"T","An"},'[4]CDR Project Planner'!$C54))))),'[4]CDR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6" t="str">
        <f>IF(SUMPRODUCT(--(NOT(ISERR(SEARCH({"T","Ba"},'[4]CDR Project Planner'!$C55))))),'[4]CDR Project Planner'!B55,"")</f>
        <v/>
      </c>
      <c r="C50" s="36" t="str">
        <f>IF(SUMPRODUCT(--(NOT(ISERR(SEARCH({"T","Ba"},'[4]CDR Project Planner'!$C55))))),'[4]CDR Project Planner'!C55,"")</f>
        <v/>
      </c>
      <c r="D50" s="43" t="str">
        <f>IF(SUMPRODUCT(--(NOT(ISERR(SEARCH({"T","Ba"},'[4]CDR Project Planner'!$C55))))),'[4]CDR Project Planner'!D55,"")</f>
        <v/>
      </c>
      <c r="E50" s="43" t="str">
        <f>IF(SUMPRODUCT(--(NOT(ISERR(SEARCH({"T","Ba"},'[4]CDR Project Planner'!$C55))))),'[4]CDR Project Planner'!E55,"")</f>
        <v/>
      </c>
      <c r="F50" s="43" t="str">
        <f>IF(SUMPRODUCT(--(NOT(ISERR(SEARCH({"T","Ba"},'[4]CDR Project Planner'!$C55))))),'[4]CDR Project Planner'!F55,"")</f>
        <v/>
      </c>
      <c r="G50" s="43" t="str">
        <f>IF(SUMPRODUCT(--(NOT(ISERR(SEARCH({"T","Ba"},'[4]CDR Project Planner'!$C55))))),'[4]CDR Project Planner'!G55,"")</f>
        <v/>
      </c>
      <c r="H50" s="43" t="str">
        <f>IF(SUMPRODUCT(--(NOT(ISERR(SEARCH({"T","Ba"},'[4]CDR Project Planner'!$C55))))),'[4]CDR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6" t="str">
        <f>IF(SUMPRODUCT(--(NOT(ISERR(SEARCH({"T","Ba"},'[4]CDR Project Planner'!$C56))))),'[4]CDR Project Planner'!B56,"")</f>
        <v/>
      </c>
      <c r="C51" s="36" t="str">
        <f>IF(SUMPRODUCT(--(NOT(ISERR(SEARCH({"T","Ba"},'[4]CDR Project Planner'!$C56))))),'[4]CDR Project Planner'!C56,"")</f>
        <v/>
      </c>
      <c r="D51" s="43" t="str">
        <f>IF(SUMPRODUCT(--(NOT(ISERR(SEARCH({"T","Ba"},'[4]CDR Project Planner'!$C56))))),'[4]CDR Project Planner'!D56,"")</f>
        <v/>
      </c>
      <c r="E51" s="43" t="str">
        <f>IF(SUMPRODUCT(--(NOT(ISERR(SEARCH({"T","Ba"},'[4]CDR Project Planner'!$C56))))),'[4]CDR Project Planner'!E56,"")</f>
        <v/>
      </c>
      <c r="F51" s="43" t="str">
        <f>IF(SUMPRODUCT(--(NOT(ISERR(SEARCH({"T","Ba"},'[4]CDR Project Planner'!$C56))))),'[4]CDR Project Planner'!F56,"")</f>
        <v/>
      </c>
      <c r="G51" s="43" t="str">
        <f>IF(SUMPRODUCT(--(NOT(ISERR(SEARCH({"T","Ba"},'[4]CDR Project Planner'!$C56))))),'[4]CDR Project Planner'!G56,"")</f>
        <v/>
      </c>
      <c r="H51" s="43" t="str">
        <f>IF(SUMPRODUCT(--(NOT(ISERR(SEARCH({"T","Ba"},'[4]CDR Project Planner'!$C56))))),'[4]CDR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6" t="str">
        <f>IF(SUMPRODUCT(--(NOT(ISERR(SEARCH({"T","Ba"},'[4]CDR Project Planner'!$C57))))),'[4]CDR Project Planner'!B57,"")</f>
        <v/>
      </c>
      <c r="C52" s="36" t="str">
        <f>IF(SUMPRODUCT(--(NOT(ISERR(SEARCH({"T","Ba"},'[4]CDR Project Planner'!$C57))))),'[4]CDR Project Planner'!C57,"")</f>
        <v/>
      </c>
      <c r="D52" s="43" t="str">
        <f>IF(SUMPRODUCT(--(NOT(ISERR(SEARCH({"T","Ba"},'[4]CDR Project Planner'!$C57))))),'[4]CDR Project Planner'!D57,"")</f>
        <v/>
      </c>
      <c r="E52" s="43" t="str">
        <f>IF(SUMPRODUCT(--(NOT(ISERR(SEARCH({"T","Ba"},'[4]CDR Project Planner'!$C57))))),'[4]CDR Project Planner'!E57,"")</f>
        <v/>
      </c>
      <c r="F52" s="43" t="str">
        <f>IF(SUMPRODUCT(--(NOT(ISERR(SEARCH({"T","Ba"},'[4]CDR Project Planner'!$C57))))),'[4]CDR Project Planner'!F57,"")</f>
        <v/>
      </c>
      <c r="G52" s="43" t="str">
        <f>IF(SUMPRODUCT(--(NOT(ISERR(SEARCH({"T","Ba"},'[4]CDR Project Planner'!$C57))))),'[4]CDR Project Planner'!G57,"")</f>
        <v/>
      </c>
      <c r="H52" s="43" t="str">
        <f>IF(SUMPRODUCT(--(NOT(ISERR(SEARCH({"T","Ba"},'[4]CDR Project Planner'!$C57))))),'[4]CDR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H3:H4"/>
    <mergeCell ref="B3:B4"/>
    <mergeCell ref="C3:C4"/>
    <mergeCell ref="D3:D4"/>
    <mergeCell ref="E3:E4"/>
    <mergeCell ref="F3:F4"/>
    <mergeCell ref="G3:G4"/>
    <mergeCell ref="AJ2:AQ2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50" priority="1">
      <formula>PercentComplete</formula>
    </cfRule>
    <cfRule type="expression" dxfId="49" priority="2">
      <formula>PercentCompleteBeyond</formula>
    </cfRule>
    <cfRule type="expression" dxfId="48" priority="3">
      <formula>Actual</formula>
    </cfRule>
    <cfRule type="expression" dxfId="47" priority="4">
      <formula>ActualBeyond</formula>
    </cfRule>
    <cfRule type="expression" dxfId="46" priority="5">
      <formula>Plan</formula>
    </cfRule>
    <cfRule type="expression" dxfId="45" priority="6">
      <formula>I$4=period_selected</formula>
    </cfRule>
    <cfRule type="expression" dxfId="44" priority="7">
      <formula>MOD(COLUMN(),2)</formula>
    </cfRule>
    <cfRule type="expression" dxfId="43" priority="8">
      <formula>MOD(COLUMN(),2)=0</formula>
    </cfRule>
  </conditionalFormatting>
  <conditionalFormatting sqref="I4:BP4">
    <cfRule type="expression" dxfId="42" priority="9">
      <formula>I$4=period_selected</formula>
    </cfRule>
  </conditionalFormatting>
  <conditionalFormatting sqref="I5:BP6 I39:BP39 I27:BP28 I42:BP42 I45:BP45 I48:BP48">
    <cfRule type="expression" dxfId="41" priority="10">
      <formula>PercentComplete</formula>
    </cfRule>
    <cfRule type="expression" dxfId="40" priority="11">
      <formula>PercentCompleteBeyond</formula>
    </cfRule>
    <cfRule type="expression" dxfId="39" priority="12">
      <formula>Actual</formula>
    </cfRule>
    <cfRule type="expression" dxfId="38" priority="13">
      <formula>ActualBeyond</formula>
    </cfRule>
    <cfRule type="expression" dxfId="37" priority="14">
      <formula>Plan</formula>
    </cfRule>
    <cfRule type="expression" dxfId="36" priority="15">
      <formula>I$4=period_selected</formula>
    </cfRule>
    <cfRule type="expression" dxfId="35" priority="16">
      <formula>MOD(COLUMN(),2)</formula>
    </cfRule>
    <cfRule type="expression" dxfId="34" priority="17">
      <formula>MOD(COLUMN(),2)=0</formula>
    </cfRule>
  </conditionalFormatting>
  <conditionalFormatting sqref="I38:BP38 I41:BP41 I44:BP44 I47:BP47">
    <cfRule type="expression" dxfId="33" priority="18">
      <formula>PercentComplete</formula>
    </cfRule>
    <cfRule type="expression" dxfId="32" priority="19">
      <formula>PercentCompleteBeyond</formula>
    </cfRule>
    <cfRule type="expression" dxfId="31" priority="20">
      <formula>Actual</formula>
    </cfRule>
    <cfRule type="expression" dxfId="30" priority="21">
      <formula>ActualBeyond</formula>
    </cfRule>
    <cfRule type="expression" dxfId="29" priority="22">
      <formula>Plan</formula>
    </cfRule>
    <cfRule type="expression" dxfId="28" priority="23">
      <formula>I$4=period_selected</formula>
    </cfRule>
    <cfRule type="expression" dxfId="27" priority="24">
      <formula>MOD(COLUMN(),2)</formula>
    </cfRule>
    <cfRule type="expression" dxfId="26" priority="25">
      <formula>MOD(COLUMN(),2)=0</formula>
    </cfRule>
  </conditionalFormatting>
  <conditionalFormatting sqref="I20:BP20">
    <cfRule type="expression" dxfId="25" priority="26">
      <formula>PercentComplete</formula>
    </cfRule>
    <cfRule type="expression" dxfId="24" priority="27">
      <formula>PercentCompleteBeyond</formula>
    </cfRule>
    <cfRule type="expression" dxfId="23" priority="28">
      <formula>Actual</formula>
    </cfRule>
    <cfRule type="expression" dxfId="22" priority="29">
      <formula>ActualBeyond</formula>
    </cfRule>
    <cfRule type="expression" dxfId="21" priority="30">
      <formula>Plan</formula>
    </cfRule>
    <cfRule type="expression" dxfId="20" priority="31">
      <formula>I$4=period_selected</formula>
    </cfRule>
    <cfRule type="expression" dxfId="19" priority="32">
      <formula>MOD(COLUMN(),2)</formula>
    </cfRule>
    <cfRule type="expression" dxfId="18" priority="33">
      <formula>MOD(COLUMN(),2)=0</formula>
    </cfRule>
  </conditionalFormatting>
  <conditionalFormatting sqref="I16:BP16 I18:BP19">
    <cfRule type="expression" dxfId="17" priority="34">
      <formula>PercentComplete</formula>
    </cfRule>
    <cfRule type="expression" dxfId="16" priority="35">
      <formula>PercentCompleteBeyond</formula>
    </cfRule>
    <cfRule type="expression" dxfId="15" priority="36">
      <formula>Actual</formula>
    </cfRule>
    <cfRule type="expression" dxfId="14" priority="37">
      <formula>ActualBeyond</formula>
    </cfRule>
    <cfRule type="expression" dxfId="13" priority="38">
      <formula>Plan</formula>
    </cfRule>
    <cfRule type="expression" dxfId="12" priority="39">
      <formula>I$4=period_selected</formula>
    </cfRule>
    <cfRule type="expression" dxfId="11" priority="40">
      <formula>MOD(COLUMN(),2)</formula>
    </cfRule>
    <cfRule type="expression" dxfId="10" priority="41">
      <formula>MOD(COLUMN(),2)=0</formula>
    </cfRule>
  </conditionalFormatting>
  <conditionalFormatting sqref="I17:BP17">
    <cfRule type="expression" dxfId="9" priority="42">
      <formula>PercentComplete</formula>
    </cfRule>
    <cfRule type="expression" dxfId="8" priority="43">
      <formula>PercentCompleteBeyond</formula>
    </cfRule>
    <cfRule type="expression" dxfId="7" priority="44">
      <formula>Actual</formula>
    </cfRule>
    <cfRule type="expression" dxfId="6" priority="45">
      <formula>ActualBeyond</formula>
    </cfRule>
    <cfRule type="expression" dxfId="5" priority="46">
      <formula>Plan</formula>
    </cfRule>
    <cfRule type="expression" dxfId="4" priority="47">
      <formula>I$4=period_selected</formula>
    </cfRule>
    <cfRule type="expression" dxfId="3" priority="48">
      <formula>MOD(COLUMN(),2)</formula>
    </cfRule>
    <cfRule type="expression" dxfId="2" priority="49">
      <formula>MOD(COLUMN(),2)=0</formula>
    </cfRule>
  </conditionalFormatting>
  <conditionalFormatting sqref="H53:H56">
    <cfRule type="cellIs" dxfId="1" priority="50" operator="equal">
      <formula>isblank</formula>
    </cfRule>
    <cfRule type="colorScale" priority="51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30:H49 H5:H13">
    <cfRule type="expression" dxfId="0" priority="52">
      <formula>LEN(TRIM(H5))=0</formula>
    </cfRule>
  </conditionalFormatting>
  <conditionalFormatting sqref="H5:H49">
    <cfRule type="colorScale" priority="53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disablePrompts="1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6"/>
  <sheetViews>
    <sheetView topLeftCell="A13" zoomScale="85" zoomScaleNormal="85" workbookViewId="0">
      <selection activeCell="B31" sqref="B31"/>
    </sheetView>
  </sheetViews>
  <sheetFormatPr defaultRowHeight="13.2" x14ac:dyDescent="0.25"/>
  <cols>
    <col min="1" max="1" width="35.6640625" customWidth="1"/>
    <col min="2" max="2" width="18.33203125" customWidth="1"/>
    <col min="3" max="4" width="14.44140625" customWidth="1"/>
    <col min="5" max="1025" width="8.6640625" customWidth="1"/>
  </cols>
  <sheetData>
    <row r="1" spans="1:4" x14ac:dyDescent="0.25">
      <c r="A1" s="54" t="s">
        <v>108</v>
      </c>
      <c r="B1" s="54" t="s">
        <v>109</v>
      </c>
      <c r="C1" s="54" t="s">
        <v>110</v>
      </c>
      <c r="D1" s="54" t="s">
        <v>111</v>
      </c>
    </row>
    <row r="2" spans="1:4" ht="17.399999999999999" x14ac:dyDescent="0.35">
      <c r="A2" s="30" t="s">
        <v>19</v>
      </c>
      <c r="B2" s="55"/>
      <c r="D2" s="56"/>
    </row>
    <row r="3" spans="1:4" ht="15.6" x14ac:dyDescent="0.3">
      <c r="A3" s="52" t="s">
        <v>112</v>
      </c>
      <c r="B3" s="51" t="s">
        <v>113</v>
      </c>
      <c r="D3" s="56">
        <f t="shared" ref="D3:D35" si="0">C3*100</f>
        <v>0</v>
      </c>
    </row>
    <row r="4" spans="1:4" ht="15.6" x14ac:dyDescent="0.3">
      <c r="A4" s="53" t="s">
        <v>71</v>
      </c>
      <c r="B4" s="51" t="s">
        <v>72</v>
      </c>
      <c r="C4">
        <v>2</v>
      </c>
      <c r="D4" s="56">
        <f t="shared" si="0"/>
        <v>200</v>
      </c>
    </row>
    <row r="5" spans="1:4" ht="15.6" x14ac:dyDescent="0.3">
      <c r="A5" s="53" t="s">
        <v>73</v>
      </c>
      <c r="B5" s="51" t="s">
        <v>74</v>
      </c>
      <c r="C5">
        <v>1</v>
      </c>
      <c r="D5" s="56">
        <f t="shared" si="0"/>
        <v>100</v>
      </c>
    </row>
    <row r="6" spans="1:4" ht="15.6" x14ac:dyDescent="0.3">
      <c r="A6" s="53" t="s">
        <v>75</v>
      </c>
      <c r="B6" s="51" t="s">
        <v>72</v>
      </c>
      <c r="C6">
        <v>2</v>
      </c>
      <c r="D6" s="56">
        <f t="shared" si="0"/>
        <v>200</v>
      </c>
    </row>
    <row r="7" spans="1:4" ht="15.6" x14ac:dyDescent="0.3">
      <c r="A7" s="57" t="s">
        <v>114</v>
      </c>
      <c r="B7" s="55" t="s">
        <v>66</v>
      </c>
      <c r="D7" s="56">
        <f t="shared" si="0"/>
        <v>0</v>
      </c>
    </row>
    <row r="8" spans="1:4" ht="15.6" x14ac:dyDescent="0.3">
      <c r="A8" s="58" t="s">
        <v>115</v>
      </c>
      <c r="B8" s="55" t="s">
        <v>66</v>
      </c>
      <c r="C8">
        <v>1</v>
      </c>
      <c r="D8" s="56">
        <f t="shared" si="0"/>
        <v>100</v>
      </c>
    </row>
    <row r="9" spans="1:4" ht="15.6" x14ac:dyDescent="0.3">
      <c r="A9" s="58" t="s">
        <v>116</v>
      </c>
      <c r="B9" s="55" t="s">
        <v>66</v>
      </c>
      <c r="C9">
        <v>2</v>
      </c>
      <c r="D9" s="56">
        <f t="shared" si="0"/>
        <v>200</v>
      </c>
    </row>
    <row r="10" spans="1:4" ht="15.6" x14ac:dyDescent="0.3">
      <c r="A10" s="58" t="s">
        <v>117</v>
      </c>
      <c r="B10" s="55" t="s">
        <v>66</v>
      </c>
      <c r="C10">
        <v>1.5</v>
      </c>
      <c r="D10" s="56">
        <f t="shared" si="0"/>
        <v>150</v>
      </c>
    </row>
    <row r="11" spans="1:4" ht="15.6" x14ac:dyDescent="0.3">
      <c r="A11" s="59" t="s">
        <v>118</v>
      </c>
      <c r="B11" s="55" t="s">
        <v>66</v>
      </c>
      <c r="D11" s="56">
        <f t="shared" si="0"/>
        <v>0</v>
      </c>
    </row>
    <row r="12" spans="1:4" ht="15.6" x14ac:dyDescent="0.3">
      <c r="A12" s="59" t="s">
        <v>119</v>
      </c>
      <c r="B12" s="55" t="s">
        <v>120</v>
      </c>
      <c r="C12">
        <v>4</v>
      </c>
      <c r="D12" s="56">
        <f t="shared" si="0"/>
        <v>400</v>
      </c>
    </row>
    <row r="13" spans="1:4" ht="15.6" x14ac:dyDescent="0.3">
      <c r="A13" s="59" t="s">
        <v>121</v>
      </c>
      <c r="B13" s="55" t="s">
        <v>122</v>
      </c>
      <c r="C13">
        <v>3</v>
      </c>
      <c r="D13" s="56">
        <f t="shared" si="0"/>
        <v>300</v>
      </c>
    </row>
    <row r="14" spans="1:4" ht="17.399999999999999" x14ac:dyDescent="0.35">
      <c r="A14" s="30" t="s">
        <v>26</v>
      </c>
      <c r="B14" s="55"/>
      <c r="D14" s="56">
        <f t="shared" si="0"/>
        <v>0</v>
      </c>
    </row>
    <row r="15" spans="1:4" ht="15.6" x14ac:dyDescent="0.3">
      <c r="A15" s="52" t="s">
        <v>27</v>
      </c>
      <c r="B15" s="60" t="s">
        <v>123</v>
      </c>
      <c r="C15">
        <v>2</v>
      </c>
      <c r="D15" s="56">
        <f t="shared" si="0"/>
        <v>200</v>
      </c>
    </row>
    <row r="16" spans="1:4" ht="15.6" x14ac:dyDescent="0.3">
      <c r="A16" s="52" t="s">
        <v>28</v>
      </c>
      <c r="B16" s="60" t="s">
        <v>123</v>
      </c>
      <c r="C16">
        <v>2</v>
      </c>
      <c r="D16" s="56">
        <f t="shared" si="0"/>
        <v>200</v>
      </c>
    </row>
    <row r="17" spans="1:4" ht="15.6" x14ac:dyDescent="0.3">
      <c r="A17" s="52" t="s">
        <v>29</v>
      </c>
      <c r="B17" s="60" t="s">
        <v>123</v>
      </c>
      <c r="C17">
        <v>1.5</v>
      </c>
      <c r="D17" s="56">
        <f t="shared" si="0"/>
        <v>150</v>
      </c>
    </row>
    <row r="18" spans="1:4" ht="15.6" x14ac:dyDescent="0.3">
      <c r="A18" s="52" t="s">
        <v>24</v>
      </c>
      <c r="B18" s="60" t="s">
        <v>123</v>
      </c>
      <c r="C18">
        <v>2</v>
      </c>
      <c r="D18" s="56">
        <f t="shared" si="0"/>
        <v>200</v>
      </c>
    </row>
    <row r="19" spans="1:4" ht="15.6" x14ac:dyDescent="0.3">
      <c r="A19" s="52" t="s">
        <v>30</v>
      </c>
      <c r="B19" s="60" t="s">
        <v>123</v>
      </c>
      <c r="C19">
        <v>3</v>
      </c>
      <c r="D19" s="56">
        <f t="shared" si="0"/>
        <v>300</v>
      </c>
    </row>
    <row r="20" spans="1:4" ht="17.399999999999999" x14ac:dyDescent="0.35">
      <c r="A20" s="30" t="s">
        <v>31</v>
      </c>
      <c r="B20" s="55"/>
      <c r="D20" s="56">
        <f t="shared" si="0"/>
        <v>0</v>
      </c>
    </row>
    <row r="21" spans="1:4" ht="15.6" x14ac:dyDescent="0.3">
      <c r="A21" s="61" t="s">
        <v>124</v>
      </c>
      <c r="B21" s="55" t="s">
        <v>74</v>
      </c>
      <c r="C21">
        <v>3</v>
      </c>
      <c r="D21" s="56">
        <f t="shared" si="0"/>
        <v>300</v>
      </c>
    </row>
    <row r="22" spans="1:4" ht="15.6" x14ac:dyDescent="0.3">
      <c r="A22" s="62" t="s">
        <v>125</v>
      </c>
      <c r="B22" s="55" t="s">
        <v>126</v>
      </c>
      <c r="C22">
        <v>2</v>
      </c>
      <c r="D22" s="56">
        <f t="shared" si="0"/>
        <v>200</v>
      </c>
    </row>
    <row r="23" spans="1:4" ht="15.6" x14ac:dyDescent="0.3">
      <c r="A23" s="62" t="s">
        <v>127</v>
      </c>
      <c r="B23" s="55" t="s">
        <v>74</v>
      </c>
      <c r="C23">
        <v>3</v>
      </c>
      <c r="D23" s="56">
        <f t="shared" si="0"/>
        <v>300</v>
      </c>
    </row>
    <row r="24" spans="1:4" ht="15.6" x14ac:dyDescent="0.3">
      <c r="A24" s="36" t="s">
        <v>36</v>
      </c>
      <c r="B24" s="55" t="s">
        <v>126</v>
      </c>
      <c r="C24">
        <v>2</v>
      </c>
      <c r="D24" s="56">
        <f t="shared" si="0"/>
        <v>200</v>
      </c>
    </row>
    <row r="25" spans="1:4" ht="15.6" x14ac:dyDescent="0.3">
      <c r="A25" s="61" t="s">
        <v>37</v>
      </c>
      <c r="B25" s="55" t="s">
        <v>86</v>
      </c>
      <c r="C25">
        <v>1.5</v>
      </c>
      <c r="D25" s="56">
        <f t="shared" si="0"/>
        <v>150</v>
      </c>
    </row>
    <row r="26" spans="1:4" ht="15.6" x14ac:dyDescent="0.3">
      <c r="A26" s="34" t="s">
        <v>38</v>
      </c>
      <c r="B26" s="51" t="s">
        <v>86</v>
      </c>
      <c r="C26">
        <v>2</v>
      </c>
      <c r="D26" s="56">
        <f t="shared" si="0"/>
        <v>200</v>
      </c>
    </row>
    <row r="27" spans="1:4" ht="17.399999999999999" x14ac:dyDescent="0.35">
      <c r="A27" s="30" t="s">
        <v>39</v>
      </c>
      <c r="B27" s="55"/>
      <c r="D27" s="56">
        <f t="shared" si="0"/>
        <v>0</v>
      </c>
    </row>
    <row r="28" spans="1:4" ht="14.4" x14ac:dyDescent="0.3">
      <c r="A28" s="63" t="s">
        <v>40</v>
      </c>
      <c r="B28" s="64" t="s">
        <v>128</v>
      </c>
      <c r="C28">
        <v>1</v>
      </c>
      <c r="D28" s="56">
        <f t="shared" si="0"/>
        <v>100</v>
      </c>
    </row>
    <row r="29" spans="1:4" ht="15.6" x14ac:dyDescent="0.3">
      <c r="A29" s="52" t="s">
        <v>41</v>
      </c>
      <c r="B29" s="51" t="s">
        <v>78</v>
      </c>
      <c r="C29">
        <v>1</v>
      </c>
      <c r="D29" s="56">
        <f t="shared" si="0"/>
        <v>100</v>
      </c>
    </row>
    <row r="30" spans="1:4" ht="15.6" x14ac:dyDescent="0.3">
      <c r="A30" s="52" t="s">
        <v>129</v>
      </c>
      <c r="B30" s="51" t="s">
        <v>78</v>
      </c>
      <c r="C30">
        <v>3</v>
      </c>
      <c r="D30" s="56">
        <f t="shared" si="0"/>
        <v>300</v>
      </c>
    </row>
    <row r="31" spans="1:4" ht="17.399999999999999" x14ac:dyDescent="0.35">
      <c r="A31" s="37" t="s">
        <v>42</v>
      </c>
      <c r="B31" s="51"/>
      <c r="D31" s="56">
        <f t="shared" si="0"/>
        <v>0</v>
      </c>
    </row>
    <row r="32" spans="1:4" ht="15.6" x14ac:dyDescent="0.3">
      <c r="A32" s="52" t="s">
        <v>130</v>
      </c>
      <c r="B32" s="51" t="s">
        <v>63</v>
      </c>
      <c r="D32" s="56">
        <f t="shared" si="0"/>
        <v>0</v>
      </c>
    </row>
    <row r="33" spans="1:5" ht="15.6" x14ac:dyDescent="0.3">
      <c r="A33" s="53" t="s">
        <v>131</v>
      </c>
      <c r="B33" s="51" t="s">
        <v>47</v>
      </c>
      <c r="C33">
        <v>1.5</v>
      </c>
      <c r="D33" s="56">
        <f t="shared" si="0"/>
        <v>150</v>
      </c>
    </row>
    <row r="34" spans="1:5" ht="15.6" x14ac:dyDescent="0.3">
      <c r="A34" s="53" t="s">
        <v>31</v>
      </c>
      <c r="B34" s="51" t="s">
        <v>47</v>
      </c>
      <c r="C34">
        <v>1.5</v>
      </c>
      <c r="D34" s="56">
        <f t="shared" si="0"/>
        <v>150</v>
      </c>
    </row>
    <row r="35" spans="1:5" ht="15.6" x14ac:dyDescent="0.3">
      <c r="A35" s="53" t="s">
        <v>132</v>
      </c>
      <c r="B35" s="65" t="s">
        <v>101</v>
      </c>
      <c r="C35">
        <v>1.5</v>
      </c>
      <c r="D35" s="56">
        <f t="shared" si="0"/>
        <v>150</v>
      </c>
    </row>
    <row r="36" spans="1:5" x14ac:dyDescent="0.25">
      <c r="A36" s="66"/>
      <c r="B36" s="67"/>
      <c r="C36" s="68">
        <f ca="1">SUM(C2:C38)</f>
        <v>50</v>
      </c>
      <c r="D36" s="69">
        <f ca="1">SUM(D2:D38)</f>
        <v>5000</v>
      </c>
      <c r="E36" s="68" t="s">
        <v>133</v>
      </c>
    </row>
  </sheetData>
  <dataValidations count="1">
    <dataValidation showInputMessage="1" showErrorMessage="1" sqref="A19">
      <formula1>0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size="42" baseType="lpstr">
      <vt:lpstr>Overview</vt:lpstr>
      <vt:lpstr>CDR Project Planner</vt:lpstr>
      <vt:lpstr>Bach Planner</vt:lpstr>
      <vt:lpstr>Brandon Planner</vt:lpstr>
      <vt:lpstr>Cody Planner</vt:lpstr>
      <vt:lpstr>Peter Planner</vt:lpstr>
      <vt:lpstr>Zack Planner</vt:lpstr>
      <vt:lpstr>Burn Report</vt:lpstr>
      <vt:lpstr>PDR Project Planner</vt:lpstr>
      <vt:lpstr>Metrics</vt:lpstr>
      <vt:lpstr>Andrei Planner</vt:lpstr>
      <vt:lpstr>Sheet1</vt:lpstr>
      <vt:lpstr>Andrei Cost</vt:lpstr>
      <vt:lpstr>Bach Cost</vt:lpstr>
      <vt:lpstr>Brandon Cost</vt:lpstr>
      <vt:lpstr>Cody Cost</vt:lpstr>
      <vt:lpstr>Peter Cost</vt:lpstr>
      <vt:lpstr>Zack Cost</vt:lpstr>
      <vt:lpstr>'Andrei Planner'!period_selected</vt:lpstr>
      <vt:lpstr>'Bach Planner'!period_selected</vt:lpstr>
      <vt:lpstr>'Brandon Planner'!period_selected</vt:lpstr>
      <vt:lpstr>'CDR Project Planner'!period_selected</vt:lpstr>
      <vt:lpstr>'Cody Planner'!period_selected</vt:lpstr>
      <vt:lpstr>'PDR Project Planner'!period_selected</vt:lpstr>
      <vt:lpstr>'Peter Planner'!period_selected</vt:lpstr>
      <vt:lpstr>'Zack Planner'!period_selected</vt:lpstr>
      <vt:lpstr>'Andrei Planner'!Print_Titles</vt:lpstr>
      <vt:lpstr>'Bach Planner'!Print_Titles</vt:lpstr>
      <vt:lpstr>'Brandon Planner'!Print_Titles</vt:lpstr>
      <vt:lpstr>'CDR Project Planner'!Print_Titles</vt:lpstr>
      <vt:lpstr>'Cody Planner'!Print_Titles</vt:lpstr>
      <vt:lpstr>'PDR Project Planner'!Print_Titles</vt:lpstr>
      <vt:lpstr>'Peter Planner'!Print_Titles</vt:lpstr>
      <vt:lpstr>'Zack Planner'!Print_Titles</vt:lpstr>
      <vt:lpstr>'Andrei Planner'!TitleRegion..BO60</vt:lpstr>
      <vt:lpstr>'Bach Planner'!TitleRegion..BO60</vt:lpstr>
      <vt:lpstr>'Brandon Planner'!TitleRegion..BO60</vt:lpstr>
      <vt:lpstr>'CDR Project Planner'!TitleRegion..BO60</vt:lpstr>
      <vt:lpstr>'Cody Planner'!TitleRegion..BO60</vt:lpstr>
      <vt:lpstr>'PDR Project Planner'!TitleRegion..BO60</vt:lpstr>
      <vt:lpstr>'Peter Planner'!TitleRegion..BO60</vt:lpstr>
      <vt:lpstr>'Zack Planner'!TitleRegion..BO60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Andrei Fusilli</dc:creator>
  <dc:description/>
  <cp:lastModifiedBy>Drei</cp:lastModifiedBy>
  <cp:revision>17</cp:revision>
  <cp:lastPrinted>2018-03-22T18:36:21Z</cp:lastPrinted>
  <dcterms:created xsi:type="dcterms:W3CDTF">2018-02-08T19:34:40Z</dcterms:created>
  <dcterms:modified xsi:type="dcterms:W3CDTF">2018-04-03T03:46:09Z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
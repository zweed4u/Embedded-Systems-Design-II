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soet-students\courses\CPET-563\groups\newFolder\Project Management\"/>
    </mc:Choice>
  </mc:AlternateContent>
  <bookViews>
    <workbookView xWindow="0" yWindow="0" windowWidth="16380" windowHeight="8190" tabRatio="500" activeTab="1"/>
  </bookViews>
  <sheets>
    <sheet name="Overview" sheetId="10" r:id="rId1"/>
    <sheet name="CDR Project Planner" sheetId="1" r:id="rId2"/>
    <sheet name="Andrei Planner" sheetId="2" state="hidden" r:id="rId3"/>
    <sheet name="Bach Planner" sheetId="3" state="hidden" r:id="rId4"/>
    <sheet name="Brandon Planner" sheetId="4" state="hidden" r:id="rId5"/>
    <sheet name="Cody Planner" sheetId="5" state="hidden" r:id="rId6"/>
    <sheet name="Peter Planner" sheetId="6" state="hidden" r:id="rId7"/>
    <sheet name="Zack Planner" sheetId="7" state="hidden" r:id="rId8"/>
    <sheet name="Weekly Meeting Costs" sheetId="12" r:id="rId9"/>
    <sheet name="Sheet1" sheetId="9" r:id="rId10"/>
    <sheet name="Burn Report" sheetId="11" r:id="rId11"/>
    <sheet name="PDR Project Planner" sheetId="8" r:id="rId12"/>
    <sheet name="Andrei Cost" sheetId="13" state="hidden" r:id="rId13"/>
    <sheet name="Bach Cost" sheetId="14" state="hidden" r:id="rId14"/>
    <sheet name="Brandon Cost" sheetId="15" state="hidden" r:id="rId15"/>
    <sheet name="Cody Cost" sheetId="16" state="hidden" r:id="rId16"/>
    <sheet name="Peter Cost" sheetId="17" state="hidden" r:id="rId17"/>
    <sheet name="Zack Cost" sheetId="18" state="hidden" r:id="rId18"/>
  </sheets>
  <definedNames>
    <definedName name="_xlnm._FilterDatabase" localSheetId="10" hidden="1">'Burn Report'!$A$2:$H$2</definedName>
    <definedName name="_xlnm._FilterDatabase" localSheetId="8" hidden="1">'Weekly Meeting Costs'!$A$2:$J$2</definedName>
    <definedName name="_FilterDatabase_0" localSheetId="10">'Burn Report'!$A$2:$H$25</definedName>
    <definedName name="_FilterDatabase_0" localSheetId="8">'Weekly Meeting Costs'!$A$2:$J$21</definedName>
    <definedName name="Actual" localSheetId="2">([0]!PeriodInActual*('Andrei Planner'!$F1&gt;0))*[0]!PeriodInPlan</definedName>
    <definedName name="Actual" localSheetId="3">([0]!PeriodInActual*('Bach Planner'!$F1&gt;0))*[0]!PeriodInPlan</definedName>
    <definedName name="Actual" localSheetId="4">([0]!PeriodInActual*('Brandon Planner'!$F1&gt;0))*[0]!PeriodInPlan</definedName>
    <definedName name="Actual" localSheetId="10">('Burn Report'!PeriodInActual*(#REF!&gt;0))*'Burn Report'!PeriodInPlan</definedName>
    <definedName name="Actual" localSheetId="1">(PeriodInActual*('CDR Project Planner'!$F1&gt;0))*PeriodInPlan</definedName>
    <definedName name="Actual" localSheetId="5">([0]!PeriodInActual*('Cody Planner'!$F1&gt;0))*[0]!PeriodInPlan</definedName>
    <definedName name="Actual" localSheetId="0">(Overview!PeriodInActual*(#REF!&gt;0))*Overview!PeriodInPlan</definedName>
    <definedName name="Actual" localSheetId="6">([0]!PeriodInActual*('Peter Planner'!$F1&gt;0))*[0]!PeriodInPlan</definedName>
    <definedName name="Actual" localSheetId="8">(Overview!PeriodInActual*(#REF!&gt;0))*Overview!PeriodInPlan</definedName>
    <definedName name="Actual" localSheetId="7">([0]!PeriodInActual*('Zack Planner'!$F1&gt;0))*[0]!PeriodInPlan</definedName>
    <definedName name="Actual">(PeriodInActual*('PDR Project Planner'!$F1&gt;0))*PeriodInPlan</definedName>
    <definedName name="ActualBeyond" localSheetId="2">'Andrei Planner'!PeriodInActual*('Andrei Planner'!$F1&gt;0)</definedName>
    <definedName name="ActualBeyond" localSheetId="3">'Bach Planner'!PeriodInActual*('Bach Planner'!$F1&gt;0)</definedName>
    <definedName name="ActualBeyond" localSheetId="4">'Brandon Planner'!PeriodInActual*('Brandon Planner'!$F1&gt;0)</definedName>
    <definedName name="ActualBeyond" localSheetId="10">'Burn Report'!PeriodInActual*(#REF!&gt;0)</definedName>
    <definedName name="ActualBeyond" localSheetId="1">PeriodInActual*('CDR Project Planner'!$F1&gt;0)</definedName>
    <definedName name="ActualBeyond" localSheetId="5">'Cody Planner'!PeriodInActual*('Cody Planner'!$F1&gt;0)</definedName>
    <definedName name="ActualBeyond" localSheetId="0">Overview!PeriodInActual*(#REF!&gt;0)</definedName>
    <definedName name="ActualBeyond" localSheetId="6">'Peter Planner'!PeriodInActual*('Peter Planner'!$F1&gt;0)</definedName>
    <definedName name="ActualBeyond" localSheetId="8">Overview!PeriodInActual*(#REF!&gt;0)</definedName>
    <definedName name="ActualBeyond" localSheetId="7">'Zack Planner'!PeriodInActual*('Zack Planner'!$F1&gt;0)</definedName>
    <definedName name="ActualBeyond">PeriodInActual*('PDR Project Planner'!$F1&gt;0)</definedName>
    <definedName name="PercentComplete" localSheetId="2">[0]!PercentCompleteBeyond*'Andrei Planner'!PeriodInPlan</definedName>
    <definedName name="PercentComplete" localSheetId="3">[0]!PercentCompleteBeyond*'Bach Planner'!PeriodInPlan</definedName>
    <definedName name="PercentComplete" localSheetId="4">[0]!PercentCompleteBeyond*'Brandon Planner'!PeriodInPlan</definedName>
    <definedName name="PercentComplete" localSheetId="10">'Burn Report'!PercentCompleteBeyond*'Burn Report'!PeriodInPlan</definedName>
    <definedName name="PercentComplete" localSheetId="1">PercentCompleteBeyond*PeriodInPlan</definedName>
    <definedName name="PercentComplete" localSheetId="5">[0]!PercentCompleteBeyond*'Cody Planner'!PeriodInPlan</definedName>
    <definedName name="PercentComplete" localSheetId="0">Overview!PercentCompleteBeyond*Overview!PeriodInPlan</definedName>
    <definedName name="PercentComplete" localSheetId="6">[0]!PercentCompleteBeyond*'Peter Planner'!PeriodInPlan</definedName>
    <definedName name="PercentComplete" localSheetId="8">Overview!PercentCompleteBeyond*Overview!PeriodInPlan</definedName>
    <definedName name="PercentComplete" localSheetId="7">[0]!PercentCompleteBeyond*'Zack Planner'!PeriodInPlan</definedName>
    <definedName name="PercentComplete">PercentCompleteBeyond*PeriodInPlan</definedName>
    <definedName name="PercentCompleteBeyond" localSheetId="2">('Andrei Planner'!A$4=MEDIAN('Andrei Planner'!A$4,'Andrei Planner'!$F1,'Andrei Planner'!$F1+'Andrei Planner'!$G1)*('Andrei Planner'!$F1&gt;0))*(('Andrei Planner'!A$4&lt;(INT('Andrei Planner'!$F1+'Andrei Planner'!$G1*'Andrei Planner'!$H1)))+('Andrei Planner'!A$4='Andrei Planner'!$F1))*('Andrei Planner'!$H1&gt;0)</definedName>
    <definedName name="PercentCompleteBeyond" localSheetId="3">('Bach Planner'!A$4=MEDIAN('Bach Planner'!A$4,'Bach Planner'!$F1,'Bach Planner'!$F1+'Bach Planner'!$G1)*('Bach Planner'!$F1&gt;0))*(('Bach Planner'!A$4&lt;(INT('Bach Planner'!$F1+'Bach Planner'!$G1*'Bach Planner'!$H1)))+('Bach Planner'!A$4='Bach Planner'!$F1))*('Bach Planner'!$H1&gt;0)</definedName>
    <definedName name="PercentCompleteBeyond" localSheetId="4">('Brandon Planner'!A$4=MEDIAN('Brandon Planner'!A$4,'Brandon Planner'!$F1,'Brandon Planner'!$F1+'Brandon Planner'!$G1)*('Brandon Planner'!$F1&gt;0))*(('Brandon Planner'!A$4&lt;(INT('Brandon Planner'!$F1+'Brandon Planner'!$G1*'Brandon Planner'!$H1)))+('Brandon Planner'!A$4='Brandon Planner'!$F1))*('Brandon Planner'!$H1&gt;0)</definedName>
    <definedName name="PercentCompleteBeyond" localSheetId="10">(#REF!=MEDIAN(#REF!,#REF!,#REF!+#REF!)*(#REF!&gt;0))*((#REF!&lt;(INT(#REF!+#REF!*#REF!)))+(#REF!=#REF!))*(#REF!&gt;0)</definedName>
    <definedName name="PercentCompleteBeyond" localSheetId="1">('CDR Project Planner'!A$4=MEDIAN('CDR Project Planner'!A$4,'CDR Project Planner'!$F1,'CDR Project Planner'!$F1+'CDR Project Planner'!$G1)*('CDR Project Planner'!$F1&gt;0))*(('CDR Project Planner'!A$4&lt;(INT('CDR Project Planner'!$F1+'CDR Project Planner'!$G1*'CDR Project Planner'!$H1)))+('CDR Project Planner'!A$4='CDR Project Planner'!$F1))*('CDR Project Planner'!$H1&gt;0)</definedName>
    <definedName name="PercentCompleteBeyond" localSheetId="5">('Cody Planner'!A$4=MEDIAN('Cody Planner'!A$4,'Cody Planner'!$F1,'Cody Planner'!$F1+'Cody Planner'!$G1)*('Cody Planner'!$F1&gt;0))*(('Cody Planner'!A$4&lt;(INT('Cody Planner'!$F1+'Cody Planner'!$G1*'Cody Planner'!$H1)))+('Cody Planner'!A$4='Cody Planner'!$F1))*('Cody Planner'!$H1&gt;0)</definedName>
    <definedName name="PercentCompleteBeyond" localSheetId="0">(#REF!=MEDIAN(#REF!,#REF!,#REF!+#REF!)*(#REF!&gt;0))*((#REF!&lt;(INT(#REF!+#REF!*#REF!)))+(#REF!=#REF!))*(#REF!&gt;0)</definedName>
    <definedName name="PercentCompleteBeyond" localSheetId="6">('Peter Planner'!A$4=MEDIAN('Peter Planner'!A$4,'Peter Planner'!$F1,'Peter Planner'!$F1+'Peter Planner'!$G1)*('Peter Planner'!$F1&gt;0))*(('Peter Planner'!A$4&lt;(INT('Peter Planner'!$F1+'Peter Planner'!$G1*'Peter Planner'!$H1)))+('Peter Planner'!A$4='Peter Planner'!$F1))*('Peter Planner'!$H1&gt;0)</definedName>
    <definedName name="PercentCompleteBeyond" localSheetId="8">(#REF!=MEDIAN(#REF!,#REF!,#REF!+#REF!)*(#REF!&gt;0))*((#REF!&lt;(INT(#REF!+#REF!*#REF!)))+(#REF!=#REF!))*(#REF!&gt;0)</definedName>
    <definedName name="PercentCompleteBeyond" localSheetId="7">('Zack Planner'!A$4=MEDIAN('Zack Planner'!A$4,'Zack Planner'!$F1,'Zack Planner'!$F1+'Zack Planner'!$G1)*('Zack Planner'!$F1&gt;0))*(('Zack Planner'!A$4&lt;(INT('Zack Planner'!$F1+'Zack Planner'!$G1*'Zack Planner'!$H1)))+('Zack Planner'!A$4='Zack Planner'!$F1))*('Zack Planner'!$H1&gt;0)</definedName>
    <definedName name="PercentCompleteBeyond">('PDR Project Planner'!A$4=MEDIAN('PDR Project Planner'!A$4,'PDR Project Planner'!$F1,'PDR Project Planner'!$F1+'PDR Project Planner'!$G1)*('PDR Project Planner'!$F1&gt;0))*(('PDR Project Planner'!A$4&lt;(INT('PDR Project Planner'!$F1+'PDR Project Planner'!$G1*'PDR Project Planner'!$H1)))+('PDR Project Planner'!A$4='PDR Project Planner'!$F1))*('PDR Project Planner'!$H1&gt;0)</definedName>
    <definedName name="period_selected" localSheetId="2">'Andrei Planner'!$I$2</definedName>
    <definedName name="period_selected" localSheetId="3">'Bach Planner'!$I$2</definedName>
    <definedName name="period_selected" localSheetId="4">'Brandon Planner'!$I$2</definedName>
    <definedName name="period_selected" localSheetId="10">#REF!</definedName>
    <definedName name="period_selected" localSheetId="1">'CDR Project Planner'!$I$2</definedName>
    <definedName name="period_selected" localSheetId="5">'Cody Planner'!$I$2</definedName>
    <definedName name="period_selected" localSheetId="0">#REF!</definedName>
    <definedName name="period_selected" localSheetId="6">'Peter Planner'!$I$2</definedName>
    <definedName name="period_selected" localSheetId="8">#REF!</definedName>
    <definedName name="period_selected" localSheetId="7">'Zack Planner'!$I$2</definedName>
    <definedName name="period_selected">'PDR Project Planner'!$I$2</definedName>
    <definedName name="PeriodInActual" localSheetId="2">'Andrei Planner'!A$4=MEDIAN('Andrei Planner'!A$4,'Andrei Planner'!$F1,'Andrei Planner'!$F1+'Andrei Planner'!$G1-1)</definedName>
    <definedName name="PeriodInActual" localSheetId="3">'Bach Planner'!A$4=MEDIAN('Bach Planner'!A$4,'Bach Planner'!$F1,'Bach Planner'!$F1+'Bach Planner'!$G1-1)</definedName>
    <definedName name="PeriodInActual" localSheetId="4">'Brandon Planner'!A$4=MEDIAN('Brandon Planner'!A$4,'Brandon Planner'!$F1,'Brandon Planner'!$F1+'Brandon Planner'!$G1-1)</definedName>
    <definedName name="PeriodInActual" localSheetId="10">#REF!=MEDIAN(#REF!,#REF!,#REF!+#REF!-1)</definedName>
    <definedName name="PeriodInActual" localSheetId="1">'CDR Project Planner'!A$4=MEDIAN('CDR Project Planner'!A$4,'CDR Project Planner'!$F1,'CDR Project Planner'!$F1+'CDR Project Planner'!$G1-1)</definedName>
    <definedName name="PeriodInActual" localSheetId="5">'Cody Planner'!A$4=MEDIAN('Cody Planner'!A$4,'Cody Planner'!$F1,'Cody Planner'!$F1+'Cody Planner'!$G1-1)</definedName>
    <definedName name="PeriodInActual" localSheetId="0">#REF!=MEDIAN(#REF!,#REF!,#REF!+#REF!-1)</definedName>
    <definedName name="PeriodInActual" localSheetId="6">'Peter Planner'!A$4=MEDIAN('Peter Planner'!A$4,'Peter Planner'!$F1,'Peter Planner'!$F1+'Peter Planner'!$G1-1)</definedName>
    <definedName name="PeriodInActual" localSheetId="8">#REF!=MEDIAN(#REF!,#REF!,#REF!+#REF!-1)</definedName>
    <definedName name="PeriodInActual" localSheetId="7">'Zack Planner'!A$4=MEDIAN('Zack Planner'!A$4,'Zack Planner'!$F1,'Zack Planner'!$F1+'Zack Planner'!$G1-1)</definedName>
    <definedName name="PeriodInActual">'PDR Project Planner'!A$4=MEDIAN('PDR Project Planner'!A$4,'PDR Project Planner'!$F1,'PDR Project Planner'!$F1+'PDR Project Planner'!$G1-1)</definedName>
    <definedName name="PeriodInPlan" localSheetId="2">'Andrei Planner'!A$4=MEDIAN('Andrei Planner'!A$4,'Andrei Planner'!$D1,'Andrei Planner'!$D1+'Andrei Planner'!$E1-1)</definedName>
    <definedName name="PeriodInPlan" localSheetId="3">'Bach Planner'!A$4=MEDIAN('Bach Planner'!A$4,'Bach Planner'!$D1,'Bach Planner'!$D1+'Bach Planner'!$E1-1)</definedName>
    <definedName name="PeriodInPlan" localSheetId="4">'Brandon Planner'!A$4=MEDIAN('Brandon Planner'!A$4,'Brandon Planner'!$D1,'Brandon Planner'!$D1+'Brandon Planner'!$E1-1)</definedName>
    <definedName name="PeriodInPlan" localSheetId="10">#REF!=MEDIAN(#REF!,#REF!,#REF!+#REF!-1)</definedName>
    <definedName name="PeriodInPlan" localSheetId="1">'CDR Project Planner'!A$4=MEDIAN('CDR Project Planner'!A$4,'CDR Project Planner'!$D1,'CDR Project Planner'!$D1+'CDR Project Planner'!$E1-1)</definedName>
    <definedName name="PeriodInPlan" localSheetId="5">'Cody Planner'!A$4=MEDIAN('Cody Planner'!A$4,'Cody Planner'!$D1,'Cody Planner'!$D1+'Cody Planner'!$E1-1)</definedName>
    <definedName name="PeriodInPlan" localSheetId="0">#REF!=MEDIAN(#REF!,#REF!,#REF!+#REF!-1)</definedName>
    <definedName name="PeriodInPlan" localSheetId="6">'Peter Planner'!A$4=MEDIAN('Peter Planner'!A$4,'Peter Planner'!$D1,'Peter Planner'!$D1+'Peter Planner'!$E1-1)</definedName>
    <definedName name="PeriodInPlan" localSheetId="8">#REF!=MEDIAN(#REF!,#REF!,#REF!+#REF!-1)</definedName>
    <definedName name="PeriodInPlan" localSheetId="7">'Zack Planner'!A$4=MEDIAN('Zack Planner'!A$4,'Zack Planner'!$D1,'Zack Planner'!$D1+'Zack Planner'!$E1-1)</definedName>
    <definedName name="PeriodInPlan">'PDR Project Planner'!A$4=MEDIAN('PDR Project Planner'!A$4,'PDR Project Planner'!$D1,'PDR Project Planner'!$D1+'PDR Project Planner'!$E1-1)</definedName>
    <definedName name="Plan" localSheetId="2">'Andrei Planner'!PeriodInPlan*('Andrei Planner'!$D1&gt;0)</definedName>
    <definedName name="Plan" localSheetId="3">'Bach Planner'!PeriodInPlan*('Bach Planner'!$D1&gt;0)</definedName>
    <definedName name="Plan" localSheetId="4">'Brandon Planner'!PeriodInPlan*('Brandon Planner'!$D1&gt;0)</definedName>
    <definedName name="Plan" localSheetId="10">'Burn Report'!PeriodInPlan*(#REF!&gt;0)</definedName>
    <definedName name="Plan" localSheetId="1">PeriodInPlan*('CDR Project Planner'!$D1&gt;0)</definedName>
    <definedName name="Plan" localSheetId="5">'Cody Planner'!PeriodInPlan*('Cody Planner'!$D1&gt;0)</definedName>
    <definedName name="Plan" localSheetId="0">Overview!PeriodInPlan*(#REF!&gt;0)</definedName>
    <definedName name="Plan" localSheetId="6">'Peter Planner'!PeriodInPlan*('Peter Planner'!$D1&gt;0)</definedName>
    <definedName name="Plan" localSheetId="8">'Weekly Meeting Costs'!PeriodInPlan*(#REF!&gt;0)</definedName>
    <definedName name="Plan" localSheetId="7">'Zack Planner'!PeriodInPlan*('Zack Planner'!$D1&gt;0)</definedName>
    <definedName name="Plan">PeriodInPlan*('PDR Project Planner'!$D1&gt;0)</definedName>
    <definedName name="_xlnm.Print_Titles" localSheetId="2">'Andrei Planner'!$3:$4</definedName>
    <definedName name="_xlnm.Print_Titles" localSheetId="3">'Bach Planner'!$3:$4</definedName>
    <definedName name="_xlnm.Print_Titles" localSheetId="4">'Brandon Planner'!$3:$4</definedName>
    <definedName name="_xlnm.Print_Titles" localSheetId="1">'CDR Project Planner'!$3:$4</definedName>
    <definedName name="_xlnm.Print_Titles" localSheetId="5">'Cody Planner'!$3:$4</definedName>
    <definedName name="_xlnm.Print_Titles" localSheetId="11">'PDR Project Planner'!$3:$4</definedName>
    <definedName name="_xlnm.Print_Titles" localSheetId="6">'Peter Planner'!$3:$4</definedName>
    <definedName name="_xlnm.Print_Titles" localSheetId="7">'Zack Planner'!$3:$4</definedName>
    <definedName name="Test12" localSheetId="13">[0]!PeriodInActual*(#REF!&gt;0)</definedName>
    <definedName name="Test12">PeriodInActual*(#REF!&gt;0)</definedName>
    <definedName name="TitleRegion..BO60" localSheetId="2">'Andrei Planner'!$B$3:$B$4</definedName>
    <definedName name="TitleRegion..BO60" localSheetId="3">'Bach Planner'!$B$3:$B$4</definedName>
    <definedName name="TitleRegion..BO60" localSheetId="4">'Brandon Planner'!$B$3:$B$4</definedName>
    <definedName name="TitleRegion..BO60" localSheetId="1">'CDR Project Planner'!$B$3:$B$4</definedName>
    <definedName name="TitleRegion..BO60" localSheetId="5">'Cody Planner'!$B$3:$B$4</definedName>
    <definedName name="TitleRegion..BO60" localSheetId="6">'Peter Planner'!$B$3:$B$4</definedName>
    <definedName name="TitleRegion..BO60" localSheetId="7">'Zack Planner'!$B$3:$B$4</definedName>
    <definedName name="TitleRegion..BO60">'PDR Project Planner'!$B$3:$B$4</definedName>
  </definedNames>
  <calcPr calcId="162913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J3" i="12" l="1"/>
  <c r="P3" i="12"/>
  <c r="Q3" i="12"/>
  <c r="R3" i="12"/>
  <c r="S3" i="12"/>
  <c r="T3" i="12"/>
  <c r="U3" i="12"/>
  <c r="X3" i="12"/>
  <c r="Y3" i="12"/>
  <c r="Z3" i="12"/>
  <c r="AA3" i="12"/>
  <c r="AB3" i="12"/>
  <c r="AC3" i="12"/>
  <c r="J4" i="12"/>
  <c r="P4" i="12"/>
  <c r="Q4" i="12"/>
  <c r="R4" i="12"/>
  <c r="S4" i="12"/>
  <c r="T4" i="12"/>
  <c r="U4" i="12"/>
  <c r="X4" i="12"/>
  <c r="Y4" i="12"/>
  <c r="Z4" i="12"/>
  <c r="AA4" i="12"/>
  <c r="AB4" i="12"/>
  <c r="AC4" i="12"/>
  <c r="J5" i="12"/>
  <c r="P5" i="12"/>
  <c r="Q5" i="12"/>
  <c r="R5" i="12"/>
  <c r="S5" i="12"/>
  <c r="T5" i="12"/>
  <c r="U5" i="12"/>
  <c r="X5" i="12"/>
  <c r="Y5" i="12"/>
  <c r="Z5" i="12"/>
  <c r="AA5" i="12"/>
  <c r="AB5" i="12"/>
  <c r="AC5" i="12"/>
  <c r="J6" i="12"/>
  <c r="P6" i="12"/>
  <c r="Q6" i="12"/>
  <c r="R6" i="12"/>
  <c r="S6" i="12"/>
  <c r="T6" i="12"/>
  <c r="U6" i="12"/>
  <c r="X6" i="12"/>
  <c r="Y6" i="12"/>
  <c r="Z6" i="12"/>
  <c r="AA6" i="12"/>
  <c r="AB6" i="12"/>
  <c r="AC6" i="12"/>
  <c r="J7" i="12"/>
  <c r="P7" i="12"/>
  <c r="Q7" i="12"/>
  <c r="R7" i="12"/>
  <c r="S7" i="12"/>
  <c r="T7" i="12"/>
  <c r="U7" i="12"/>
  <c r="X7" i="12"/>
  <c r="Y7" i="12"/>
  <c r="Z7" i="12"/>
  <c r="AA7" i="12"/>
  <c r="AB7" i="12"/>
  <c r="AC7" i="12"/>
  <c r="J8" i="12"/>
  <c r="P8" i="12"/>
  <c r="Q8" i="12"/>
  <c r="R8" i="12"/>
  <c r="S8" i="12"/>
  <c r="T8" i="12"/>
  <c r="U8" i="12"/>
  <c r="X8" i="12"/>
  <c r="Y8" i="12"/>
  <c r="Z8" i="12"/>
  <c r="Z25" i="12" s="1"/>
  <c r="E4" i="10" s="1"/>
  <c r="AA8" i="12"/>
  <c r="AB8" i="12"/>
  <c r="AC8" i="12"/>
  <c r="J9" i="12"/>
  <c r="P9" i="12"/>
  <c r="Q9" i="12"/>
  <c r="R9" i="12"/>
  <c r="S9" i="12"/>
  <c r="T9" i="12"/>
  <c r="U9" i="12"/>
  <c r="X9" i="12"/>
  <c r="Y9" i="12"/>
  <c r="Z9" i="12"/>
  <c r="AA9" i="12"/>
  <c r="AB9" i="12"/>
  <c r="AC9" i="12"/>
  <c r="J10" i="12"/>
  <c r="P10" i="12"/>
  <c r="Q10" i="12"/>
  <c r="R10" i="12"/>
  <c r="S10" i="12"/>
  <c r="T10" i="12"/>
  <c r="U10" i="12"/>
  <c r="X10" i="12"/>
  <c r="Y10" i="12"/>
  <c r="Z10" i="12"/>
  <c r="AA10" i="12"/>
  <c r="AB10" i="12"/>
  <c r="AC10" i="12"/>
  <c r="J11" i="12"/>
  <c r="P11" i="12"/>
  <c r="Q11" i="12"/>
  <c r="R11" i="12"/>
  <c r="S11" i="12"/>
  <c r="T11" i="12"/>
  <c r="U11" i="12"/>
  <c r="X11" i="12"/>
  <c r="Y11" i="12"/>
  <c r="Z11" i="12"/>
  <c r="AA11" i="12"/>
  <c r="AB11" i="12"/>
  <c r="AC11" i="12"/>
  <c r="J12" i="12"/>
  <c r="P12" i="12"/>
  <c r="Q12" i="12"/>
  <c r="R12" i="12"/>
  <c r="S12" i="12"/>
  <c r="T12" i="12"/>
  <c r="U12" i="12"/>
  <c r="X12" i="12"/>
  <c r="Y12" i="12"/>
  <c r="Z12" i="12"/>
  <c r="AA12" i="12"/>
  <c r="AB12" i="12"/>
  <c r="AC12" i="12"/>
  <c r="J13" i="12"/>
  <c r="P13" i="12"/>
  <c r="Q13" i="12"/>
  <c r="R13" i="12"/>
  <c r="S13" i="12"/>
  <c r="T13" i="12"/>
  <c r="U13" i="12"/>
  <c r="X13" i="12"/>
  <c r="Y13" i="12"/>
  <c r="Z13" i="12"/>
  <c r="AA13" i="12"/>
  <c r="AB13" i="12"/>
  <c r="AC13" i="12"/>
  <c r="J14" i="12"/>
  <c r="P14" i="12"/>
  <c r="Q14" i="12"/>
  <c r="R14" i="12"/>
  <c r="S14" i="12"/>
  <c r="T14" i="12"/>
  <c r="U14" i="12"/>
  <c r="X14" i="12"/>
  <c r="Y14" i="12"/>
  <c r="Z14" i="12"/>
  <c r="AA14" i="12"/>
  <c r="AB14" i="12"/>
  <c r="AC14" i="12"/>
  <c r="J15" i="12"/>
  <c r="P15" i="12"/>
  <c r="Q15" i="12"/>
  <c r="R15" i="12"/>
  <c r="S15" i="12"/>
  <c r="T15" i="12"/>
  <c r="U15" i="12"/>
  <c r="X15" i="12"/>
  <c r="Y15" i="12"/>
  <c r="Z15" i="12"/>
  <c r="AA15" i="12"/>
  <c r="AB15" i="12"/>
  <c r="AC15" i="12"/>
  <c r="J16" i="12"/>
  <c r="P16" i="12"/>
  <c r="Q16" i="12"/>
  <c r="R16" i="12"/>
  <c r="S16" i="12"/>
  <c r="T16" i="12"/>
  <c r="U16" i="12"/>
  <c r="X16" i="12"/>
  <c r="Y16" i="12"/>
  <c r="Z16" i="12"/>
  <c r="AA16" i="12"/>
  <c r="AB16" i="12"/>
  <c r="AC16" i="12"/>
  <c r="J17" i="12"/>
  <c r="P17" i="12"/>
  <c r="Q17" i="12"/>
  <c r="R17" i="12"/>
  <c r="S17" i="12"/>
  <c r="T17" i="12"/>
  <c r="U17" i="12"/>
  <c r="X17" i="12"/>
  <c r="Y17" i="12"/>
  <c r="Z17" i="12"/>
  <c r="AA17" i="12"/>
  <c r="AB17" i="12"/>
  <c r="AC17" i="12"/>
  <c r="J18" i="12"/>
  <c r="P18" i="12"/>
  <c r="Q18" i="12"/>
  <c r="R18" i="12"/>
  <c r="S18" i="12"/>
  <c r="T18" i="12"/>
  <c r="U18" i="12"/>
  <c r="X18" i="12"/>
  <c r="Y18" i="12"/>
  <c r="Z18" i="12"/>
  <c r="AA18" i="12"/>
  <c r="AB18" i="12"/>
  <c r="AC18" i="12"/>
  <c r="J19" i="12"/>
  <c r="P19" i="12"/>
  <c r="Q19" i="12"/>
  <c r="R19" i="12"/>
  <c r="S19" i="12"/>
  <c r="T19" i="12"/>
  <c r="U19" i="12"/>
  <c r="X19" i="12"/>
  <c r="Y19" i="12"/>
  <c r="Z19" i="12"/>
  <c r="AA19" i="12"/>
  <c r="AB19" i="12"/>
  <c r="AC19" i="12"/>
  <c r="J20" i="12"/>
  <c r="P20" i="12"/>
  <c r="Q20" i="12"/>
  <c r="R20" i="12"/>
  <c r="S20" i="12"/>
  <c r="T20" i="12"/>
  <c r="U20" i="12"/>
  <c r="X20" i="12"/>
  <c r="Y20" i="12"/>
  <c r="Z20" i="12"/>
  <c r="AA20" i="12"/>
  <c r="AB20" i="12"/>
  <c r="AC20" i="12"/>
  <c r="J21" i="12"/>
  <c r="P21" i="12"/>
  <c r="Q21" i="12"/>
  <c r="R21" i="12"/>
  <c r="S21" i="12"/>
  <c r="T21" i="12"/>
  <c r="U21" i="12"/>
  <c r="X21" i="12"/>
  <c r="Y21" i="12"/>
  <c r="Z21" i="12"/>
  <c r="AA21" i="12"/>
  <c r="AB21" i="12"/>
  <c r="AC21" i="12"/>
  <c r="J22" i="12"/>
  <c r="P22" i="12"/>
  <c r="Q22" i="12"/>
  <c r="R22" i="12"/>
  <c r="S22" i="12"/>
  <c r="T22" i="12"/>
  <c r="U22" i="12"/>
  <c r="X22" i="12"/>
  <c r="Y22" i="12"/>
  <c r="Z22" i="12"/>
  <c r="AA22" i="12"/>
  <c r="AB22" i="12"/>
  <c r="AC22" i="12"/>
  <c r="J23" i="12"/>
  <c r="P23" i="12"/>
  <c r="Q23" i="12"/>
  <c r="R23" i="12"/>
  <c r="S23" i="12"/>
  <c r="T23" i="12"/>
  <c r="U23" i="12"/>
  <c r="X23" i="12"/>
  <c r="Y23" i="12"/>
  <c r="Z23" i="12"/>
  <c r="AA23" i="12"/>
  <c r="AB23" i="12"/>
  <c r="AC23" i="12"/>
  <c r="J24" i="12"/>
  <c r="P24" i="12"/>
  <c r="Q24" i="12"/>
  <c r="R24" i="12"/>
  <c r="S24" i="12"/>
  <c r="T24" i="12"/>
  <c r="U24" i="12"/>
  <c r="X24" i="12"/>
  <c r="Y24" i="12"/>
  <c r="Z24" i="12"/>
  <c r="AA24" i="12"/>
  <c r="AB24" i="12"/>
  <c r="AC24" i="12"/>
  <c r="C25" i="12"/>
  <c r="D25" i="12"/>
  <c r="E25" i="12"/>
  <c r="F25" i="12"/>
  <c r="G25" i="12"/>
  <c r="H25" i="12"/>
  <c r="I25" i="12"/>
  <c r="J3" i="11"/>
  <c r="J4" i="11"/>
  <c r="O4" i="11"/>
  <c r="P4" i="11"/>
  <c r="Q4" i="11"/>
  <c r="R4" i="11"/>
  <c r="S4" i="11"/>
  <c r="T4" i="11"/>
  <c r="W4" i="11"/>
  <c r="X4" i="11"/>
  <c r="Y4" i="11"/>
  <c r="Z4" i="11"/>
  <c r="AA4" i="11"/>
  <c r="AB4" i="11"/>
  <c r="J5" i="11"/>
  <c r="O5" i="11"/>
  <c r="P5" i="11"/>
  <c r="Q5" i="11"/>
  <c r="R5" i="11"/>
  <c r="S5" i="11"/>
  <c r="T5" i="11"/>
  <c r="W5" i="11"/>
  <c r="X5" i="11"/>
  <c r="Y5" i="11"/>
  <c r="Z5" i="11"/>
  <c r="AA5" i="11"/>
  <c r="AB5" i="11"/>
  <c r="J6" i="11"/>
  <c r="O6" i="11"/>
  <c r="P6" i="11"/>
  <c r="Q6" i="11"/>
  <c r="R6" i="11"/>
  <c r="S6" i="11"/>
  <c r="T6" i="11"/>
  <c r="W6" i="11"/>
  <c r="X6" i="11"/>
  <c r="Y6" i="11"/>
  <c r="Z6" i="11"/>
  <c r="AA6" i="11"/>
  <c r="AB6" i="11"/>
  <c r="J7" i="11"/>
  <c r="O7" i="11"/>
  <c r="P7" i="11"/>
  <c r="Q7" i="11"/>
  <c r="R7" i="11"/>
  <c r="S7" i="11"/>
  <c r="T7" i="11"/>
  <c r="W7" i="11"/>
  <c r="X7" i="11"/>
  <c r="Y7" i="11"/>
  <c r="Z7" i="11"/>
  <c r="AA7" i="11"/>
  <c r="AB7" i="11"/>
  <c r="J8" i="11"/>
  <c r="O8" i="11"/>
  <c r="P8" i="11"/>
  <c r="Q8" i="11"/>
  <c r="R8" i="11"/>
  <c r="S8" i="11"/>
  <c r="T8" i="11"/>
  <c r="W8" i="11"/>
  <c r="X8" i="11"/>
  <c r="Y8" i="11"/>
  <c r="Z8" i="11"/>
  <c r="AA8" i="11"/>
  <c r="AB8" i="11"/>
  <c r="J9" i="11"/>
  <c r="O9" i="11"/>
  <c r="P9" i="11"/>
  <c r="Q9" i="11"/>
  <c r="R9" i="11"/>
  <c r="S9" i="11"/>
  <c r="T9" i="11"/>
  <c r="W9" i="11"/>
  <c r="X9" i="11"/>
  <c r="Y9" i="11"/>
  <c r="AA9" i="11"/>
  <c r="AB9" i="11"/>
  <c r="J10" i="11"/>
  <c r="O10" i="11"/>
  <c r="P10" i="11"/>
  <c r="Q10" i="11"/>
  <c r="R10" i="11"/>
  <c r="S10" i="11"/>
  <c r="T10" i="11"/>
  <c r="W10" i="11"/>
  <c r="X10" i="11"/>
  <c r="Y10" i="11"/>
  <c r="Z10" i="11"/>
  <c r="AA10" i="11"/>
  <c r="AB10" i="11"/>
  <c r="J11" i="11"/>
  <c r="O11" i="11"/>
  <c r="P11" i="11"/>
  <c r="Q11" i="11"/>
  <c r="R11" i="11"/>
  <c r="S11" i="11"/>
  <c r="T11" i="11"/>
  <c r="W11" i="11"/>
  <c r="X11" i="11"/>
  <c r="Y11" i="11"/>
  <c r="Z11" i="11"/>
  <c r="AA11" i="11"/>
  <c r="AB11" i="11"/>
  <c r="J12" i="11"/>
  <c r="O12" i="11"/>
  <c r="P12" i="11"/>
  <c r="Q12" i="11"/>
  <c r="R12" i="11"/>
  <c r="S12" i="11"/>
  <c r="T12" i="11"/>
  <c r="W12" i="11"/>
  <c r="X12" i="11"/>
  <c r="Y12" i="11"/>
  <c r="AA12" i="11"/>
  <c r="AB12" i="11"/>
  <c r="J13" i="11"/>
  <c r="O13" i="11"/>
  <c r="P13" i="11"/>
  <c r="Q13" i="11"/>
  <c r="R13" i="11"/>
  <c r="S13" i="11"/>
  <c r="T13" i="11"/>
  <c r="W13" i="11"/>
  <c r="X13" i="11"/>
  <c r="Y13" i="11"/>
  <c r="Z13" i="11"/>
  <c r="AA13" i="11"/>
  <c r="AB13" i="11"/>
  <c r="J14" i="11"/>
  <c r="O14" i="11"/>
  <c r="P14" i="11"/>
  <c r="Q14" i="11"/>
  <c r="R14" i="11"/>
  <c r="S14" i="11"/>
  <c r="T14" i="11"/>
  <c r="W14" i="11"/>
  <c r="X14" i="11"/>
  <c r="Y14" i="11"/>
  <c r="Z14" i="11"/>
  <c r="AA14" i="11"/>
  <c r="AB14" i="11"/>
  <c r="J15" i="11"/>
  <c r="O15" i="11"/>
  <c r="P15" i="11"/>
  <c r="Q15" i="11"/>
  <c r="R15" i="11"/>
  <c r="S15" i="11"/>
  <c r="T15" i="11"/>
  <c r="W15" i="11"/>
  <c r="X15" i="11"/>
  <c r="Y15" i="11"/>
  <c r="Z15" i="11"/>
  <c r="AA15" i="11"/>
  <c r="AB15" i="11"/>
  <c r="J16" i="11"/>
  <c r="O16" i="11"/>
  <c r="P16" i="11"/>
  <c r="Q16" i="11"/>
  <c r="R16" i="11"/>
  <c r="S16" i="11"/>
  <c r="T16" i="11"/>
  <c r="W16" i="11"/>
  <c r="X16" i="11"/>
  <c r="Y16" i="11"/>
  <c r="Z16" i="11"/>
  <c r="AA16" i="11"/>
  <c r="AB16" i="11"/>
  <c r="J17" i="11"/>
  <c r="O17" i="11"/>
  <c r="P17" i="11"/>
  <c r="Q17" i="11"/>
  <c r="R17" i="11"/>
  <c r="S17" i="11"/>
  <c r="T17" i="11"/>
  <c r="W17" i="11"/>
  <c r="X17" i="11"/>
  <c r="Y17" i="11"/>
  <c r="Z17" i="11"/>
  <c r="AA17" i="11"/>
  <c r="AB17" i="11"/>
  <c r="J18" i="11"/>
  <c r="O18" i="11"/>
  <c r="P18" i="11"/>
  <c r="Q18" i="11"/>
  <c r="R18" i="11"/>
  <c r="S18" i="11"/>
  <c r="T18" i="11"/>
  <c r="W18" i="11"/>
  <c r="X18" i="11"/>
  <c r="Y18" i="11"/>
  <c r="Z18" i="11"/>
  <c r="AA18" i="11"/>
  <c r="AB18" i="11"/>
  <c r="J19" i="11"/>
  <c r="O19" i="11"/>
  <c r="P19" i="11"/>
  <c r="Q19" i="11"/>
  <c r="R19" i="11"/>
  <c r="S19" i="11"/>
  <c r="T19" i="11"/>
  <c r="W19" i="11"/>
  <c r="X19" i="11"/>
  <c r="Y19" i="11"/>
  <c r="Z19" i="11"/>
  <c r="AA19" i="11"/>
  <c r="AB19" i="11"/>
  <c r="J20" i="11"/>
  <c r="O20" i="11"/>
  <c r="P20" i="11"/>
  <c r="Q20" i="11"/>
  <c r="R20" i="11"/>
  <c r="S20" i="11"/>
  <c r="T20" i="11"/>
  <c r="W20" i="11"/>
  <c r="X20" i="11"/>
  <c r="Y20" i="11"/>
  <c r="Z20" i="11"/>
  <c r="AA20" i="11"/>
  <c r="AB20" i="11"/>
  <c r="J21" i="11"/>
  <c r="O21" i="11"/>
  <c r="P21" i="11"/>
  <c r="Q21" i="11"/>
  <c r="R21" i="11"/>
  <c r="S21" i="11"/>
  <c r="T21" i="11"/>
  <c r="W21" i="11"/>
  <c r="X21" i="11"/>
  <c r="Y21" i="11"/>
  <c r="Z21" i="11"/>
  <c r="AA21" i="11"/>
  <c r="AB21" i="11"/>
  <c r="J22" i="11"/>
  <c r="O22" i="11"/>
  <c r="P22" i="11"/>
  <c r="Q22" i="11"/>
  <c r="R22" i="11"/>
  <c r="S22" i="11"/>
  <c r="T22" i="11"/>
  <c r="W22" i="11"/>
  <c r="X22" i="11"/>
  <c r="Y22" i="11"/>
  <c r="Z22" i="11"/>
  <c r="AA22" i="11"/>
  <c r="AB22" i="11"/>
  <c r="J23" i="11"/>
  <c r="O23" i="11"/>
  <c r="P23" i="11"/>
  <c r="Q23" i="11"/>
  <c r="R23" i="11"/>
  <c r="S23" i="11"/>
  <c r="T23" i="11"/>
  <c r="W23" i="11"/>
  <c r="X23" i="11"/>
  <c r="Y23" i="11"/>
  <c r="Z23" i="11"/>
  <c r="AA23" i="11"/>
  <c r="AB23" i="11"/>
  <c r="J24" i="11"/>
  <c r="O24" i="11"/>
  <c r="P24" i="11"/>
  <c r="Q24" i="11"/>
  <c r="R24" i="11"/>
  <c r="S24" i="11"/>
  <c r="T24" i="11"/>
  <c r="W24" i="11"/>
  <c r="X24" i="11"/>
  <c r="Y24" i="11"/>
  <c r="Z24" i="11"/>
  <c r="AA24" i="11"/>
  <c r="AB24" i="11"/>
  <c r="J25" i="11"/>
  <c r="O25" i="11"/>
  <c r="P25" i="11"/>
  <c r="Q25" i="11"/>
  <c r="R25" i="11"/>
  <c r="S25" i="11"/>
  <c r="T25" i="11"/>
  <c r="W25" i="11"/>
  <c r="X25" i="11"/>
  <c r="Y25" i="11"/>
  <c r="Z25" i="11"/>
  <c r="AA25" i="11"/>
  <c r="AB25" i="11"/>
  <c r="J26" i="11"/>
  <c r="O26" i="11"/>
  <c r="P26" i="11"/>
  <c r="Q26" i="11"/>
  <c r="R26" i="11"/>
  <c r="S26" i="11"/>
  <c r="T26" i="11"/>
  <c r="X26" i="11"/>
  <c r="Y26" i="11"/>
  <c r="Z26" i="11"/>
  <c r="AA26" i="11"/>
  <c r="AB26" i="11"/>
  <c r="J27" i="11"/>
  <c r="O27" i="11"/>
  <c r="P27" i="11"/>
  <c r="Q27" i="11"/>
  <c r="R27" i="11"/>
  <c r="S27" i="11"/>
  <c r="T27" i="11"/>
  <c r="W27" i="11"/>
  <c r="X27" i="11"/>
  <c r="Y27" i="11"/>
  <c r="Z27" i="11"/>
  <c r="AA27" i="11"/>
  <c r="AB27" i="11"/>
  <c r="J28" i="11"/>
  <c r="O28" i="11"/>
  <c r="P28" i="11"/>
  <c r="Q28" i="11"/>
  <c r="R28" i="11"/>
  <c r="S28" i="11"/>
  <c r="T28" i="11"/>
  <c r="W28" i="11"/>
  <c r="X28" i="11"/>
  <c r="Y28" i="11"/>
  <c r="Z28" i="11"/>
  <c r="AA28" i="11"/>
  <c r="AB28" i="11"/>
  <c r="J29" i="11"/>
  <c r="O29" i="11"/>
  <c r="P29" i="11"/>
  <c r="Q29" i="11"/>
  <c r="R29" i="11"/>
  <c r="S29" i="11"/>
  <c r="T29" i="11"/>
  <c r="W29" i="11"/>
  <c r="X29" i="11"/>
  <c r="Y29" i="11"/>
  <c r="Z29" i="11"/>
  <c r="AA29" i="11"/>
  <c r="AB29" i="11"/>
  <c r="J30" i="11"/>
  <c r="O30" i="11"/>
  <c r="P30" i="11"/>
  <c r="Q30" i="11"/>
  <c r="R30" i="11"/>
  <c r="S30" i="11"/>
  <c r="T30" i="11"/>
  <c r="W30" i="11"/>
  <c r="X30" i="11"/>
  <c r="Y30" i="11"/>
  <c r="Z30" i="11"/>
  <c r="AA30" i="11"/>
  <c r="AB30" i="11"/>
  <c r="J31" i="11"/>
  <c r="O31" i="11"/>
  <c r="P31" i="11"/>
  <c r="Q31" i="11"/>
  <c r="R31" i="11"/>
  <c r="S31" i="11"/>
  <c r="T31" i="11"/>
  <c r="W31" i="11"/>
  <c r="X31" i="11"/>
  <c r="Y31" i="11"/>
  <c r="Z31" i="11"/>
  <c r="AA31" i="11"/>
  <c r="AB31" i="11"/>
  <c r="J32" i="11"/>
  <c r="O32" i="11"/>
  <c r="P32" i="11"/>
  <c r="Q32" i="11"/>
  <c r="R32" i="11"/>
  <c r="S32" i="11"/>
  <c r="T32" i="11"/>
  <c r="W32" i="11"/>
  <c r="X32" i="11"/>
  <c r="Y32" i="11"/>
  <c r="Z32" i="11"/>
  <c r="AA32" i="11"/>
  <c r="AB32" i="11"/>
  <c r="J33" i="11"/>
  <c r="O33" i="11"/>
  <c r="P33" i="11"/>
  <c r="Q33" i="11"/>
  <c r="R33" i="11"/>
  <c r="S33" i="11"/>
  <c r="T33" i="11"/>
  <c r="W33" i="11"/>
  <c r="X33" i="11"/>
  <c r="Y33" i="11"/>
  <c r="Z33" i="11"/>
  <c r="AA33" i="11"/>
  <c r="AB33" i="11"/>
  <c r="J34" i="11"/>
  <c r="O34" i="11"/>
  <c r="P34" i="11"/>
  <c r="Q34" i="11"/>
  <c r="R34" i="11"/>
  <c r="S34" i="11"/>
  <c r="T34" i="11"/>
  <c r="W34" i="11"/>
  <c r="X34" i="11"/>
  <c r="Y34" i="11"/>
  <c r="Z34" i="11"/>
  <c r="AA34" i="11"/>
  <c r="AB34" i="11"/>
  <c r="J35" i="11"/>
  <c r="O35" i="11"/>
  <c r="P35" i="11"/>
  <c r="Q35" i="11"/>
  <c r="R35" i="11"/>
  <c r="S35" i="11"/>
  <c r="T35" i="11"/>
  <c r="W35" i="11"/>
  <c r="X35" i="11"/>
  <c r="Y35" i="11"/>
  <c r="Z35" i="11"/>
  <c r="AA35" i="11"/>
  <c r="AB35" i="11"/>
  <c r="J36" i="11"/>
  <c r="O36" i="11"/>
  <c r="P36" i="11"/>
  <c r="Q36" i="11"/>
  <c r="R36" i="11"/>
  <c r="S36" i="11"/>
  <c r="T36" i="11"/>
  <c r="W36" i="11"/>
  <c r="X36" i="11"/>
  <c r="Y36" i="11"/>
  <c r="Z36" i="11"/>
  <c r="AA36" i="11"/>
  <c r="AB36" i="11"/>
  <c r="J37" i="11"/>
  <c r="O37" i="11"/>
  <c r="P37" i="11"/>
  <c r="Q37" i="11"/>
  <c r="R37" i="11"/>
  <c r="S37" i="11"/>
  <c r="T37" i="11"/>
  <c r="W37" i="11"/>
  <c r="X37" i="11"/>
  <c r="Y37" i="11"/>
  <c r="Z37" i="11"/>
  <c r="AA37" i="11"/>
  <c r="AB37" i="11"/>
  <c r="J38" i="11"/>
  <c r="O38" i="11"/>
  <c r="P38" i="11"/>
  <c r="Q38" i="11"/>
  <c r="R38" i="11"/>
  <c r="S38" i="11"/>
  <c r="T38" i="11"/>
  <c r="W38" i="11"/>
  <c r="X38" i="11"/>
  <c r="Y38" i="11"/>
  <c r="Z38" i="11"/>
  <c r="AA38" i="11"/>
  <c r="AB38" i="11"/>
  <c r="J39" i="11"/>
  <c r="O39" i="11"/>
  <c r="P39" i="11"/>
  <c r="Q39" i="11"/>
  <c r="R39" i="11"/>
  <c r="S39" i="11"/>
  <c r="T39" i="11"/>
  <c r="W39" i="11"/>
  <c r="X39" i="11"/>
  <c r="Y39" i="11"/>
  <c r="Z39" i="11"/>
  <c r="AA39" i="11"/>
  <c r="AB39" i="11"/>
  <c r="J40" i="11"/>
  <c r="O40" i="11"/>
  <c r="P40" i="11"/>
  <c r="Q40" i="11"/>
  <c r="R40" i="11"/>
  <c r="S40" i="11"/>
  <c r="T40" i="11"/>
  <c r="W40" i="11"/>
  <c r="X40" i="11"/>
  <c r="Y40" i="11"/>
  <c r="Z40" i="11"/>
  <c r="AA40" i="11"/>
  <c r="AB40" i="11"/>
  <c r="J41" i="11"/>
  <c r="O41" i="11"/>
  <c r="P41" i="11"/>
  <c r="Q41" i="11"/>
  <c r="R41" i="11"/>
  <c r="S41" i="11"/>
  <c r="T41" i="11"/>
  <c r="W41" i="11"/>
  <c r="X41" i="11"/>
  <c r="Y41" i="11"/>
  <c r="Z41" i="11"/>
  <c r="AA41" i="11"/>
  <c r="AB41" i="11"/>
  <c r="J42" i="11"/>
  <c r="O42" i="11"/>
  <c r="P42" i="11"/>
  <c r="Q42" i="11"/>
  <c r="R42" i="11"/>
  <c r="S42" i="11"/>
  <c r="T42" i="11"/>
  <c r="W42" i="11"/>
  <c r="X42" i="11"/>
  <c r="Y42" i="11"/>
  <c r="Z42" i="11"/>
  <c r="AA42" i="11"/>
  <c r="AB42" i="11"/>
  <c r="J43" i="11"/>
  <c r="O43" i="11"/>
  <c r="P43" i="11"/>
  <c r="Q43" i="11"/>
  <c r="R43" i="11"/>
  <c r="S43" i="11"/>
  <c r="T43" i="11"/>
  <c r="W43" i="11"/>
  <c r="X43" i="11"/>
  <c r="Y43" i="11"/>
  <c r="Z43" i="11"/>
  <c r="AA43" i="11"/>
  <c r="AB43" i="11"/>
  <c r="J44" i="11"/>
  <c r="O44" i="11"/>
  <c r="P44" i="11"/>
  <c r="Q44" i="11"/>
  <c r="R44" i="11"/>
  <c r="S44" i="11"/>
  <c r="T44" i="11"/>
  <c r="W44" i="11"/>
  <c r="X44" i="11"/>
  <c r="Y44" i="11"/>
  <c r="Z44" i="11"/>
  <c r="AA44" i="11"/>
  <c r="AB44" i="11"/>
  <c r="J45" i="11"/>
  <c r="O45" i="11"/>
  <c r="P45" i="11"/>
  <c r="Q45" i="11"/>
  <c r="R45" i="11"/>
  <c r="S45" i="11"/>
  <c r="T45" i="11"/>
  <c r="W45" i="11"/>
  <c r="X45" i="11"/>
  <c r="Y45" i="11"/>
  <c r="Z45" i="11"/>
  <c r="AA45" i="11"/>
  <c r="AB45" i="11"/>
  <c r="O46" i="11"/>
  <c r="P46" i="11"/>
  <c r="Q46" i="11"/>
  <c r="R46" i="11"/>
  <c r="S46" i="11"/>
  <c r="T46" i="11"/>
  <c r="W46" i="11"/>
  <c r="W62" i="11" s="1"/>
  <c r="C2" i="10" s="1"/>
  <c r="X46" i="11"/>
  <c r="Y46" i="11"/>
  <c r="Z46" i="11"/>
  <c r="AA46" i="11"/>
  <c r="AB46" i="11"/>
  <c r="O47" i="11"/>
  <c r="P47" i="11"/>
  <c r="Q47" i="11"/>
  <c r="R47" i="11"/>
  <c r="S47" i="11"/>
  <c r="T47" i="11"/>
  <c r="W47" i="11"/>
  <c r="X47" i="11"/>
  <c r="Y47" i="11"/>
  <c r="Z47" i="11"/>
  <c r="AA47" i="11"/>
  <c r="AB47" i="11"/>
  <c r="O48" i="11"/>
  <c r="P48" i="11"/>
  <c r="Q48" i="11"/>
  <c r="R48" i="11"/>
  <c r="S48" i="11"/>
  <c r="T48" i="11"/>
  <c r="W48" i="11"/>
  <c r="X48" i="11"/>
  <c r="Y48" i="11"/>
  <c r="Z48" i="11"/>
  <c r="AA48" i="11"/>
  <c r="AB48" i="11"/>
  <c r="O49" i="11"/>
  <c r="P49" i="11"/>
  <c r="Q49" i="11"/>
  <c r="R49" i="11"/>
  <c r="S49" i="11"/>
  <c r="T49" i="11"/>
  <c r="W49" i="11"/>
  <c r="X49" i="11"/>
  <c r="Y49" i="11"/>
  <c r="Z49" i="11"/>
  <c r="AA49" i="11"/>
  <c r="AB49" i="11"/>
  <c r="O50" i="11"/>
  <c r="P50" i="11"/>
  <c r="Q50" i="11"/>
  <c r="R50" i="11"/>
  <c r="S50" i="11"/>
  <c r="T50" i="11"/>
  <c r="W50" i="11"/>
  <c r="X50" i="11"/>
  <c r="Y50" i="11"/>
  <c r="Z50" i="11"/>
  <c r="AA50" i="11"/>
  <c r="AB50" i="11"/>
  <c r="O51" i="11"/>
  <c r="P51" i="11"/>
  <c r="Q51" i="11"/>
  <c r="R51" i="11"/>
  <c r="S51" i="11"/>
  <c r="T51" i="11"/>
  <c r="W51" i="11"/>
  <c r="X51" i="11"/>
  <c r="Y51" i="11"/>
  <c r="Z51" i="11"/>
  <c r="AA51" i="11"/>
  <c r="AB51" i="11"/>
  <c r="O52" i="11"/>
  <c r="P52" i="11"/>
  <c r="Q52" i="11"/>
  <c r="R52" i="11"/>
  <c r="S52" i="11"/>
  <c r="T52" i="11"/>
  <c r="W52" i="11"/>
  <c r="X52" i="11"/>
  <c r="Y52" i="11"/>
  <c r="Z52" i="11"/>
  <c r="AA52" i="11"/>
  <c r="AB52" i="11"/>
  <c r="O53" i="11"/>
  <c r="P53" i="11"/>
  <c r="Q53" i="11"/>
  <c r="R53" i="11"/>
  <c r="S53" i="11"/>
  <c r="T53" i="11"/>
  <c r="W53" i="11"/>
  <c r="X53" i="11"/>
  <c r="Y53" i="11"/>
  <c r="Z53" i="11"/>
  <c r="AA53" i="11"/>
  <c r="AB53" i="11"/>
  <c r="O54" i="11"/>
  <c r="P54" i="11"/>
  <c r="Q54" i="11"/>
  <c r="R54" i="11"/>
  <c r="S54" i="11"/>
  <c r="T54" i="11"/>
  <c r="W54" i="11"/>
  <c r="X54" i="11"/>
  <c r="Y54" i="11"/>
  <c r="Z54" i="11"/>
  <c r="AA54" i="11"/>
  <c r="AB54" i="11"/>
  <c r="O55" i="11"/>
  <c r="P55" i="11"/>
  <c r="Q55" i="11"/>
  <c r="R55" i="11"/>
  <c r="S55" i="11"/>
  <c r="T55" i="11"/>
  <c r="W55" i="11"/>
  <c r="X55" i="11"/>
  <c r="Y55" i="11"/>
  <c r="Z55" i="11"/>
  <c r="AA55" i="11"/>
  <c r="AB55" i="11"/>
  <c r="O56" i="11"/>
  <c r="P56" i="11"/>
  <c r="Q56" i="11"/>
  <c r="R56" i="11"/>
  <c r="S56" i="11"/>
  <c r="T56" i="11"/>
  <c r="W56" i="11"/>
  <c r="X56" i="11"/>
  <c r="Y56" i="11"/>
  <c r="Z56" i="11"/>
  <c r="AA56" i="11"/>
  <c r="AB56" i="11"/>
  <c r="O57" i="11"/>
  <c r="P57" i="11"/>
  <c r="Q57" i="11"/>
  <c r="R57" i="11"/>
  <c r="S57" i="11"/>
  <c r="T57" i="11"/>
  <c r="W57" i="11"/>
  <c r="X57" i="11"/>
  <c r="Y57" i="11"/>
  <c r="Z57" i="11"/>
  <c r="AA57" i="11"/>
  <c r="AB57" i="11"/>
  <c r="O58" i="11"/>
  <c r="P58" i="11"/>
  <c r="Q58" i="11"/>
  <c r="R58" i="11"/>
  <c r="S58" i="11"/>
  <c r="T58" i="11"/>
  <c r="W58" i="11"/>
  <c r="X58" i="11"/>
  <c r="Y58" i="11"/>
  <c r="Z58" i="11"/>
  <c r="AA58" i="11"/>
  <c r="AB58" i="11"/>
  <c r="O59" i="11"/>
  <c r="P59" i="11"/>
  <c r="Q59" i="11"/>
  <c r="R59" i="11"/>
  <c r="S59" i="11"/>
  <c r="T59" i="11"/>
  <c r="W59" i="11"/>
  <c r="X59" i="11"/>
  <c r="Y59" i="11"/>
  <c r="Z59" i="11"/>
  <c r="AA59" i="11"/>
  <c r="AB59" i="11"/>
  <c r="O60" i="11"/>
  <c r="P60" i="11"/>
  <c r="Q60" i="11"/>
  <c r="R60" i="11"/>
  <c r="S60" i="11"/>
  <c r="T60" i="11"/>
  <c r="W60" i="11"/>
  <c r="X60" i="11"/>
  <c r="Y60" i="11"/>
  <c r="Z60" i="11"/>
  <c r="AA60" i="11"/>
  <c r="AB60" i="11"/>
  <c r="O61" i="11"/>
  <c r="P61" i="11"/>
  <c r="Q61" i="11"/>
  <c r="R61" i="11"/>
  <c r="S61" i="11"/>
  <c r="T61" i="11"/>
  <c r="W61" i="11"/>
  <c r="X61" i="11"/>
  <c r="Y61" i="11"/>
  <c r="Z61" i="11"/>
  <c r="AA61" i="11"/>
  <c r="AB61" i="11"/>
  <c r="B4" i="10"/>
  <c r="C13" i="10"/>
  <c r="D13" i="10"/>
  <c r="E13" i="10"/>
  <c r="F13" i="10"/>
  <c r="G13" i="10"/>
  <c r="H13" i="10"/>
  <c r="C14" i="10"/>
  <c r="D14" i="10"/>
  <c r="E14" i="10"/>
  <c r="F14" i="10"/>
  <c r="G14" i="10"/>
  <c r="H14" i="10"/>
  <c r="C15" i="10"/>
  <c r="D15" i="10"/>
  <c r="E15" i="10"/>
  <c r="F15" i="10"/>
  <c r="G15" i="10"/>
  <c r="H15" i="10"/>
  <c r="C24" i="10"/>
  <c r="D24" i="10"/>
  <c r="E24" i="10"/>
  <c r="F24" i="10"/>
  <c r="G24" i="10"/>
  <c r="H24" i="10"/>
  <c r="C25" i="10"/>
  <c r="D25" i="10"/>
  <c r="E25" i="10"/>
  <c r="F25" i="10"/>
  <c r="G25" i="10"/>
  <c r="H25" i="10"/>
  <c r="C26" i="10"/>
  <c r="D26" i="10"/>
  <c r="E26" i="10"/>
  <c r="F26" i="10"/>
  <c r="G26" i="10"/>
  <c r="H26" i="10"/>
  <c r="C27" i="10"/>
  <c r="D27" i="10"/>
  <c r="E27" i="10"/>
  <c r="F27" i="10"/>
  <c r="G27" i="10"/>
  <c r="H27" i="10"/>
  <c r="C33" i="10"/>
  <c r="D33" i="10"/>
  <c r="E33" i="10"/>
  <c r="F33" i="10"/>
  <c r="G33" i="10"/>
  <c r="H33" i="10"/>
  <c r="C34" i="10"/>
  <c r="D34" i="10"/>
  <c r="E34" i="10"/>
  <c r="F34" i="10"/>
  <c r="G34" i="10"/>
  <c r="H34" i="10"/>
  <c r="C41" i="10"/>
  <c r="D41" i="10"/>
  <c r="E41" i="10"/>
  <c r="F41" i="10"/>
  <c r="G41" i="10"/>
  <c r="H41" i="10"/>
  <c r="C44" i="10"/>
  <c r="D44" i="10"/>
  <c r="E44" i="10"/>
  <c r="F44" i="10"/>
  <c r="G44" i="10"/>
  <c r="H44" i="10"/>
  <c r="C45" i="10"/>
  <c r="D45" i="10"/>
  <c r="E45" i="10"/>
  <c r="F45" i="10"/>
  <c r="G45" i="10"/>
  <c r="H45" i="10"/>
  <c r="C46" i="10"/>
  <c r="D46" i="10"/>
  <c r="E46" i="10"/>
  <c r="F46" i="10"/>
  <c r="G46" i="10"/>
  <c r="H46" i="10"/>
  <c r="C47" i="10"/>
  <c r="D47" i="10"/>
  <c r="E47" i="10"/>
  <c r="F47" i="10"/>
  <c r="G47" i="10"/>
  <c r="H47" i="10"/>
  <c r="AC25" i="12" l="1"/>
  <c r="H4" i="10" s="1"/>
  <c r="AB25" i="12"/>
  <c r="G4" i="10" s="1"/>
  <c r="Y25" i="12"/>
  <c r="D4" i="10" s="1"/>
  <c r="AA25" i="12"/>
  <c r="F4" i="10" s="1"/>
  <c r="X25" i="12"/>
  <c r="C4" i="10" s="1"/>
  <c r="C7" i="10" s="1"/>
  <c r="X62" i="11"/>
  <c r="D2" i="10" s="1"/>
  <c r="D7" i="10" s="1"/>
  <c r="AA62" i="11"/>
  <c r="G2" i="10" s="1"/>
  <c r="G7" i="10" s="1"/>
  <c r="Z62" i="11"/>
  <c r="F2" i="10" s="1"/>
  <c r="F7" i="10" s="1"/>
  <c r="AB62" i="11"/>
  <c r="H2" i="10" s="1"/>
  <c r="H7" i="10" s="1"/>
  <c r="Y62" i="11"/>
  <c r="E2" i="10" s="1"/>
  <c r="Q25" i="12"/>
  <c r="J62" i="11"/>
  <c r="S25" i="12"/>
  <c r="P25" i="12"/>
  <c r="U25" i="12"/>
  <c r="R25" i="12"/>
  <c r="J25" i="12"/>
  <c r="T25" i="12"/>
  <c r="Q62" i="11"/>
  <c r="F62" i="11" s="1"/>
  <c r="S62" i="11"/>
  <c r="H62" i="11" s="1"/>
  <c r="P62" i="11"/>
  <c r="E62" i="11" s="1"/>
  <c r="R62" i="11"/>
  <c r="G62" i="11" s="1"/>
  <c r="O62" i="11"/>
  <c r="D62" i="11" s="1"/>
  <c r="T62" i="11"/>
  <c r="I62" i="11" s="1"/>
  <c r="AD25" i="12"/>
  <c r="E7" i="10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I2" i="8"/>
  <c r="B2" i="8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5" i="7"/>
  <c r="G45" i="7"/>
  <c r="F45" i="7"/>
  <c r="E45" i="7"/>
  <c r="D45" i="7"/>
  <c r="C45" i="7"/>
  <c r="B45" i="7"/>
  <c r="H44" i="7"/>
  <c r="G44" i="7"/>
  <c r="F44" i="7"/>
  <c r="E44" i="7"/>
  <c r="D44" i="7"/>
  <c r="C44" i="7"/>
  <c r="B44" i="7"/>
  <c r="H43" i="7"/>
  <c r="G43" i="7"/>
  <c r="F43" i="7"/>
  <c r="E43" i="7"/>
  <c r="D43" i="7"/>
  <c r="C43" i="7"/>
  <c r="B43" i="7"/>
  <c r="H42" i="7"/>
  <c r="G42" i="7"/>
  <c r="F42" i="7"/>
  <c r="E42" i="7"/>
  <c r="D42" i="7"/>
  <c r="C42" i="7"/>
  <c r="B42" i="7"/>
  <c r="H41" i="7"/>
  <c r="G41" i="7"/>
  <c r="F41" i="7"/>
  <c r="E41" i="7"/>
  <c r="D41" i="7"/>
  <c r="C41" i="7"/>
  <c r="B41" i="7"/>
  <c r="H40" i="7"/>
  <c r="G40" i="7"/>
  <c r="F40" i="7"/>
  <c r="E40" i="7"/>
  <c r="D40" i="7"/>
  <c r="C40" i="7"/>
  <c r="B40" i="7"/>
  <c r="H39" i="7"/>
  <c r="G39" i="7"/>
  <c r="F39" i="7"/>
  <c r="E39" i="7"/>
  <c r="D39" i="7"/>
  <c r="C39" i="7"/>
  <c r="B39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6" i="7"/>
  <c r="G6" i="7"/>
  <c r="F6" i="7"/>
  <c r="E6" i="7"/>
  <c r="D6" i="7"/>
  <c r="C6" i="7"/>
  <c r="B6" i="7"/>
  <c r="H5" i="7"/>
  <c r="G5" i="7"/>
  <c r="F5" i="7"/>
  <c r="E5" i="7"/>
  <c r="D5" i="7"/>
  <c r="C5" i="7"/>
  <c r="B5" i="7"/>
  <c r="I2" i="7"/>
  <c r="B2" i="7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5" i="6"/>
  <c r="G45" i="6"/>
  <c r="F45" i="6"/>
  <c r="E45" i="6"/>
  <c r="D45" i="6"/>
  <c r="C45" i="6"/>
  <c r="B45" i="6"/>
  <c r="H44" i="6"/>
  <c r="G44" i="6"/>
  <c r="F44" i="6"/>
  <c r="E44" i="6"/>
  <c r="D44" i="6"/>
  <c r="C44" i="6"/>
  <c r="B44" i="6"/>
  <c r="H43" i="6"/>
  <c r="G43" i="6"/>
  <c r="F43" i="6"/>
  <c r="E43" i="6"/>
  <c r="D43" i="6"/>
  <c r="C43" i="6"/>
  <c r="B43" i="6"/>
  <c r="H42" i="6"/>
  <c r="G42" i="6"/>
  <c r="F42" i="6"/>
  <c r="E42" i="6"/>
  <c r="D42" i="6"/>
  <c r="C42" i="6"/>
  <c r="B42" i="6"/>
  <c r="H41" i="6"/>
  <c r="G41" i="6"/>
  <c r="F41" i="6"/>
  <c r="E41" i="6"/>
  <c r="D41" i="6"/>
  <c r="C41" i="6"/>
  <c r="B41" i="6"/>
  <c r="H40" i="6"/>
  <c r="G40" i="6"/>
  <c r="F40" i="6"/>
  <c r="E40" i="6"/>
  <c r="D40" i="6"/>
  <c r="C40" i="6"/>
  <c r="B40" i="6"/>
  <c r="H39" i="6"/>
  <c r="G39" i="6"/>
  <c r="F39" i="6"/>
  <c r="E39" i="6"/>
  <c r="D39" i="6"/>
  <c r="C39" i="6"/>
  <c r="B39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C6" i="6"/>
  <c r="B6" i="6"/>
  <c r="H5" i="6"/>
  <c r="G5" i="6"/>
  <c r="F5" i="6"/>
  <c r="E5" i="6"/>
  <c r="D5" i="6"/>
  <c r="C5" i="6"/>
  <c r="B5" i="6"/>
  <c r="I2" i="6"/>
  <c r="B2" i="6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H7" i="5"/>
  <c r="G7" i="5"/>
  <c r="F7" i="5"/>
  <c r="E7" i="5"/>
  <c r="D7" i="5"/>
  <c r="C7" i="5"/>
  <c r="B7" i="5"/>
  <c r="H6" i="5"/>
  <c r="C6" i="5"/>
  <c r="B6" i="5"/>
  <c r="H5" i="5"/>
  <c r="G5" i="5"/>
  <c r="F5" i="5"/>
  <c r="E5" i="5"/>
  <c r="D5" i="5"/>
  <c r="C5" i="5"/>
  <c r="B5" i="5"/>
  <c r="I2" i="5"/>
  <c r="B2" i="5"/>
  <c r="H52" i="4"/>
  <c r="G52" i="4"/>
  <c r="F52" i="4"/>
  <c r="E52" i="4"/>
  <c r="D52" i="4"/>
  <c r="C52" i="4"/>
  <c r="B52" i="4"/>
  <c r="H51" i="4"/>
  <c r="G51" i="4"/>
  <c r="F51" i="4"/>
  <c r="E51" i="4"/>
  <c r="D51" i="4"/>
  <c r="C51" i="4"/>
  <c r="B51" i="4"/>
  <c r="H50" i="4"/>
  <c r="G50" i="4"/>
  <c r="F50" i="4"/>
  <c r="E50" i="4"/>
  <c r="D50" i="4"/>
  <c r="C50" i="4"/>
  <c r="B50" i="4"/>
  <c r="H49" i="4"/>
  <c r="G49" i="4"/>
  <c r="F49" i="4"/>
  <c r="E49" i="4"/>
  <c r="D49" i="4"/>
  <c r="C49" i="4"/>
  <c r="B49" i="4"/>
  <c r="H48" i="4"/>
  <c r="G48" i="4"/>
  <c r="F48" i="4"/>
  <c r="E48" i="4"/>
  <c r="D48" i="4"/>
  <c r="C48" i="4"/>
  <c r="B48" i="4"/>
  <c r="H47" i="4"/>
  <c r="G47" i="4"/>
  <c r="F47" i="4"/>
  <c r="E47" i="4"/>
  <c r="D47" i="4"/>
  <c r="C47" i="4"/>
  <c r="B47" i="4"/>
  <c r="H46" i="4"/>
  <c r="G46" i="4"/>
  <c r="F46" i="4"/>
  <c r="E46" i="4"/>
  <c r="D46" i="4"/>
  <c r="C46" i="4"/>
  <c r="B46" i="4"/>
  <c r="H45" i="4"/>
  <c r="G45" i="4"/>
  <c r="F45" i="4"/>
  <c r="E45" i="4"/>
  <c r="D45" i="4"/>
  <c r="C45" i="4"/>
  <c r="B45" i="4"/>
  <c r="H44" i="4"/>
  <c r="G44" i="4"/>
  <c r="F44" i="4"/>
  <c r="E44" i="4"/>
  <c r="D44" i="4"/>
  <c r="C44" i="4"/>
  <c r="B44" i="4"/>
  <c r="H43" i="4"/>
  <c r="G43" i="4"/>
  <c r="F43" i="4"/>
  <c r="E43" i="4"/>
  <c r="D43" i="4"/>
  <c r="C43" i="4"/>
  <c r="B43" i="4"/>
  <c r="H42" i="4"/>
  <c r="G42" i="4"/>
  <c r="F42" i="4"/>
  <c r="E42" i="4"/>
  <c r="D42" i="4"/>
  <c r="C42" i="4"/>
  <c r="B42" i="4"/>
  <c r="H41" i="4"/>
  <c r="G41" i="4"/>
  <c r="F41" i="4"/>
  <c r="E41" i="4"/>
  <c r="D41" i="4"/>
  <c r="C41" i="4"/>
  <c r="B41" i="4"/>
  <c r="H40" i="4"/>
  <c r="G40" i="4"/>
  <c r="F40" i="4"/>
  <c r="E40" i="4"/>
  <c r="D40" i="4"/>
  <c r="C40" i="4"/>
  <c r="B40" i="4"/>
  <c r="H39" i="4"/>
  <c r="G39" i="4"/>
  <c r="F39" i="4"/>
  <c r="E39" i="4"/>
  <c r="D39" i="4"/>
  <c r="C39" i="4"/>
  <c r="B39" i="4"/>
  <c r="H38" i="4"/>
  <c r="G38" i="4"/>
  <c r="F38" i="4"/>
  <c r="E38" i="4"/>
  <c r="D38" i="4"/>
  <c r="C38" i="4"/>
  <c r="B38" i="4"/>
  <c r="H37" i="4"/>
  <c r="G37" i="4"/>
  <c r="F37" i="4"/>
  <c r="E37" i="4"/>
  <c r="D37" i="4"/>
  <c r="C37" i="4"/>
  <c r="B37" i="4"/>
  <c r="H36" i="4"/>
  <c r="G36" i="4"/>
  <c r="F36" i="4"/>
  <c r="E36" i="4"/>
  <c r="D36" i="4"/>
  <c r="C36" i="4"/>
  <c r="B36" i="4"/>
  <c r="H35" i="4"/>
  <c r="G35" i="4"/>
  <c r="F35" i="4"/>
  <c r="E35" i="4"/>
  <c r="D35" i="4"/>
  <c r="C35" i="4"/>
  <c r="B35" i="4"/>
  <c r="H34" i="4"/>
  <c r="G34" i="4"/>
  <c r="F34" i="4"/>
  <c r="E34" i="4"/>
  <c r="D34" i="4"/>
  <c r="C34" i="4"/>
  <c r="B34" i="4"/>
  <c r="H33" i="4"/>
  <c r="G33" i="4"/>
  <c r="F33" i="4"/>
  <c r="E33" i="4"/>
  <c r="D33" i="4"/>
  <c r="C33" i="4"/>
  <c r="B33" i="4"/>
  <c r="H32" i="4"/>
  <c r="G32" i="4"/>
  <c r="F32" i="4"/>
  <c r="E32" i="4"/>
  <c r="D32" i="4"/>
  <c r="C32" i="4"/>
  <c r="B32" i="4"/>
  <c r="H31" i="4"/>
  <c r="G31" i="4"/>
  <c r="F31" i="4"/>
  <c r="E31" i="4"/>
  <c r="D31" i="4"/>
  <c r="C31" i="4"/>
  <c r="B31" i="4"/>
  <c r="H30" i="4"/>
  <c r="C30" i="4"/>
  <c r="B30" i="4"/>
  <c r="H29" i="4"/>
  <c r="G29" i="4"/>
  <c r="F29" i="4"/>
  <c r="E29" i="4"/>
  <c r="D29" i="4"/>
  <c r="C29" i="4"/>
  <c r="B29" i="4"/>
  <c r="H28" i="4"/>
  <c r="G28" i="4"/>
  <c r="F28" i="4"/>
  <c r="E28" i="4"/>
  <c r="D28" i="4"/>
  <c r="C28" i="4"/>
  <c r="B28" i="4"/>
  <c r="H27" i="4"/>
  <c r="C27" i="4"/>
  <c r="B27" i="4"/>
  <c r="H26" i="4"/>
  <c r="G26" i="4"/>
  <c r="F26" i="4"/>
  <c r="E26" i="4"/>
  <c r="D26" i="4"/>
  <c r="C26" i="4"/>
  <c r="B26" i="4"/>
  <c r="H25" i="4"/>
  <c r="G25" i="4"/>
  <c r="F25" i="4"/>
  <c r="E25" i="4"/>
  <c r="D25" i="4"/>
  <c r="C25" i="4"/>
  <c r="B25" i="4"/>
  <c r="H24" i="4"/>
  <c r="G24" i="4"/>
  <c r="F24" i="4"/>
  <c r="E24" i="4"/>
  <c r="D24" i="4"/>
  <c r="C24" i="4"/>
  <c r="B24" i="4"/>
  <c r="H23" i="4"/>
  <c r="G23" i="4"/>
  <c r="F23" i="4"/>
  <c r="E23" i="4"/>
  <c r="D23" i="4"/>
  <c r="C23" i="4"/>
  <c r="B23" i="4"/>
  <c r="H22" i="4"/>
  <c r="G22" i="4"/>
  <c r="F22" i="4"/>
  <c r="E22" i="4"/>
  <c r="D22" i="4"/>
  <c r="C22" i="4"/>
  <c r="B22" i="4"/>
  <c r="H21" i="4"/>
  <c r="G21" i="4"/>
  <c r="F21" i="4"/>
  <c r="E21" i="4"/>
  <c r="D21" i="4"/>
  <c r="C21" i="4"/>
  <c r="B21" i="4"/>
  <c r="H20" i="4"/>
  <c r="G20" i="4"/>
  <c r="F20" i="4"/>
  <c r="E20" i="4"/>
  <c r="D20" i="4"/>
  <c r="C20" i="4"/>
  <c r="B20" i="4"/>
  <c r="H19" i="4"/>
  <c r="G19" i="4"/>
  <c r="F19" i="4"/>
  <c r="E19" i="4"/>
  <c r="D19" i="4"/>
  <c r="C19" i="4"/>
  <c r="B19" i="4"/>
  <c r="H18" i="4"/>
  <c r="G18" i="4"/>
  <c r="F18" i="4"/>
  <c r="E18" i="4"/>
  <c r="D18" i="4"/>
  <c r="C18" i="4"/>
  <c r="B18" i="4"/>
  <c r="H17" i="4"/>
  <c r="G17" i="4"/>
  <c r="F17" i="4"/>
  <c r="E17" i="4"/>
  <c r="D17" i="4"/>
  <c r="C17" i="4"/>
  <c r="B17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13" i="4"/>
  <c r="G13" i="4"/>
  <c r="F13" i="4"/>
  <c r="E13" i="4"/>
  <c r="D13" i="4"/>
  <c r="C13" i="4"/>
  <c r="B13" i="4"/>
  <c r="H12" i="4"/>
  <c r="G12" i="4"/>
  <c r="F12" i="4"/>
  <c r="E12" i="4"/>
  <c r="D12" i="4"/>
  <c r="C12" i="4"/>
  <c r="B12" i="4"/>
  <c r="H11" i="4"/>
  <c r="G11" i="4"/>
  <c r="F11" i="4"/>
  <c r="E11" i="4"/>
  <c r="D11" i="4"/>
  <c r="C11" i="4"/>
  <c r="B11" i="4"/>
  <c r="H10" i="4"/>
  <c r="G10" i="4"/>
  <c r="F10" i="4"/>
  <c r="E10" i="4"/>
  <c r="D10" i="4"/>
  <c r="C10" i="4"/>
  <c r="B10" i="4"/>
  <c r="H9" i="4"/>
  <c r="G9" i="4"/>
  <c r="F9" i="4"/>
  <c r="E9" i="4"/>
  <c r="D9" i="4"/>
  <c r="C9" i="4"/>
  <c r="B9" i="4"/>
  <c r="H8" i="4"/>
  <c r="G8" i="4"/>
  <c r="F8" i="4"/>
  <c r="E8" i="4"/>
  <c r="D8" i="4"/>
  <c r="C8" i="4"/>
  <c r="B8" i="4"/>
  <c r="H7" i="4"/>
  <c r="G7" i="4"/>
  <c r="F7" i="4"/>
  <c r="E7" i="4"/>
  <c r="D7" i="4"/>
  <c r="C7" i="4"/>
  <c r="B7" i="4"/>
  <c r="H6" i="4"/>
  <c r="C6" i="4"/>
  <c r="B6" i="4"/>
  <c r="H5" i="4"/>
  <c r="G5" i="4"/>
  <c r="F5" i="4"/>
  <c r="E5" i="4"/>
  <c r="D5" i="4"/>
  <c r="C5" i="4"/>
  <c r="B5" i="4"/>
  <c r="I2" i="4"/>
  <c r="B2" i="4"/>
  <c r="H52" i="3"/>
  <c r="G52" i="3"/>
  <c r="F52" i="3"/>
  <c r="E52" i="3"/>
  <c r="D52" i="3"/>
  <c r="C52" i="3"/>
  <c r="B52" i="3"/>
  <c r="H51" i="3"/>
  <c r="G51" i="3"/>
  <c r="F51" i="3"/>
  <c r="E51" i="3"/>
  <c r="D51" i="3"/>
  <c r="C51" i="3"/>
  <c r="B51" i="3"/>
  <c r="H50" i="3"/>
  <c r="G50" i="3"/>
  <c r="F50" i="3"/>
  <c r="E50" i="3"/>
  <c r="D50" i="3"/>
  <c r="C50" i="3"/>
  <c r="B50" i="3"/>
  <c r="H49" i="3"/>
  <c r="G49" i="3"/>
  <c r="F49" i="3"/>
  <c r="E49" i="3"/>
  <c r="D49" i="3"/>
  <c r="C49" i="3"/>
  <c r="B49" i="3"/>
  <c r="H48" i="3"/>
  <c r="G48" i="3"/>
  <c r="F48" i="3"/>
  <c r="E48" i="3"/>
  <c r="D48" i="3"/>
  <c r="C48" i="3"/>
  <c r="B48" i="3"/>
  <c r="H47" i="3"/>
  <c r="G47" i="3"/>
  <c r="F47" i="3"/>
  <c r="E47" i="3"/>
  <c r="D47" i="3"/>
  <c r="C47" i="3"/>
  <c r="B47" i="3"/>
  <c r="H46" i="3"/>
  <c r="G46" i="3"/>
  <c r="F46" i="3"/>
  <c r="E46" i="3"/>
  <c r="D46" i="3"/>
  <c r="C46" i="3"/>
  <c r="B46" i="3"/>
  <c r="H45" i="3"/>
  <c r="G45" i="3"/>
  <c r="F45" i="3"/>
  <c r="E45" i="3"/>
  <c r="D45" i="3"/>
  <c r="C45" i="3"/>
  <c r="B45" i="3"/>
  <c r="H44" i="3"/>
  <c r="G44" i="3"/>
  <c r="F44" i="3"/>
  <c r="E44" i="3"/>
  <c r="D44" i="3"/>
  <c r="C44" i="3"/>
  <c r="B44" i="3"/>
  <c r="H43" i="3"/>
  <c r="G43" i="3"/>
  <c r="F43" i="3"/>
  <c r="E43" i="3"/>
  <c r="D43" i="3"/>
  <c r="C43" i="3"/>
  <c r="B43" i="3"/>
  <c r="H42" i="3"/>
  <c r="G42" i="3"/>
  <c r="F42" i="3"/>
  <c r="E42" i="3"/>
  <c r="D42" i="3"/>
  <c r="C42" i="3"/>
  <c r="B42" i="3"/>
  <c r="H41" i="3"/>
  <c r="G41" i="3"/>
  <c r="F41" i="3"/>
  <c r="E41" i="3"/>
  <c r="D41" i="3"/>
  <c r="C41" i="3"/>
  <c r="B41" i="3"/>
  <c r="H40" i="3"/>
  <c r="G40" i="3"/>
  <c r="F40" i="3"/>
  <c r="E40" i="3"/>
  <c r="D40" i="3"/>
  <c r="C40" i="3"/>
  <c r="B40" i="3"/>
  <c r="H39" i="3"/>
  <c r="G39" i="3"/>
  <c r="F39" i="3"/>
  <c r="E39" i="3"/>
  <c r="D39" i="3"/>
  <c r="C39" i="3"/>
  <c r="B39" i="3"/>
  <c r="H38" i="3"/>
  <c r="G38" i="3"/>
  <c r="F38" i="3"/>
  <c r="E38" i="3"/>
  <c r="D38" i="3"/>
  <c r="C38" i="3"/>
  <c r="B38" i="3"/>
  <c r="H37" i="3"/>
  <c r="G37" i="3"/>
  <c r="F37" i="3"/>
  <c r="E37" i="3"/>
  <c r="D37" i="3"/>
  <c r="C37" i="3"/>
  <c r="B37" i="3"/>
  <c r="H36" i="3"/>
  <c r="G36" i="3"/>
  <c r="F36" i="3"/>
  <c r="E36" i="3"/>
  <c r="D36" i="3"/>
  <c r="C36" i="3"/>
  <c r="B36" i="3"/>
  <c r="H35" i="3"/>
  <c r="G35" i="3"/>
  <c r="F35" i="3"/>
  <c r="E35" i="3"/>
  <c r="D35" i="3"/>
  <c r="C35" i="3"/>
  <c r="B35" i="3"/>
  <c r="H34" i="3"/>
  <c r="G34" i="3"/>
  <c r="F34" i="3"/>
  <c r="E34" i="3"/>
  <c r="D34" i="3"/>
  <c r="C34" i="3"/>
  <c r="B34" i="3"/>
  <c r="H33" i="3"/>
  <c r="G33" i="3"/>
  <c r="F33" i="3"/>
  <c r="E33" i="3"/>
  <c r="D33" i="3"/>
  <c r="C33" i="3"/>
  <c r="B33" i="3"/>
  <c r="H32" i="3"/>
  <c r="G32" i="3"/>
  <c r="F32" i="3"/>
  <c r="E32" i="3"/>
  <c r="D32" i="3"/>
  <c r="C32" i="3"/>
  <c r="B32" i="3"/>
  <c r="H31" i="3"/>
  <c r="G31" i="3"/>
  <c r="F31" i="3"/>
  <c r="E31" i="3"/>
  <c r="D31" i="3"/>
  <c r="C31" i="3"/>
  <c r="B31" i="3"/>
  <c r="H30" i="3"/>
  <c r="C30" i="3"/>
  <c r="B30" i="3"/>
  <c r="H29" i="3"/>
  <c r="G29" i="3"/>
  <c r="F29" i="3"/>
  <c r="E29" i="3"/>
  <c r="D29" i="3"/>
  <c r="C29" i="3"/>
  <c r="B29" i="3"/>
  <c r="H28" i="3"/>
  <c r="G28" i="3"/>
  <c r="F28" i="3"/>
  <c r="E28" i="3"/>
  <c r="D28" i="3"/>
  <c r="C28" i="3"/>
  <c r="B28" i="3"/>
  <c r="H27" i="3"/>
  <c r="G27" i="3"/>
  <c r="F27" i="3"/>
  <c r="E27" i="3"/>
  <c r="D27" i="3"/>
  <c r="C27" i="3"/>
  <c r="B27" i="3"/>
  <c r="H26" i="3"/>
  <c r="G26" i="3"/>
  <c r="F26" i="3"/>
  <c r="E26" i="3"/>
  <c r="D26" i="3"/>
  <c r="C26" i="3"/>
  <c r="B26" i="3"/>
  <c r="H25" i="3"/>
  <c r="G25" i="3"/>
  <c r="F25" i="3"/>
  <c r="E25" i="3"/>
  <c r="D25" i="3"/>
  <c r="C25" i="3"/>
  <c r="B25" i="3"/>
  <c r="H24" i="3"/>
  <c r="G24" i="3"/>
  <c r="F24" i="3"/>
  <c r="E24" i="3"/>
  <c r="D24" i="3"/>
  <c r="C24" i="3"/>
  <c r="B24" i="3"/>
  <c r="H23" i="3"/>
  <c r="G23" i="3"/>
  <c r="F23" i="3"/>
  <c r="E23" i="3"/>
  <c r="D23" i="3"/>
  <c r="C23" i="3"/>
  <c r="B23" i="3"/>
  <c r="H22" i="3"/>
  <c r="G22" i="3"/>
  <c r="F22" i="3"/>
  <c r="E22" i="3"/>
  <c r="D22" i="3"/>
  <c r="C22" i="3"/>
  <c r="B22" i="3"/>
  <c r="H21" i="3"/>
  <c r="G21" i="3"/>
  <c r="F21" i="3"/>
  <c r="E21" i="3"/>
  <c r="D21" i="3"/>
  <c r="C21" i="3"/>
  <c r="B21" i="3"/>
  <c r="H20" i="3"/>
  <c r="G20" i="3"/>
  <c r="F20" i="3"/>
  <c r="E20" i="3"/>
  <c r="D20" i="3"/>
  <c r="C20" i="3"/>
  <c r="B20" i="3"/>
  <c r="H19" i="3"/>
  <c r="G19" i="3"/>
  <c r="F19" i="3"/>
  <c r="E19" i="3"/>
  <c r="D19" i="3"/>
  <c r="C19" i="3"/>
  <c r="B19" i="3"/>
  <c r="H18" i="3"/>
  <c r="G18" i="3"/>
  <c r="F18" i="3"/>
  <c r="E18" i="3"/>
  <c r="D18" i="3"/>
  <c r="C18" i="3"/>
  <c r="B18" i="3"/>
  <c r="H17" i="3"/>
  <c r="G17" i="3"/>
  <c r="F17" i="3"/>
  <c r="E17" i="3"/>
  <c r="D17" i="3"/>
  <c r="C17" i="3"/>
  <c r="B17" i="3"/>
  <c r="H16" i="3"/>
  <c r="G16" i="3"/>
  <c r="F16" i="3"/>
  <c r="E16" i="3"/>
  <c r="D16" i="3"/>
  <c r="C16" i="3"/>
  <c r="B16" i="3"/>
  <c r="H15" i="3"/>
  <c r="G15" i="3"/>
  <c r="F15" i="3"/>
  <c r="E15" i="3"/>
  <c r="D15" i="3"/>
  <c r="C15" i="3"/>
  <c r="B15" i="3"/>
  <c r="H14" i="3"/>
  <c r="G14" i="3"/>
  <c r="F14" i="3"/>
  <c r="E14" i="3"/>
  <c r="D14" i="3"/>
  <c r="C14" i="3"/>
  <c r="B14" i="3"/>
  <c r="H13" i="3"/>
  <c r="G13" i="3"/>
  <c r="F13" i="3"/>
  <c r="E13" i="3"/>
  <c r="D13" i="3"/>
  <c r="C13" i="3"/>
  <c r="B13" i="3"/>
  <c r="H12" i="3"/>
  <c r="G12" i="3"/>
  <c r="F12" i="3"/>
  <c r="E12" i="3"/>
  <c r="D12" i="3"/>
  <c r="C12" i="3"/>
  <c r="B12" i="3"/>
  <c r="H11" i="3"/>
  <c r="G11" i="3"/>
  <c r="F11" i="3"/>
  <c r="E11" i="3"/>
  <c r="D11" i="3"/>
  <c r="C11" i="3"/>
  <c r="B11" i="3"/>
  <c r="H10" i="3"/>
  <c r="G10" i="3"/>
  <c r="F10" i="3"/>
  <c r="E10" i="3"/>
  <c r="D10" i="3"/>
  <c r="C10" i="3"/>
  <c r="B10" i="3"/>
  <c r="H9" i="3"/>
  <c r="G9" i="3"/>
  <c r="F9" i="3"/>
  <c r="E9" i="3"/>
  <c r="D9" i="3"/>
  <c r="C9" i="3"/>
  <c r="B9" i="3"/>
  <c r="H8" i="3"/>
  <c r="G8" i="3"/>
  <c r="F8" i="3"/>
  <c r="E8" i="3"/>
  <c r="D8" i="3"/>
  <c r="C8" i="3"/>
  <c r="B8" i="3"/>
  <c r="H7" i="3"/>
  <c r="G7" i="3"/>
  <c r="F7" i="3"/>
  <c r="E7" i="3"/>
  <c r="D7" i="3"/>
  <c r="C7" i="3"/>
  <c r="B7" i="3"/>
  <c r="H6" i="3"/>
  <c r="C6" i="3"/>
  <c r="B6" i="3"/>
  <c r="H5" i="3"/>
  <c r="G5" i="3"/>
  <c r="F5" i="3"/>
  <c r="E5" i="3"/>
  <c r="D5" i="3"/>
  <c r="C5" i="3"/>
  <c r="B5" i="3"/>
  <c r="I2" i="3"/>
  <c r="B2" i="3"/>
  <c r="H52" i="2"/>
  <c r="G52" i="2"/>
  <c r="F52" i="2"/>
  <c r="E52" i="2"/>
  <c r="D52" i="2"/>
  <c r="C52" i="2"/>
  <c r="B52" i="2"/>
  <c r="H51" i="2"/>
  <c r="G51" i="2"/>
  <c r="F51" i="2"/>
  <c r="E51" i="2"/>
  <c r="D51" i="2"/>
  <c r="C51" i="2"/>
  <c r="B51" i="2"/>
  <c r="H50" i="2"/>
  <c r="G50" i="2"/>
  <c r="F50" i="2"/>
  <c r="E50" i="2"/>
  <c r="D50" i="2"/>
  <c r="C50" i="2"/>
  <c r="B50" i="2"/>
  <c r="H49" i="2"/>
  <c r="G49" i="2"/>
  <c r="F49" i="2"/>
  <c r="E49" i="2"/>
  <c r="D49" i="2"/>
  <c r="C49" i="2"/>
  <c r="B49" i="2"/>
  <c r="H48" i="2"/>
  <c r="G48" i="2"/>
  <c r="F48" i="2"/>
  <c r="E48" i="2"/>
  <c r="D48" i="2"/>
  <c r="C48" i="2"/>
  <c r="B48" i="2"/>
  <c r="H47" i="2"/>
  <c r="G47" i="2"/>
  <c r="F47" i="2"/>
  <c r="E47" i="2"/>
  <c r="D47" i="2"/>
  <c r="C47" i="2"/>
  <c r="B47" i="2"/>
  <c r="H46" i="2"/>
  <c r="G46" i="2"/>
  <c r="F46" i="2"/>
  <c r="E46" i="2"/>
  <c r="D46" i="2"/>
  <c r="C46" i="2"/>
  <c r="B46" i="2"/>
  <c r="H45" i="2"/>
  <c r="G45" i="2"/>
  <c r="F45" i="2"/>
  <c r="E45" i="2"/>
  <c r="D45" i="2"/>
  <c r="C45" i="2"/>
  <c r="B45" i="2"/>
  <c r="H44" i="2"/>
  <c r="G44" i="2"/>
  <c r="F44" i="2"/>
  <c r="E44" i="2"/>
  <c r="D44" i="2"/>
  <c r="C44" i="2"/>
  <c r="B44" i="2"/>
  <c r="H43" i="2"/>
  <c r="G43" i="2"/>
  <c r="F43" i="2"/>
  <c r="E43" i="2"/>
  <c r="D43" i="2"/>
  <c r="C43" i="2"/>
  <c r="B43" i="2"/>
  <c r="H42" i="2"/>
  <c r="G42" i="2"/>
  <c r="F42" i="2"/>
  <c r="E42" i="2"/>
  <c r="D42" i="2"/>
  <c r="C42" i="2"/>
  <c r="B42" i="2"/>
  <c r="H41" i="2"/>
  <c r="G41" i="2"/>
  <c r="F41" i="2"/>
  <c r="E41" i="2"/>
  <c r="D41" i="2"/>
  <c r="C41" i="2"/>
  <c r="B41" i="2"/>
  <c r="H40" i="2"/>
  <c r="G40" i="2"/>
  <c r="F40" i="2"/>
  <c r="E40" i="2"/>
  <c r="D40" i="2"/>
  <c r="C40" i="2"/>
  <c r="B40" i="2"/>
  <c r="H39" i="2"/>
  <c r="G39" i="2"/>
  <c r="F39" i="2"/>
  <c r="E39" i="2"/>
  <c r="D39" i="2"/>
  <c r="C39" i="2"/>
  <c r="B39" i="2"/>
  <c r="H38" i="2"/>
  <c r="G38" i="2"/>
  <c r="F38" i="2"/>
  <c r="E38" i="2"/>
  <c r="D38" i="2"/>
  <c r="C38" i="2"/>
  <c r="B38" i="2"/>
  <c r="H37" i="2"/>
  <c r="C37" i="2"/>
  <c r="B37" i="2"/>
  <c r="H36" i="2"/>
  <c r="G36" i="2"/>
  <c r="F36" i="2"/>
  <c r="E36" i="2"/>
  <c r="D36" i="2"/>
  <c r="C36" i="2"/>
  <c r="B36" i="2"/>
  <c r="H35" i="2"/>
  <c r="G35" i="2"/>
  <c r="F35" i="2"/>
  <c r="E35" i="2"/>
  <c r="D35" i="2"/>
  <c r="C35" i="2"/>
  <c r="B35" i="2"/>
  <c r="H34" i="2"/>
  <c r="G34" i="2"/>
  <c r="F34" i="2"/>
  <c r="E34" i="2"/>
  <c r="D34" i="2"/>
  <c r="C34" i="2"/>
  <c r="B34" i="2"/>
  <c r="H33" i="2"/>
  <c r="G33" i="2"/>
  <c r="F33" i="2"/>
  <c r="E33" i="2"/>
  <c r="D33" i="2"/>
  <c r="C33" i="2"/>
  <c r="B33" i="2"/>
  <c r="H32" i="2"/>
  <c r="G32" i="2"/>
  <c r="F32" i="2"/>
  <c r="E32" i="2"/>
  <c r="D32" i="2"/>
  <c r="C32" i="2"/>
  <c r="B32" i="2"/>
  <c r="H31" i="2"/>
  <c r="G31" i="2"/>
  <c r="F31" i="2"/>
  <c r="E31" i="2"/>
  <c r="D31" i="2"/>
  <c r="C31" i="2"/>
  <c r="B31" i="2"/>
  <c r="H30" i="2"/>
  <c r="C30" i="2"/>
  <c r="B30" i="2"/>
  <c r="H29" i="2"/>
  <c r="G29" i="2"/>
  <c r="F29" i="2"/>
  <c r="E29" i="2"/>
  <c r="D29" i="2"/>
  <c r="C29" i="2"/>
  <c r="B29" i="2"/>
  <c r="H28" i="2"/>
  <c r="G28" i="2"/>
  <c r="F28" i="2"/>
  <c r="E28" i="2"/>
  <c r="D28" i="2"/>
  <c r="C28" i="2"/>
  <c r="B28" i="2"/>
  <c r="H27" i="2"/>
  <c r="G27" i="2"/>
  <c r="F27" i="2"/>
  <c r="E27" i="2"/>
  <c r="D27" i="2"/>
  <c r="C27" i="2"/>
  <c r="B27" i="2"/>
  <c r="H26" i="2"/>
  <c r="G26" i="2"/>
  <c r="F26" i="2"/>
  <c r="E26" i="2"/>
  <c r="D26" i="2"/>
  <c r="C26" i="2"/>
  <c r="B26" i="2"/>
  <c r="H25" i="2"/>
  <c r="G25" i="2"/>
  <c r="F25" i="2"/>
  <c r="E25" i="2"/>
  <c r="D25" i="2"/>
  <c r="C25" i="2"/>
  <c r="B25" i="2"/>
  <c r="H24" i="2"/>
  <c r="G24" i="2"/>
  <c r="F24" i="2"/>
  <c r="E24" i="2"/>
  <c r="D24" i="2"/>
  <c r="C24" i="2"/>
  <c r="B24" i="2"/>
  <c r="H23" i="2"/>
  <c r="G23" i="2"/>
  <c r="F23" i="2"/>
  <c r="E23" i="2"/>
  <c r="D23" i="2"/>
  <c r="C23" i="2"/>
  <c r="B23" i="2"/>
  <c r="H22" i="2"/>
  <c r="G22" i="2"/>
  <c r="F22" i="2"/>
  <c r="E22" i="2"/>
  <c r="D22" i="2"/>
  <c r="C22" i="2"/>
  <c r="B22" i="2"/>
  <c r="H21" i="2"/>
  <c r="G21" i="2"/>
  <c r="F21" i="2"/>
  <c r="E21" i="2"/>
  <c r="D21" i="2"/>
  <c r="C21" i="2"/>
  <c r="B21" i="2"/>
  <c r="H20" i="2"/>
  <c r="G20" i="2"/>
  <c r="F20" i="2"/>
  <c r="E20" i="2"/>
  <c r="D20" i="2"/>
  <c r="C20" i="2"/>
  <c r="B20" i="2"/>
  <c r="H19" i="2"/>
  <c r="G19" i="2"/>
  <c r="F19" i="2"/>
  <c r="E19" i="2"/>
  <c r="D19" i="2"/>
  <c r="C19" i="2"/>
  <c r="B19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H16" i="2"/>
  <c r="G16" i="2"/>
  <c r="F16" i="2"/>
  <c r="E16" i="2"/>
  <c r="D16" i="2"/>
  <c r="C16" i="2"/>
  <c r="B16" i="2"/>
  <c r="H15" i="2"/>
  <c r="G15" i="2"/>
  <c r="F15" i="2"/>
  <c r="E15" i="2"/>
  <c r="D15" i="2"/>
  <c r="C15" i="2"/>
  <c r="B15" i="2"/>
  <c r="H14" i="2"/>
  <c r="G14" i="2"/>
  <c r="F14" i="2"/>
  <c r="E14" i="2"/>
  <c r="D14" i="2"/>
  <c r="C14" i="2"/>
  <c r="B14" i="2"/>
  <c r="H13" i="2"/>
  <c r="G13" i="2"/>
  <c r="F13" i="2"/>
  <c r="E13" i="2"/>
  <c r="D13" i="2"/>
  <c r="C13" i="2"/>
  <c r="B13" i="2"/>
  <c r="H12" i="2"/>
  <c r="G12" i="2"/>
  <c r="F12" i="2"/>
  <c r="E12" i="2"/>
  <c r="D12" i="2"/>
  <c r="C12" i="2"/>
  <c r="B12" i="2"/>
  <c r="H11" i="2"/>
  <c r="G11" i="2"/>
  <c r="F11" i="2"/>
  <c r="E11" i="2"/>
  <c r="D11" i="2"/>
  <c r="C11" i="2"/>
  <c r="B11" i="2"/>
  <c r="H10" i="2"/>
  <c r="G10" i="2"/>
  <c r="F10" i="2"/>
  <c r="E10" i="2"/>
  <c r="D10" i="2"/>
  <c r="C10" i="2"/>
  <c r="B10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H7" i="2"/>
  <c r="G7" i="2"/>
  <c r="F7" i="2"/>
  <c r="E7" i="2"/>
  <c r="D7" i="2"/>
  <c r="C7" i="2"/>
  <c r="B7" i="2"/>
  <c r="H6" i="2"/>
  <c r="G6" i="2"/>
  <c r="F6" i="2"/>
  <c r="E6" i="2"/>
  <c r="D6" i="2"/>
  <c r="C6" i="2"/>
  <c r="B6" i="2"/>
  <c r="H5" i="2"/>
  <c r="G5" i="2"/>
  <c r="F5" i="2"/>
  <c r="E5" i="2"/>
  <c r="D5" i="2"/>
  <c r="C5" i="2"/>
  <c r="B5" i="2"/>
  <c r="I2" i="2"/>
  <c r="B2" i="2"/>
  <c r="I2" i="1"/>
  <c r="B2" i="1"/>
  <c r="H43" i="10"/>
  <c r="G43" i="10"/>
  <c r="F43" i="10"/>
  <c r="E43" i="10"/>
  <c r="D43" i="10"/>
  <c r="C43" i="10"/>
  <c r="H42" i="10"/>
  <c r="G42" i="10"/>
  <c r="F42" i="10"/>
  <c r="E42" i="10"/>
  <c r="D42" i="10"/>
  <c r="C42" i="10"/>
  <c r="G40" i="10"/>
  <c r="D40" i="10"/>
  <c r="C40" i="10"/>
  <c r="F39" i="10"/>
  <c r="E39" i="10"/>
  <c r="D39" i="10"/>
  <c r="C39" i="10"/>
  <c r="H38" i="10"/>
  <c r="G38" i="10"/>
  <c r="F38" i="10"/>
  <c r="E38" i="10"/>
  <c r="C38" i="10"/>
  <c r="H37" i="10"/>
  <c r="G37" i="10"/>
  <c r="F37" i="10"/>
  <c r="E37" i="10"/>
  <c r="D37" i="10"/>
  <c r="C37" i="10"/>
  <c r="G36" i="10"/>
  <c r="F36" i="10"/>
  <c r="E36" i="10"/>
  <c r="D36" i="10"/>
  <c r="H35" i="10"/>
  <c r="G35" i="10"/>
  <c r="F35" i="10"/>
  <c r="E35" i="10"/>
  <c r="D35" i="10"/>
  <c r="C35" i="10"/>
  <c r="F23" i="10"/>
  <c r="E23" i="10"/>
  <c r="D23" i="10"/>
  <c r="C23" i="10"/>
  <c r="C22" i="10"/>
  <c r="C20" i="10"/>
  <c r="G19" i="10"/>
  <c r="G18" i="10"/>
  <c r="H17" i="10"/>
  <c r="G17" i="10"/>
  <c r="F17" i="10"/>
  <c r="E17" i="10"/>
  <c r="D17" i="10"/>
  <c r="C17" i="10"/>
  <c r="H16" i="10"/>
  <c r="G16" i="10"/>
  <c r="F16" i="10"/>
  <c r="E16" i="10"/>
  <c r="D16" i="10"/>
  <c r="C16" i="10"/>
  <c r="AC62" i="11" l="1"/>
  <c r="C62" i="11" s="1"/>
  <c r="B2" i="10" s="1"/>
  <c r="B7" i="10" s="1"/>
  <c r="V25" i="12"/>
  <c r="U62" i="11"/>
  <c r="H18" i="10"/>
  <c r="H19" i="10"/>
  <c r="D20" i="10"/>
  <c r="D22" i="10"/>
  <c r="E20" i="10"/>
  <c r="C21" i="10"/>
  <c r="E22" i="10"/>
  <c r="F20" i="10"/>
  <c r="D21" i="10"/>
  <c r="F22" i="10"/>
  <c r="G23" i="10"/>
  <c r="H36" i="10"/>
  <c r="G39" i="10"/>
  <c r="G48" i="10" s="1"/>
  <c r="E40" i="10"/>
  <c r="E48" i="10" s="1"/>
  <c r="C18" i="10"/>
  <c r="C19" i="10"/>
  <c r="G20" i="10"/>
  <c r="E21" i="10"/>
  <c r="G22" i="10"/>
  <c r="H23" i="10"/>
  <c r="H39" i="10"/>
  <c r="F40" i="10"/>
  <c r="F48" i="10" s="1"/>
  <c r="D18" i="10"/>
  <c r="D19" i="10"/>
  <c r="H20" i="10"/>
  <c r="F21" i="10"/>
  <c r="H22" i="10"/>
  <c r="E18" i="10"/>
  <c r="E19" i="10"/>
  <c r="G21" i="10"/>
  <c r="C36" i="10"/>
  <c r="C48" i="10" s="1"/>
  <c r="D38" i="10"/>
  <c r="D48" i="10" s="1"/>
  <c r="H40" i="10"/>
  <c r="F18" i="10"/>
  <c r="F19" i="10"/>
  <c r="H21" i="10"/>
  <c r="C3" i="10"/>
  <c r="E3" i="10"/>
  <c r="D5" i="10"/>
  <c r="F3" i="10"/>
  <c r="G5" i="10"/>
  <c r="G3" i="10"/>
  <c r="H5" i="10"/>
  <c r="H3" i="10"/>
  <c r="B5" i="10"/>
  <c r="B3" i="10"/>
  <c r="C5" i="10"/>
  <c r="D3" i="10"/>
  <c r="D8" i="10" s="1"/>
  <c r="E5" i="10"/>
  <c r="F5" i="10"/>
  <c r="C28" i="10" l="1"/>
  <c r="G28" i="10"/>
  <c r="F28" i="10"/>
  <c r="H48" i="10"/>
  <c r="G8" i="10"/>
  <c r="D28" i="10"/>
  <c r="E28" i="10"/>
  <c r="H28" i="10"/>
  <c r="B8" i="10"/>
  <c r="E8" i="10"/>
  <c r="F8" i="10"/>
  <c r="C8" i="10"/>
  <c r="H8" i="10"/>
  <c r="D36" i="9"/>
  <c r="C36" i="9"/>
</calcChain>
</file>

<file path=xl/sharedStrings.xml><?xml version="1.0" encoding="utf-8"?>
<sst xmlns="http://schemas.openxmlformats.org/spreadsheetml/2006/main" count="528" uniqueCount="227">
  <si>
    <t>New Folder Project Planner</t>
  </si>
  <si>
    <t xml:space="preserve"> Period Highlight:</t>
  </si>
  <si>
    <t>Plan Duration</t>
  </si>
  <si>
    <t>Actual Start</t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</si>
  <si>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</t>
    </r>
  </si>
  <si>
    <r>
      <rPr>
        <sz val="12"/>
        <color rgb="FF404040"/>
        <rFont val="Calibri"/>
        <family val="2"/>
        <charset val="1"/>
      </rPr>
      <t>Actual (beyond plan</t>
    </r>
    <r>
      <rPr>
        <sz val="10"/>
        <rFont val="Arial"/>
        <family val="2"/>
        <charset val="1"/>
      </rPr>
      <t>)</t>
    </r>
  </si>
  <si>
    <r>
      <rPr>
        <sz val="12"/>
        <color rgb="FF404040"/>
        <rFont val="Calibri"/>
        <family val="2"/>
        <charset val="1"/>
      </rPr>
      <t>%</t>
    </r>
    <r>
      <rPr>
        <sz val="10"/>
        <rFont val="Arial"/>
        <family val="2"/>
        <charset val="1"/>
      </rPr>
      <t xml:space="preserve"> </t>
    </r>
    <r>
      <rPr>
        <sz val="12"/>
        <color rgb="FF404040"/>
        <rFont val="Calibri"/>
        <family val="2"/>
        <charset val="1"/>
      </rPr>
      <t>Complete (beyond plan)</t>
    </r>
  </si>
  <si>
    <t>ACTIVITY</t>
  </si>
  <si>
    <t>USER</t>
  </si>
  <si>
    <t>PLAN START</t>
  </si>
  <si>
    <t>PLAN DURATION</t>
  </si>
  <si>
    <t>ACTUAL START</t>
  </si>
  <si>
    <t>ACTUAL DURATION</t>
  </si>
  <si>
    <t>PERCENT COMPLETE</t>
  </si>
  <si>
    <t>PERIODS</t>
  </si>
  <si>
    <t>April</t>
  </si>
  <si>
    <t>May</t>
  </si>
  <si>
    <t>PDR</t>
  </si>
  <si>
    <t>T</t>
  </si>
  <si>
    <t>System</t>
  </si>
  <si>
    <t>P &amp; Br &amp; C &amp; Ba</t>
  </si>
  <si>
    <t>P &amp; Br</t>
  </si>
  <si>
    <t>C</t>
  </si>
  <si>
    <t>Ba</t>
  </si>
  <si>
    <t>Calibration - VHDL side</t>
  </si>
  <si>
    <t>Ba &amp; Br &amp; P</t>
  </si>
  <si>
    <t>VHDL</t>
  </si>
  <si>
    <t>Create PWM AXI on Vivado</t>
  </si>
  <si>
    <t>Create Ultrasonic sensor AXI on Vivado</t>
  </si>
  <si>
    <t>Write VHDL for sonic sensors</t>
  </si>
  <si>
    <t>Implement PWM final design</t>
  </si>
  <si>
    <t>Python</t>
  </si>
  <si>
    <t>C &amp; Z</t>
  </si>
  <si>
    <t>GUI - Create camera feed</t>
  </si>
  <si>
    <t>Z</t>
  </si>
  <si>
    <t>GUI - Create unknown map</t>
  </si>
  <si>
    <t>Create movement functions</t>
  </si>
  <si>
    <t>Implement Calibration process</t>
  </si>
  <si>
    <t>Make turning smart with gyro</t>
  </si>
  <si>
    <t>C Development</t>
  </si>
  <si>
    <t>Unit Test for writing to memory</t>
  </si>
  <si>
    <t>Write code to read sonic sensors</t>
  </si>
  <si>
    <t>Project Management</t>
  </si>
  <si>
    <t>An &amp; T &amp; ?</t>
  </si>
  <si>
    <t>Complete CDR Plan</t>
  </si>
  <si>
    <t>An</t>
  </si>
  <si>
    <t>Develop Tech Memo - PWM</t>
  </si>
  <si>
    <t>?</t>
  </si>
  <si>
    <t>Develop Tech Memo - Python</t>
  </si>
  <si>
    <t>Develop Tech Memo - Rover</t>
  </si>
  <si>
    <t>CDR PowerPoint</t>
  </si>
  <si>
    <t>CDR</t>
  </si>
  <si>
    <t>After We Finish</t>
  </si>
  <si>
    <t>C &amp; An</t>
  </si>
  <si>
    <t>Create sound board*</t>
  </si>
  <si>
    <t>TBA</t>
  </si>
  <si>
    <t>Implement Wireless Speaker</t>
  </si>
  <si>
    <t>Andrei Project Planner</t>
  </si>
  <si>
    <t>Bach Project Planner</t>
  </si>
  <si>
    <t>Brandon Project Planner</t>
  </si>
  <si>
    <t>Cody Project Planner</t>
  </si>
  <si>
    <t>Peter Project Planner</t>
  </si>
  <si>
    <t>Zack Project Planner</t>
  </si>
  <si>
    <t>Create overview system design</t>
  </si>
  <si>
    <t>Team</t>
  </si>
  <si>
    <t>Block diagram for whole system</t>
  </si>
  <si>
    <t>System Requirements</t>
  </si>
  <si>
    <t>Bach</t>
  </si>
  <si>
    <t>Mechanical Drawings</t>
  </si>
  <si>
    <t>Sensor Trade Study* (choice of sensors)</t>
  </si>
  <si>
    <t>Team &amp; Bach</t>
  </si>
  <si>
    <t>Design functional test*</t>
  </si>
  <si>
    <t>VHDL - PWM (Duty Cycle)</t>
  </si>
  <si>
    <t>Peter &amp; Brandon</t>
  </si>
  <si>
    <t>Python - Encoders</t>
  </si>
  <si>
    <t>Cody</t>
  </si>
  <si>
    <t>VHDL &amp; C - Interrupts</t>
  </si>
  <si>
    <t>Derive Requirements for VHDL</t>
  </si>
  <si>
    <t>Create a block diagram for PWM</t>
  </si>
  <si>
    <t>Brandon &amp; Peter</t>
  </si>
  <si>
    <t>Design VHDL\AXI block for PWM</t>
  </si>
  <si>
    <t>Design VHDL\AXI block for sonic sensors</t>
  </si>
  <si>
    <t>Design block for sonic sensors</t>
  </si>
  <si>
    <t>Register Mapping</t>
  </si>
  <si>
    <t>Figure out software requirements</t>
  </si>
  <si>
    <t>Cody &amp; Zack &amp; Bach</t>
  </si>
  <si>
    <t>Design GUI and brainstorm ideas for functionality</t>
  </si>
  <si>
    <t>Cody &amp; Zack</t>
  </si>
  <si>
    <t>Plan what types of functions for movement</t>
  </si>
  <si>
    <t>Plan how to process encoders</t>
  </si>
  <si>
    <t>Python IMU functions (gyro)</t>
  </si>
  <si>
    <t>Plan calibration implementation</t>
  </si>
  <si>
    <t>Design a process on Polling &amp; Interrupt</t>
  </si>
  <si>
    <t>Plan function names for the drivers</t>
  </si>
  <si>
    <t>Hardware</t>
  </si>
  <si>
    <t>Derive Requirements for Motor</t>
  </si>
  <si>
    <t>Derive Requirements for IMU</t>
  </si>
  <si>
    <t>Derive Requirements for Ultrasonic Sensors</t>
  </si>
  <si>
    <t>Derive Requirements for Cameras</t>
  </si>
  <si>
    <t>Bach &amp; Zack</t>
  </si>
  <si>
    <t>Plan a way to calibrate rover</t>
  </si>
  <si>
    <t>Create logging sheets for easy reports</t>
  </si>
  <si>
    <t>Andrei</t>
  </si>
  <si>
    <t>Think of purpose &amp; application</t>
  </si>
  <si>
    <t>Scheduling pre PDR</t>
  </si>
  <si>
    <t>Scheduling post PDR</t>
  </si>
  <si>
    <t>Create Powerpoint</t>
  </si>
  <si>
    <t>Andrei &amp; Cody</t>
  </si>
  <si>
    <t>Practice PDR</t>
  </si>
  <si>
    <t>TASK</t>
  </si>
  <si>
    <t>User</t>
  </si>
  <si>
    <t>Estimated Time</t>
  </si>
  <si>
    <t>Estimated Cost</t>
  </si>
  <si>
    <t>Create functional test</t>
  </si>
  <si>
    <t>P &amp; Br &amp; C</t>
  </si>
  <si>
    <t>Create functional Unit tests</t>
  </si>
  <si>
    <t>GUI mapping</t>
  </si>
  <si>
    <t>Sensors</t>
  </si>
  <si>
    <t>Motors</t>
  </si>
  <si>
    <t>Calibration</t>
  </si>
  <si>
    <t xml:space="preserve">     Python</t>
  </si>
  <si>
    <t>Bach &amp; Cody</t>
  </si>
  <si>
    <t xml:space="preserve">    Ultra sonic sensors</t>
  </si>
  <si>
    <t>Bach &amp; Br &amp; P</t>
  </si>
  <si>
    <t>Br &amp; P</t>
  </si>
  <si>
    <t>Create GUI</t>
  </si>
  <si>
    <t>Create camera feed</t>
  </si>
  <si>
    <t>Zack</t>
  </si>
  <si>
    <t>Create unknown map</t>
  </si>
  <si>
    <t>Brandon, Peter &amp; Zack</t>
  </si>
  <si>
    <t>Creating Hardware APIs</t>
  </si>
  <si>
    <t>Develop Tech Memo</t>
  </si>
  <si>
    <t>PWM?</t>
  </si>
  <si>
    <t>Rover?</t>
  </si>
  <si>
    <t>Total</t>
  </si>
  <si>
    <t xml:space="preserve">   Calibration - Python</t>
  </si>
  <si>
    <t>16+</t>
  </si>
  <si>
    <t>Peter</t>
  </si>
  <si>
    <t>Brandon</t>
  </si>
  <si>
    <t>Week</t>
  </si>
  <si>
    <t>Date</t>
  </si>
  <si>
    <t>Weekly Meeting Costs</t>
  </si>
  <si>
    <t>Weekly Task Costs</t>
  </si>
  <si>
    <t>Total Costs</t>
  </si>
  <si>
    <t>Total Hours</t>
  </si>
  <si>
    <t>Total Weekly Meeting Costs</t>
  </si>
  <si>
    <t>Total Weekly Meeting Hours</t>
  </si>
  <si>
    <t>Total Task List Costs</t>
  </si>
  <si>
    <t>Total Task List Hours</t>
  </si>
  <si>
    <t>Cost/hr</t>
  </si>
  <si>
    <t>New Folder Metrics</t>
  </si>
  <si>
    <t>Task Cost</t>
  </si>
  <si>
    <t>Hours</t>
  </si>
  <si>
    <t>Created basic Memory Access Unit tests in Python and C</t>
  </si>
  <si>
    <t>Created Individual Gantt Charts for each team member</t>
  </si>
  <si>
    <t>Researched localization and other algorithms</t>
  </si>
  <si>
    <t>Finalized PP</t>
  </si>
  <si>
    <t>Worked on PP</t>
  </si>
  <si>
    <t>Added hardware overview and test plan to PDR</t>
  </si>
  <si>
    <t>Added requirements for the system as a whole and for each subsystem to PDR</t>
  </si>
  <si>
    <t>Drove to fire station and interviewed with firemen to get ideas on how to help them</t>
  </si>
  <si>
    <t>Cleaned up Burn Report and added intro into slides</t>
  </si>
  <si>
    <t>Added OpenCV and python module to PDR</t>
  </si>
  <si>
    <t>Wrote VHDL for sensor modules.</t>
  </si>
  <si>
    <t>Designed VHDL block dragrams for sensor modules.</t>
  </si>
  <si>
    <t>Created Powerpoint skeleton and updated Gantt.</t>
  </si>
  <si>
    <t>Brainstormed project's application and purpose</t>
  </si>
  <si>
    <t>Worked on Powerpoint and Gantt. Communicated with team</t>
  </si>
  <si>
    <t>Researched OpenCV functionality with python</t>
  </si>
  <si>
    <t>Further Organized and Updated Gantt</t>
  </si>
  <si>
    <t>Organized Files in folders</t>
  </si>
  <si>
    <t>Came up with test plan for system and modules</t>
  </si>
  <si>
    <t>Worked on Gantt and organizing files</t>
  </si>
  <si>
    <t>Retrain cascades with new samples – shell script automation</t>
  </si>
  <si>
    <t>Created initial revision of pre-pdr gantt</t>
  </si>
  <si>
    <t>Create and train Haar cascades for various ‘brick’ faces</t>
  </si>
  <si>
    <t>Explore opencv object detection</t>
  </si>
  <si>
    <t>Python Sensor idea implementation</t>
  </si>
  <si>
    <t>Finish up task list, updated burn list, and started gantt</t>
  </si>
  <si>
    <t>Wrapped memory access logic in class – modularization</t>
  </si>
  <si>
    <t>Python Motor idea implementation</t>
  </si>
  <si>
    <t>Wrote a summary and requirement report for ultrasonic sensors</t>
  </si>
  <si>
    <t>Derive Requirements for sensors</t>
  </si>
  <si>
    <t>Came up with requirements for system and modules</t>
  </si>
  <si>
    <t>Gather hardware manuals along with examples for hardware implementations</t>
  </si>
  <si>
    <t>Meeting Planning</t>
  </si>
  <si>
    <t>[Ignore] For Chart Formatting</t>
  </si>
  <si>
    <t>Task</t>
  </si>
  <si>
    <t>Individual Time Spent</t>
  </si>
  <si>
    <t>Individual Costs</t>
  </si>
  <si>
    <t>Per Person</t>
  </si>
  <si>
    <t>Cost</t>
  </si>
  <si>
    <t>Zach</t>
  </si>
  <si>
    <t>Lessons learned PDR &amp; demoed new gantt system</t>
  </si>
  <si>
    <t>Update status, prepare Powerpoint, go over PDR</t>
  </si>
  <si>
    <t>obj for spring break</t>
  </si>
  <si>
    <t>Project Plan Review &amp; obj for spring break</t>
  </si>
  <si>
    <t>PDR discussion</t>
  </si>
  <si>
    <t>Powerpoint, encoders,</t>
  </si>
  <si>
    <t>Sensor Requirements</t>
  </si>
  <si>
    <t>Motor Requirements</t>
  </si>
  <si>
    <t>Overview + Subsystems</t>
  </si>
  <si>
    <t>Unit Cost</t>
  </si>
  <si>
    <t>Notes</t>
  </si>
  <si>
    <t>Added more metrics to our Planner and combined reports/created dashboard for flexibility</t>
  </si>
  <si>
    <t>Br</t>
  </si>
  <si>
    <t>Unit Tests - VHDL &amp; C - Ultrasonic Interrupts</t>
  </si>
  <si>
    <t>Unit Tests - Python - Encoders</t>
  </si>
  <si>
    <t>Unit Tests - VHDL - PWM (Duty Cycle)</t>
  </si>
  <si>
    <t>Unit Tests - GUI mapping</t>
  </si>
  <si>
    <t>Unit Tests - Motors</t>
  </si>
  <si>
    <t>Unit Tests - C - Writing to Memory</t>
  </si>
  <si>
    <t>Unit Tests - VHDL - IMU</t>
  </si>
  <si>
    <t xml:space="preserve">   Calibration - Ultrasonic sensors</t>
  </si>
  <si>
    <t>Create IMU Axi on Vivado</t>
  </si>
  <si>
    <t>Write code for LEDs - On, Off, Blink</t>
  </si>
  <si>
    <t>Given</t>
  </si>
  <si>
    <t>-</t>
  </si>
  <si>
    <t>Create Encoder functions</t>
  </si>
  <si>
    <t>Create Movement functions</t>
  </si>
  <si>
    <t>Create OpenCV - Detect wall/object</t>
  </si>
  <si>
    <t>Create OpenCV - Calculate distance</t>
  </si>
  <si>
    <t>Write code for PWM</t>
  </si>
  <si>
    <t>P</t>
  </si>
  <si>
    <t>Write code for Encoders</t>
  </si>
  <si>
    <t>Write code for Ultrasonic Sensors</t>
  </si>
  <si>
    <t>Write code for IMU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</si>
</sst>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\$* #,##0.00_);_(\$* \(#,##0.00\);_(\$* \-??_);_(@_)"/>
    <numFmt numFmtId="165" formatCode="_(\$* #,##0_);_(\$* \(#,##0\);_(\$* \-??_);_(@_)"/>
    <numFmt numFmtId="166" formatCode="\$#,##0.00"/>
    <numFmt numFmtId="167" formatCode="mm/dd/yy"/>
  </numFmts>
  <fonts count="33" x14ac:knownFonts="1">
    <font>
      <sz val="10"/>
      <name val="Arial"/>
      <family val="2"/>
      <charset val="1"/>
    </font>
    <font>
      <b/>
      <sz val="13"/>
      <color rgb="FF404040"/>
      <name val="Calibri Light"/>
      <family val="2"/>
      <charset val="1"/>
    </font>
    <font>
      <i/>
      <sz val="11"/>
      <color rgb="FFFFC000"/>
      <name val="Calibri"/>
      <family val="2"/>
      <charset val="1"/>
    </font>
    <font>
      <b/>
      <sz val="42"/>
      <color rgb="FFFFC000"/>
      <name val="Calibri Light"/>
      <family val="2"/>
      <charset val="1"/>
    </font>
    <font>
      <b/>
      <sz val="11"/>
      <color rgb="FF595959"/>
      <name val="Calibri"/>
      <family val="2"/>
      <charset val="1"/>
    </font>
    <font>
      <sz val="11"/>
      <color rgb="FF404040"/>
      <name val="Calibri Light"/>
      <family val="2"/>
      <charset val="1"/>
    </font>
    <font>
      <b/>
      <sz val="13"/>
      <color rgb="FFFFC000"/>
      <name val="Calibri Light"/>
      <family val="2"/>
      <charset val="1"/>
    </font>
    <font>
      <b/>
      <sz val="11"/>
      <color rgb="FF404040"/>
      <name val="Calibri"/>
      <family val="2"/>
      <charset val="1"/>
    </font>
    <font>
      <sz val="12"/>
      <color rgb="FF404040"/>
      <name val="Calibri Light"/>
      <family val="2"/>
      <charset val="1"/>
    </font>
    <font>
      <sz val="12"/>
      <color rgb="FF404040"/>
      <name val="Calibri"/>
      <family val="2"/>
      <charset val="1"/>
    </font>
    <font>
      <sz val="11"/>
      <color rgb="FFFFFFFF"/>
      <name val="Calibri"/>
      <family val="2"/>
      <charset val="1"/>
    </font>
    <font>
      <b/>
      <sz val="13"/>
      <color rgb="FF404040"/>
      <name val="Calibri"/>
      <family val="2"/>
      <charset val="1"/>
    </font>
    <font>
      <sz val="11"/>
      <color rgb="FF000000"/>
      <name val="Calibri Light"/>
      <family val="2"/>
      <charset val="1"/>
    </font>
    <font>
      <sz val="12"/>
      <color rgb="FF000000"/>
      <name val="Calibri"/>
      <family val="2"/>
      <charset val="1"/>
    </font>
    <font>
      <b/>
      <sz val="13"/>
      <color rgb="FFFFFFFF"/>
      <name val="Calibri"/>
      <family val="2"/>
      <charset val="1"/>
    </font>
    <font>
      <b/>
      <sz val="13"/>
      <color rgb="FF000000"/>
      <name val="Calibri"/>
      <family val="2"/>
      <charset val="1"/>
    </font>
    <font>
      <b/>
      <sz val="11"/>
      <color rgb="FFFFFFFF"/>
      <name val="Calibri Light"/>
      <family val="2"/>
      <charset val="1"/>
    </font>
    <font>
      <b/>
      <sz val="11"/>
      <color rgb="FF000000"/>
      <name val="Calibri Light"/>
      <family val="2"/>
      <charset val="1"/>
    </font>
    <font>
      <b/>
      <sz val="12"/>
      <color rgb="FF000000"/>
      <name val="Calibri Light"/>
      <family val="2"/>
      <charset val="1"/>
    </font>
    <font>
      <sz val="12"/>
      <color rgb="FF404040"/>
      <name val="Calibri"/>
      <family val="2"/>
    </font>
    <font>
      <sz val="12"/>
      <color rgb="FF000000"/>
      <name val="Calibri Light"/>
      <family val="2"/>
      <charset val="1"/>
    </font>
    <font>
      <u/>
      <sz val="11"/>
      <color rgb="FF0563C1"/>
      <name val="Calibri Light"/>
      <family val="2"/>
      <charset val="1"/>
    </font>
    <font>
      <sz val="11"/>
      <name val="Calibri Light"/>
      <family val="2"/>
      <charset val="1"/>
    </font>
    <font>
      <b/>
      <u/>
      <sz val="10"/>
      <name val="Arial"/>
      <family val="2"/>
      <charset val="1"/>
    </font>
    <font>
      <sz val="11"/>
      <color rgb="FF404040"/>
      <name val="Calibri"/>
      <family val="2"/>
      <charset val="1"/>
    </font>
    <font>
      <sz val="10"/>
      <color rgb="FF000000"/>
      <name val="Calibri Light"/>
      <family val="2"/>
      <charset val="1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1"/>
      <color rgb="FF000000"/>
      <name val="Calibri"/>
      <family val="2"/>
      <charset val="1"/>
    </font>
    <font>
      <b/>
      <u/>
      <sz val="11"/>
      <color rgb="FF000000"/>
      <name val="Calibri"/>
      <family val="2"/>
      <charset val="1"/>
    </font>
  </fonts>
  <fills count="15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70AD47"/>
        <bgColor rgb="FF548235"/>
      </patternFill>
    </fill>
    <fill>
      <patternFill patternType="solid">
        <fgColor rgb="FFD3D887"/>
        <bgColor rgb="FFC5E0B4"/>
      </patternFill>
    </fill>
    <fill>
      <patternFill patternType="solid">
        <fgColor rgb="FFFFDC73"/>
        <bgColor rgb="FFFFE699"/>
      </patternFill>
    </fill>
    <fill>
      <patternFill patternType="solid">
        <fgColor rgb="FFC5E0B4"/>
        <bgColor rgb="FFD3D887"/>
      </patternFill>
    </fill>
    <fill>
      <patternFill patternType="solid">
        <fgColor rgb="FFFFEFC0"/>
        <bgColor rgb="FFFFE699"/>
      </patternFill>
    </fill>
    <fill>
      <patternFill patternType="solid">
        <fgColor rgb="FFFFE699"/>
        <bgColor rgb="FFFFEF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CCFFCC"/>
      </patternFill>
    </fill>
    <fill>
      <patternFill patternType="solid">
        <fgColor rgb="FFFFFFFF"/>
        <bgColor rgb="FFE7E6E6"/>
      </patternFill>
    </fill>
    <fill>
      <patternFill patternType="solid">
        <fgColor rgb="FFD9D9D9"/>
        <bgColor rgb="FFE7E6E6"/>
      </patternFill>
    </fill>
  </fills>
  <borders count="63">
    <border>
      <left/>
      <right/>
      <top/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/>
      <bottom style="thin">
        <color rgb="FFFFC000"/>
      </bottom>
      <diagonal/>
    </border>
    <border>
      <left/>
      <right/>
      <top style="thin">
        <color rgb="FF548235"/>
      </top>
      <bottom style="thin">
        <color rgb="FF548235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/>
      <right/>
      <top style="thin">
        <color rgb="FF548235"/>
      </top>
      <bottom style="thin">
        <color rgb="FFFFC000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rgb="FFE7E6E6"/>
      </bottom>
      <diagonal/>
    </border>
    <border>
      <left/>
      <right style="thin">
        <color rgb="FFE7E6E6"/>
      </right>
      <top/>
      <bottom/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rgb="FFE7E6E6"/>
      </right>
      <top/>
      <bottom style="medium">
        <color auto="1"/>
      </bottom>
      <diagonal/>
    </border>
    <border>
      <left/>
      <right style="thin">
        <color rgb="FFE7E6E6"/>
      </right>
      <top style="thin">
        <color rgb="FFE7E6E6"/>
      </top>
      <bottom style="medium">
        <color auto="1"/>
      </bottom>
      <diagonal/>
    </border>
    <border>
      <left style="thin">
        <color rgb="FFE7E6E6"/>
      </left>
      <right style="thin">
        <color rgb="FFE7E6E6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rgb="FFE7E6E6"/>
      </bottom>
      <diagonal/>
    </border>
    <border>
      <left/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thin">
        <color rgb="FFE7E6E6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thin">
        <color rgb="FFE7E6E6"/>
      </right>
      <top style="thin">
        <color auto="1"/>
      </top>
      <bottom style="thin">
        <color rgb="FFE7E6E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rgb="FFE7E6E6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rgb="FFE7E6E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E7E6E6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</borders>
  <cellStyleXfs count="8">
    <xf numFmtId="0" fontId="0" fillId="0" borderId="0"/>
    <xf numFmtId="164" fontId="26" fillId="0" borderId="0" applyBorder="0" applyProtection="0"/>
    <xf numFmtId="9" fontId="26" fillId="0" borderId="0" applyBorder="0" applyProtection="0"/>
    <xf numFmtId="0" fontId="21" fillId="0" borderId="0" applyBorder="0" applyProtection="0"/>
    <xf numFmtId="0" fontId="10" fillId="2" borderId="0" applyBorder="0" applyProtection="0"/>
    <xf numFmtId="0" fontId="27" fillId="0" borderId="0"/>
    <xf numFmtId="164" fontId="27" fillId="0" borderId="0" applyBorder="0" applyProtection="0"/>
    <xf numFmtId="0" fontId="26" fillId="0" borderId="0"/>
  </cellStyleXfs>
  <cellXfs count="217">
    <xf numFmtId="0" fontId="0" fillId="0" borderId="0" xfId="0"/>
    <xf numFmtId="0" fontId="5" fillId="0" borderId="0" xfId="4" applyNumberFormat="1" applyFont="1" applyFill="1" applyBorder="1" applyAlignment="1" applyProtection="1">
      <alignment horizontal="center" vertical="center"/>
    </xf>
    <xf numFmtId="0" fontId="1" fillId="0" borderId="0" xfId="4" applyNumberFormat="1" applyFont="1" applyFill="1" applyBorder="1" applyAlignment="1" applyProtection="1">
      <alignment horizontal="left" wrapText="1"/>
    </xf>
    <xf numFmtId="0" fontId="1" fillId="0" borderId="0" xfId="4" applyNumberFormat="1" applyFont="1" applyFill="1" applyBorder="1" applyAlignment="1" applyProtection="1">
      <alignment horizontal="center" wrapText="1"/>
    </xf>
    <xf numFmtId="0" fontId="5" fillId="0" borderId="0" xfId="4" applyNumberFormat="1" applyFont="1" applyFill="1" applyBorder="1" applyAlignment="1" applyProtection="1">
      <alignment horizontal="center"/>
    </xf>
    <xf numFmtId="9" fontId="6" fillId="0" borderId="0" xfId="4" applyNumberFormat="1" applyFont="1" applyFill="1" applyBorder="1" applyAlignment="1" applyProtection="1">
      <alignment horizontal="center" vertical="center"/>
    </xf>
    <xf numFmtId="0" fontId="3" fillId="0" borderId="0" xfId="4" applyFont="1" applyFill="1" applyBorder="1" applyAlignment="1" applyProtection="1">
      <alignment vertical="center"/>
    </xf>
    <xf numFmtId="0" fontId="3" fillId="0" borderId="0" xfId="4" applyFont="1" applyFill="1" applyBorder="1" applyAlignment="1" applyProtection="1">
      <alignment horizontal="center" vertical="center"/>
    </xf>
    <xf numFmtId="0" fontId="3" fillId="0" borderId="0" xfId="4" applyNumberFormat="1" applyFont="1" applyFill="1" applyBorder="1" applyAlignment="1" applyProtection="1">
      <alignment horizontal="center"/>
    </xf>
    <xf numFmtId="14" fontId="2" fillId="0" borderId="0" xfId="4" applyNumberFormat="1" applyFont="1" applyFill="1" applyBorder="1" applyAlignment="1" applyProtection="1">
      <alignment vertical="center"/>
    </xf>
    <xf numFmtId="1" fontId="8" fillId="6" borderId="3" xfId="4" applyNumberFormat="1" applyFont="1" applyFill="1" applyBorder="1" applyAlignment="1">
      <alignment horizontal="center" vertical="center"/>
    </xf>
    <xf numFmtId="1" fontId="8" fillId="6" borderId="3" xfId="4" applyNumberFormat="1" applyFont="1" applyFill="1" applyBorder="1" applyAlignment="1">
      <alignment horizontal="center" vertical="center"/>
    </xf>
    <xf numFmtId="0" fontId="0" fillId="7" borderId="4" xfId="4" applyFont="1" applyFill="1" applyBorder="1" applyAlignment="1">
      <alignment horizontal="center"/>
    </xf>
    <xf numFmtId="0" fontId="9" fillId="0" borderId="5" xfId="4" applyNumberFormat="1" applyFont="1" applyFill="1" applyBorder="1" applyAlignment="1" applyProtection="1">
      <alignment horizontal="left" vertical="center"/>
    </xf>
    <xf numFmtId="0" fontId="0" fillId="5" borderId="1" xfId="4" applyNumberFormat="1" applyFont="1" applyFill="1" applyBorder="1" applyAlignment="1">
      <alignment horizontal="center"/>
    </xf>
    <xf numFmtId="0" fontId="10" fillId="2" borderId="1" xfId="4" applyBorder="1" applyAlignment="1" applyProtection="1">
      <alignment horizontal="center"/>
    </xf>
    <xf numFmtId="0" fontId="0" fillId="4" borderId="1" xfId="4" applyNumberFormat="1" applyFont="1" applyFill="1" applyBorder="1" applyAlignment="1">
      <alignment horizontal="center"/>
    </xf>
    <xf numFmtId="0" fontId="9" fillId="0" borderId="5" xfId="4" applyNumberFormat="1" applyFont="1" applyFill="1" applyBorder="1" applyAlignment="1" applyProtection="1">
      <alignment horizontal="left" vertical="center"/>
    </xf>
    <xf numFmtId="0" fontId="0" fillId="3" borderId="1" xfId="4" applyNumberFormat="1" applyFont="1" applyFill="1" applyBorder="1" applyAlignment="1">
      <alignment horizontal="center"/>
    </xf>
    <xf numFmtId="0" fontId="9" fillId="0" borderId="6" xfId="4" applyNumberFormat="1" applyFont="1" applyFill="1" applyBorder="1" applyAlignment="1" applyProtection="1">
      <alignment horizontal="left" vertical="center"/>
    </xf>
    <xf numFmtId="0" fontId="5" fillId="0" borderId="0" xfId="4" applyNumberFormat="1" applyFont="1" applyFill="1" applyBorder="1" applyAlignment="1" applyProtection="1">
      <alignment vertical="center" wrapText="1"/>
    </xf>
    <xf numFmtId="0" fontId="4" fillId="0" borderId="2" xfId="4" applyNumberFormat="1" applyFont="1" applyFill="1" applyBorder="1" applyAlignment="1" applyProtection="1">
      <alignment vertical="center"/>
    </xf>
    <xf numFmtId="0" fontId="4" fillId="0" borderId="2" xfId="4" applyNumberFormat="1" applyFont="1" applyFill="1" applyBorder="1" applyAlignment="1" applyProtection="1">
      <alignment horizontal="center" vertical="center"/>
    </xf>
    <xf numFmtId="0" fontId="4" fillId="0" borderId="2" xfId="4" applyNumberFormat="1" applyFont="1" applyFill="1" applyBorder="1" applyAlignment="1" applyProtection="1">
      <alignment horizontal="center" vertical="center" wrapText="1"/>
    </xf>
    <xf numFmtId="0" fontId="4" fillId="0" borderId="7" xfId="4" applyNumberFormat="1" applyFont="1" applyFill="1" applyBorder="1" applyAlignment="1" applyProtection="1">
      <alignment horizontal="center" vertical="center" wrapText="1"/>
    </xf>
    <xf numFmtId="0" fontId="4" fillId="0" borderId="0" xfId="4" applyNumberFormat="1" applyFont="1" applyFill="1" applyBorder="1" applyAlignment="1" applyProtection="1">
      <alignment horizontal="left"/>
    </xf>
    <xf numFmtId="0" fontId="4" fillId="0" borderId="0" xfId="4" applyFont="1" applyFill="1" applyBorder="1" applyAlignment="1" applyProtection="1">
      <alignment horizontal="center" wrapText="1"/>
    </xf>
    <xf numFmtId="0" fontId="5" fillId="0" borderId="0" xfId="4" applyNumberFormat="1" applyFont="1" applyFill="1" applyBorder="1" applyAlignment="1" applyProtection="1">
      <alignment horizontal="center" wrapText="1"/>
    </xf>
    <xf numFmtId="0" fontId="5" fillId="0" borderId="8" xfId="4" applyNumberFormat="1" applyFont="1" applyFill="1" applyBorder="1" applyAlignment="1" applyProtection="1">
      <alignment vertical="center"/>
    </xf>
    <xf numFmtId="0" fontId="7" fillId="0" borderId="0" xfId="4" applyNumberFormat="1" applyFont="1" applyFill="1" applyBorder="1" applyAlignment="1" applyProtection="1">
      <alignment horizontal="center" wrapText="1"/>
    </xf>
    <xf numFmtId="3" fontId="4" fillId="0" borderId="2" xfId="4" applyNumberFormat="1" applyFont="1" applyFill="1" applyBorder="1" applyAlignment="1" applyProtection="1">
      <alignment horizontal="center"/>
    </xf>
    <xf numFmtId="0" fontId="5" fillId="8" borderId="0" xfId="4" applyNumberFormat="1" applyFont="1" applyFill="1" applyBorder="1" applyAlignment="1" applyProtection="1">
      <alignment horizontal="center" vertical="center"/>
    </xf>
    <xf numFmtId="0" fontId="11" fillId="8" borderId="0" xfId="4" applyNumberFormat="1" applyFont="1" applyFill="1" applyBorder="1" applyAlignment="1" applyProtection="1">
      <alignment horizontal="left" wrapText="1"/>
    </xf>
    <xf numFmtId="0" fontId="12" fillId="8" borderId="0" xfId="4" applyNumberFormat="1" applyFont="1" applyFill="1" applyBorder="1" applyAlignment="1" applyProtection="1">
      <alignment horizontal="center" wrapText="1"/>
    </xf>
    <xf numFmtId="1" fontId="13" fillId="8" borderId="0" xfId="4" applyNumberFormat="1" applyFont="1" applyFill="1" applyBorder="1" applyAlignment="1" applyProtection="1">
      <alignment horizontal="center"/>
    </xf>
    <xf numFmtId="0" fontId="13" fillId="8" borderId="0" xfId="4" applyNumberFormat="1" applyFont="1" applyFill="1" applyBorder="1" applyAlignment="1" applyProtection="1">
      <alignment horizontal="center"/>
    </xf>
    <xf numFmtId="9" fontId="14" fillId="8" borderId="0" xfId="4" applyNumberFormat="1" applyFont="1" applyFill="1" applyBorder="1" applyAlignment="1" applyProtection="1">
      <alignment horizontal="center" vertical="center"/>
    </xf>
    <xf numFmtId="0" fontId="5" fillId="8" borderId="0" xfId="4" applyNumberFormat="1" applyFont="1" applyFill="1" applyBorder="1" applyAlignment="1" applyProtection="1">
      <alignment horizontal="center"/>
    </xf>
    <xf numFmtId="0" fontId="11" fillId="0" borderId="0" xfId="4" applyNumberFormat="1" applyFont="1" applyFill="1" applyBorder="1" applyAlignment="1" applyProtection="1">
      <alignment horizontal="left" wrapText="1"/>
    </xf>
    <xf numFmtId="0" fontId="12" fillId="0" borderId="0" xfId="4" applyNumberFormat="1" applyFont="1" applyFill="1" applyBorder="1" applyAlignment="1" applyProtection="1">
      <alignment horizontal="center" wrapText="1"/>
    </xf>
    <xf numFmtId="0" fontId="13" fillId="0" borderId="0" xfId="4" applyNumberFormat="1" applyFont="1" applyFill="1" applyBorder="1" applyAlignment="1" applyProtection="1">
      <alignment horizontal="center"/>
    </xf>
    <xf numFmtId="9" fontId="14" fillId="0" borderId="0" xfId="4" applyNumberFormat="1" applyFont="1" applyFill="1" applyBorder="1" applyAlignment="1" applyProtection="1">
      <alignment horizontal="center" vertical="center"/>
    </xf>
    <xf numFmtId="0" fontId="12" fillId="0" borderId="0" xfId="4" applyNumberFormat="1" applyFont="1" applyFill="1" applyBorder="1" applyAlignment="1" applyProtection="1">
      <alignment horizontal="left" indent="3"/>
    </xf>
    <xf numFmtId="0" fontId="12" fillId="0" borderId="0" xfId="4" applyNumberFormat="1" applyFont="1" applyFill="1" applyBorder="1" applyAlignment="1" applyProtection="1">
      <alignment horizontal="center"/>
    </xf>
    <xf numFmtId="0" fontId="12" fillId="0" borderId="0" xfId="4" applyNumberFormat="1" applyFont="1" applyFill="1" applyBorder="1" applyAlignment="1" applyProtection="1">
      <alignment horizontal="left" wrapText="1" indent="3"/>
    </xf>
    <xf numFmtId="0" fontId="11" fillId="0" borderId="0" xfId="4" applyNumberFormat="1" applyFont="1" applyFill="1" applyBorder="1" applyAlignment="1" applyProtection="1">
      <alignment horizontal="left"/>
    </xf>
    <xf numFmtId="0" fontId="15" fillId="8" borderId="0" xfId="4" applyNumberFormat="1" applyFont="1" applyFill="1" applyBorder="1" applyAlignment="1" applyProtection="1">
      <alignment horizontal="left" indent="3"/>
    </xf>
    <xf numFmtId="0" fontId="12" fillId="8" borderId="0" xfId="4" applyNumberFormat="1" applyFont="1" applyFill="1" applyBorder="1" applyAlignment="1" applyProtection="1">
      <alignment horizontal="center"/>
    </xf>
    <xf numFmtId="9" fontId="16" fillId="8" borderId="0" xfId="2" applyFont="1" applyFill="1" applyBorder="1" applyAlignment="1" applyProtection="1">
      <alignment horizontal="center"/>
    </xf>
    <xf numFmtId="0" fontId="16" fillId="0" borderId="0" xfId="4" applyNumberFormat="1" applyFont="1" applyFill="1" applyBorder="1" applyAlignment="1" applyProtection="1">
      <alignment horizontal="center"/>
    </xf>
    <xf numFmtId="0" fontId="15" fillId="0" borderId="0" xfId="4" applyNumberFormat="1" applyFont="1" applyFill="1" applyBorder="1" applyAlignment="1" applyProtection="1">
      <alignment horizontal="left" indent="3"/>
    </xf>
    <xf numFmtId="0" fontId="12" fillId="0" borderId="0" xfId="4" applyNumberFormat="1" applyFont="1" applyFill="1" applyBorder="1" applyAlignment="1" applyProtection="1">
      <alignment horizontal="left" indent="4"/>
    </xf>
    <xf numFmtId="0" fontId="17" fillId="0" borderId="0" xfId="4" applyNumberFormat="1" applyFont="1" applyFill="1" applyBorder="1" applyAlignment="1" applyProtection="1">
      <alignment horizontal="center" wrapText="1"/>
    </xf>
    <xf numFmtId="0" fontId="12" fillId="0" borderId="0" xfId="4" applyNumberFormat="1" applyFont="1" applyFill="1" applyBorder="1" applyAlignment="1" applyProtection="1">
      <alignment horizontal="left" indent="6"/>
    </xf>
    <xf numFmtId="0" fontId="17" fillId="0" borderId="0" xfId="4" applyNumberFormat="1" applyFont="1" applyFill="1" applyBorder="1" applyAlignment="1" applyProtection="1">
      <alignment horizontal="center"/>
    </xf>
    <xf numFmtId="0" fontId="15" fillId="8" borderId="0" xfId="4" applyNumberFormat="1" applyFont="1" applyFill="1" applyBorder="1" applyAlignment="1" applyProtection="1">
      <alignment horizontal="center"/>
    </xf>
    <xf numFmtId="9" fontId="16" fillId="0" borderId="0" xfId="2" applyFont="1" applyBorder="1" applyAlignment="1" applyProtection="1">
      <alignment horizontal="center"/>
    </xf>
    <xf numFmtId="0" fontId="15" fillId="0" borderId="0" xfId="4" applyNumberFormat="1" applyFont="1" applyFill="1" applyBorder="1" applyAlignment="1" applyProtection="1">
      <alignment horizontal="left" indent="4"/>
    </xf>
    <xf numFmtId="9" fontId="14" fillId="8" borderId="0" xfId="2" applyFont="1" applyFill="1" applyBorder="1" applyAlignment="1" applyProtection="1">
      <alignment horizontal="center"/>
    </xf>
    <xf numFmtId="9" fontId="17" fillId="0" borderId="0" xfId="2" applyFont="1" applyBorder="1" applyAlignment="1" applyProtection="1">
      <alignment horizontal="center"/>
    </xf>
    <xf numFmtId="0" fontId="18" fillId="0" borderId="0" xfId="4" applyNumberFormat="1" applyFont="1" applyFill="1" applyBorder="1" applyAlignment="1" applyProtection="1">
      <alignment horizontal="center" wrapText="1"/>
    </xf>
    <xf numFmtId="0" fontId="19" fillId="0" borderId="0" xfId="4" applyNumberFormat="1" applyFont="1" applyFill="1" applyBorder="1" applyAlignment="1" applyProtection="1">
      <alignment horizontal="center"/>
    </xf>
    <xf numFmtId="0" fontId="20" fillId="0" borderId="0" xfId="4" applyNumberFormat="1" applyFont="1" applyFill="1" applyBorder="1" applyAlignment="1" applyProtection="1">
      <alignment horizontal="center"/>
    </xf>
    <xf numFmtId="0" fontId="21" fillId="0" borderId="0" xfId="3" applyFont="1" applyBorder="1" applyAlignment="1" applyProtection="1">
      <alignment horizontal="left" indent="3"/>
    </xf>
    <xf numFmtId="0" fontId="5" fillId="0" borderId="0" xfId="4" applyNumberFormat="1" applyFont="1" applyFill="1" applyBorder="1" applyAlignment="1" applyProtection="1">
      <alignment horizontal="left" indent="3"/>
    </xf>
    <xf numFmtId="0" fontId="5" fillId="0" borderId="0" xfId="4" applyNumberFormat="1" applyFont="1" applyFill="1" applyBorder="1" applyAlignment="1" applyProtection="1">
      <alignment horizontal="left" indent="6"/>
    </xf>
    <xf numFmtId="0" fontId="22" fillId="0" borderId="0" xfId="0" applyFont="1" applyAlignment="1">
      <alignment horizontal="left" indent="3"/>
    </xf>
    <xf numFmtId="0" fontId="20" fillId="8" borderId="0" xfId="4" applyNumberFormat="1" applyFont="1" applyFill="1" applyBorder="1" applyAlignment="1" applyProtection="1">
      <alignment horizontal="center" wrapText="1"/>
    </xf>
    <xf numFmtId="0" fontId="19" fillId="8" borderId="0" xfId="4" applyNumberFormat="1" applyFont="1" applyFill="1" applyBorder="1" applyAlignment="1" applyProtection="1">
      <alignment horizontal="center"/>
    </xf>
    <xf numFmtId="0" fontId="23" fillId="0" borderId="0" xfId="0" applyFont="1" applyAlignment="1">
      <alignment horizontal="center"/>
    </xf>
    <xf numFmtId="0" fontId="20" fillId="0" borderId="0" xfId="4" applyNumberFormat="1" applyFont="1" applyFill="1" applyBorder="1" applyAlignment="1" applyProtection="1">
      <alignment horizontal="center" wrapText="1"/>
    </xf>
    <xf numFmtId="164" fontId="0" fillId="0" borderId="0" xfId="1" applyFont="1" applyBorder="1" applyAlignment="1" applyProtection="1"/>
    <xf numFmtId="0" fontId="24" fillId="0" borderId="0" xfId="4" applyNumberFormat="1" applyFont="1" applyFill="1" applyBorder="1" applyAlignment="1" applyProtection="1">
      <alignment horizontal="left" wrapText="1" indent="3"/>
    </xf>
    <xf numFmtId="0" fontId="24" fillId="0" borderId="0" xfId="4" applyNumberFormat="1" applyFont="1" applyFill="1" applyBorder="1" applyAlignment="1" applyProtection="1">
      <alignment horizontal="left" wrapText="1" indent="6"/>
    </xf>
    <xf numFmtId="0" fontId="24" fillId="0" borderId="0" xfId="4" applyNumberFormat="1" applyFont="1" applyFill="1" applyBorder="1" applyAlignment="1" applyProtection="1">
      <alignment horizontal="left" wrapText="1" indent="1"/>
    </xf>
    <xf numFmtId="0" fontId="20" fillId="0" borderId="0" xfId="4" applyNumberFormat="1" applyFont="1" applyFill="1" applyBorder="1" applyAlignment="1" applyProtection="1">
      <alignment horizontal="center" vertical="center"/>
    </xf>
    <xf numFmtId="0" fontId="20" fillId="0" borderId="0" xfId="4" applyNumberFormat="1" applyFont="1" applyFill="1" applyBorder="1" applyAlignment="1" applyProtection="1">
      <alignment horizontal="left" wrapText="1" indent="3"/>
    </xf>
    <xf numFmtId="0" fontId="20" fillId="0" borderId="0" xfId="4" applyNumberFormat="1" applyFont="1" applyFill="1" applyBorder="1" applyAlignment="1" applyProtection="1">
      <alignment horizontal="left" wrapText="1" indent="6"/>
    </xf>
    <xf numFmtId="0" fontId="5" fillId="0" borderId="0" xfId="4" applyNumberFormat="1" applyFont="1" applyFill="1" applyBorder="1" applyAlignment="1" applyProtection="1">
      <alignment horizontal="left" wrapText="1" indent="3"/>
    </xf>
    <xf numFmtId="0" fontId="25" fillId="0" borderId="0" xfId="4" applyNumberFormat="1" applyFont="1" applyFill="1" applyBorder="1" applyAlignment="1" applyProtection="1">
      <alignment horizontal="center"/>
    </xf>
    <xf numFmtId="0" fontId="20" fillId="0" borderId="9" xfId="4" applyNumberFormat="1" applyFont="1" applyFill="1" applyBorder="1" applyAlignment="1" applyProtection="1">
      <alignment horizontal="center"/>
    </xf>
    <xf numFmtId="0" fontId="0" fillId="0" borderId="10" xfId="0" applyBorder="1"/>
    <xf numFmtId="0" fontId="0" fillId="9" borderId="11" xfId="0" applyFill="1" applyBorder="1"/>
    <xf numFmtId="0" fontId="0" fillId="10" borderId="0" xfId="0" applyFill="1"/>
    <xf numFmtId="164" fontId="0" fillId="10" borderId="0" xfId="1" applyFont="1" applyFill="1" applyBorder="1" applyAlignment="1" applyProtection="1"/>
    <xf numFmtId="0" fontId="12" fillId="0" borderId="0" xfId="4" applyNumberFormat="1" applyFont="1" applyFill="1" applyBorder="1" applyAlignment="1" applyProtection="1">
      <alignment horizontal="left" wrapText="1" indent="2"/>
    </xf>
    <xf numFmtId="0" fontId="27" fillId="0" borderId="0" xfId="5"/>
    <xf numFmtId="0" fontId="27" fillId="11" borderId="14" xfId="5" applyNumberFormat="1" applyFill="1" applyBorder="1"/>
    <xf numFmtId="0" fontId="27" fillId="11" borderId="15" xfId="5" applyNumberFormat="1" applyFill="1" applyBorder="1"/>
    <xf numFmtId="0" fontId="27" fillId="11" borderId="16" xfId="5" applyNumberFormat="1" applyFill="1" applyBorder="1"/>
    <xf numFmtId="0" fontId="27" fillId="11" borderId="15" xfId="5" applyFill="1" applyBorder="1" applyAlignment="1">
      <alignment horizontal="center"/>
    </xf>
    <xf numFmtId="0" fontId="27" fillId="11" borderId="17" xfId="5" applyFill="1" applyBorder="1" applyAlignment="1">
      <alignment horizontal="center"/>
    </xf>
    <xf numFmtId="164" fontId="27" fillId="0" borderId="0" xfId="6" applyBorder="1"/>
    <xf numFmtId="0" fontId="27" fillId="0" borderId="18" xfId="5" applyBorder="1" applyAlignment="1">
      <alignment horizontal="center"/>
    </xf>
    <xf numFmtId="14" fontId="27" fillId="0" borderId="19" xfId="5" applyNumberFormat="1" applyBorder="1" applyAlignment="1">
      <alignment horizontal="center"/>
    </xf>
    <xf numFmtId="0" fontId="28" fillId="0" borderId="20" xfId="5" applyFont="1" applyBorder="1" applyAlignment="1">
      <alignment horizontal="center"/>
    </xf>
    <xf numFmtId="0" fontId="28" fillId="0" borderId="21" xfId="5" applyFont="1" applyBorder="1" applyAlignment="1">
      <alignment horizontal="center"/>
    </xf>
    <xf numFmtId="0" fontId="28" fillId="0" borderId="22" xfId="5" applyFont="1" applyBorder="1" applyAlignment="1">
      <alignment horizontal="center"/>
    </xf>
    <xf numFmtId="0" fontId="28" fillId="0" borderId="23" xfId="5" applyFont="1" applyBorder="1" applyAlignment="1">
      <alignment horizontal="center"/>
    </xf>
    <xf numFmtId="0" fontId="29" fillId="0" borderId="0" xfId="5" applyFont="1"/>
    <xf numFmtId="164" fontId="27" fillId="11" borderId="14" xfId="5" applyNumberFormat="1" applyFill="1" applyBorder="1"/>
    <xf numFmtId="164" fontId="27" fillId="11" borderId="15" xfId="5" applyNumberFormat="1" applyFill="1" applyBorder="1"/>
    <xf numFmtId="164" fontId="27" fillId="11" borderId="16" xfId="5" applyNumberFormat="1" applyFill="1" applyBorder="1"/>
    <xf numFmtId="164" fontId="27" fillId="0" borderId="24" xfId="6" applyBorder="1"/>
    <xf numFmtId="0" fontId="27" fillId="0" borderId="10" xfId="5" applyBorder="1"/>
    <xf numFmtId="165" fontId="0" fillId="12" borderId="25" xfId="6" applyNumberFormat="1" applyFont="1" applyFill="1" applyBorder="1" applyAlignment="1" applyProtection="1">
      <alignment horizontal="left"/>
    </xf>
    <xf numFmtId="165" fontId="0" fillId="12" borderId="26" xfId="6" applyNumberFormat="1" applyFont="1" applyFill="1" applyBorder="1" applyAlignment="1" applyProtection="1">
      <alignment horizontal="left"/>
    </xf>
    <xf numFmtId="165" fontId="0" fillId="12" borderId="27" xfId="6" applyNumberFormat="1" applyFont="1" applyFill="1" applyBorder="1" applyAlignment="1" applyProtection="1">
      <alignment horizontal="left"/>
    </xf>
    <xf numFmtId="165" fontId="0" fillId="12" borderId="28" xfId="6" applyNumberFormat="1" applyFont="1" applyFill="1" applyBorder="1" applyAlignment="1" applyProtection="1">
      <alignment horizontal="left"/>
    </xf>
    <xf numFmtId="165" fontId="0" fillId="10" borderId="29" xfId="6" applyNumberFormat="1" applyFont="1" applyFill="1" applyBorder="1" applyAlignment="1" applyProtection="1">
      <alignment horizontal="left"/>
    </xf>
    <xf numFmtId="0" fontId="27" fillId="0" borderId="30" xfId="5" applyFont="1" applyBorder="1"/>
    <xf numFmtId="0" fontId="27" fillId="12" borderId="31" xfId="5" applyFill="1" applyBorder="1"/>
    <xf numFmtId="0" fontId="27" fillId="12" borderId="32" xfId="5" applyFill="1" applyBorder="1"/>
    <xf numFmtId="0" fontId="27" fillId="12" borderId="33" xfId="5" applyFill="1" applyBorder="1"/>
    <xf numFmtId="0" fontId="27" fillId="12" borderId="34" xfId="5" applyFill="1" applyBorder="1"/>
    <xf numFmtId="0" fontId="27" fillId="10" borderId="35" xfId="5" applyFill="1" applyBorder="1"/>
    <xf numFmtId="0" fontId="27" fillId="0" borderId="36" xfId="5" applyFont="1" applyBorder="1"/>
    <xf numFmtId="164" fontId="0" fillId="0" borderId="24" xfId="6" applyFont="1" applyBorder="1" applyAlignment="1" applyProtection="1"/>
    <xf numFmtId="164" fontId="0" fillId="0" borderId="0" xfId="6" applyFont="1" applyBorder="1" applyAlignment="1" applyProtection="1"/>
    <xf numFmtId="164" fontId="0" fillId="13" borderId="37" xfId="6" applyFont="1" applyFill="1" applyBorder="1" applyAlignment="1" applyProtection="1"/>
    <xf numFmtId="0" fontId="27" fillId="0" borderId="38" xfId="5" applyBorder="1"/>
    <xf numFmtId="165" fontId="0" fillId="14" borderId="39" xfId="6" applyNumberFormat="1" applyFont="1" applyFill="1" applyBorder="1" applyAlignment="1" applyProtection="1"/>
    <xf numFmtId="165" fontId="0" fillId="14" borderId="13" xfId="6" applyNumberFormat="1" applyFont="1" applyFill="1" applyBorder="1" applyAlignment="1" applyProtection="1"/>
    <xf numFmtId="165" fontId="0" fillId="12" borderId="12" xfId="6" applyNumberFormat="1" applyFont="1" applyFill="1" applyBorder="1" applyAlignment="1" applyProtection="1"/>
    <xf numFmtId="0" fontId="27" fillId="0" borderId="40" xfId="5" applyFont="1" applyBorder="1"/>
    <xf numFmtId="0" fontId="0" fillId="14" borderId="24" xfId="6" applyNumberFormat="1" applyFont="1" applyFill="1" applyBorder="1" applyAlignment="1" applyProtection="1"/>
    <xf numFmtId="0" fontId="0" fillId="14" borderId="0" xfId="6" applyNumberFormat="1" applyFont="1" applyFill="1" applyBorder="1" applyAlignment="1" applyProtection="1"/>
    <xf numFmtId="0" fontId="27" fillId="12" borderId="41" xfId="5" applyFill="1" applyBorder="1"/>
    <xf numFmtId="0" fontId="27" fillId="0" borderId="19" xfId="5" applyFont="1" applyBorder="1"/>
    <xf numFmtId="165" fontId="27" fillId="14" borderId="24" xfId="5" applyNumberFormat="1" applyFill="1" applyBorder="1"/>
    <xf numFmtId="165" fontId="27" fillId="14" borderId="0" xfId="5" applyNumberFormat="1" applyFill="1" applyBorder="1"/>
    <xf numFmtId="165" fontId="27" fillId="12" borderId="41" xfId="5" applyNumberFormat="1" applyFill="1" applyBorder="1"/>
    <xf numFmtId="0" fontId="27" fillId="14" borderId="24" xfId="5" applyFill="1" applyBorder="1"/>
    <xf numFmtId="0" fontId="27" fillId="14" borderId="0" xfId="5" applyFill="1" applyBorder="1"/>
    <xf numFmtId="0" fontId="27" fillId="12" borderId="42" xfId="5" applyFill="1" applyBorder="1"/>
    <xf numFmtId="0" fontId="30" fillId="0" borderId="43" xfId="7" applyFont="1" applyBorder="1" applyAlignment="1">
      <alignment horizontal="center"/>
    </xf>
    <xf numFmtId="0" fontId="30" fillId="0" borderId="44" xfId="7" applyFont="1" applyBorder="1" applyAlignment="1">
      <alignment horizontal="center"/>
    </xf>
    <xf numFmtId="0" fontId="31" fillId="0" borderId="21" xfId="5" applyFont="1" applyBorder="1" applyAlignment="1">
      <alignment horizontal="center"/>
    </xf>
    <xf numFmtId="0" fontId="32" fillId="0" borderId="23" xfId="5" applyFont="1" applyBorder="1"/>
    <xf numFmtId="0" fontId="26" fillId="0" borderId="0" xfId="7"/>
    <xf numFmtId="166" fontId="26" fillId="0" borderId="0" xfId="7" applyNumberFormat="1"/>
    <xf numFmtId="14" fontId="26" fillId="0" borderId="0" xfId="7" applyNumberFormat="1" applyAlignment="1">
      <alignment horizontal="center"/>
    </xf>
    <xf numFmtId="166" fontId="30" fillId="0" borderId="12" xfId="5" applyNumberFormat="1" applyFont="1" applyBorder="1" applyAlignment="1" applyProtection="1">
      <alignment horizontal="center"/>
    </xf>
    <xf numFmtId="0" fontId="30" fillId="0" borderId="13" xfId="7" applyFont="1" applyBorder="1" applyAlignment="1">
      <alignment horizontal="center"/>
    </xf>
    <xf numFmtId="0" fontId="30" fillId="0" borderId="45" xfId="7" applyFont="1" applyBorder="1" applyAlignment="1">
      <alignment horizontal="center"/>
    </xf>
    <xf numFmtId="166" fontId="30" fillId="10" borderId="46" xfId="7" applyNumberFormat="1" applyFont="1" applyFill="1" applyBorder="1" applyAlignment="1">
      <alignment horizontal="center"/>
    </xf>
    <xf numFmtId="0" fontId="30" fillId="10" borderId="37" xfId="7" applyFont="1" applyFill="1" applyBorder="1" applyAlignment="1">
      <alignment horizontal="center"/>
    </xf>
    <xf numFmtId="0" fontId="30" fillId="10" borderId="47" xfId="7" applyFont="1" applyFill="1" applyBorder="1" applyAlignment="1">
      <alignment horizontal="center"/>
    </xf>
    <xf numFmtId="0" fontId="30" fillId="10" borderId="48" xfId="7" applyFont="1" applyFill="1" applyBorder="1" applyAlignment="1">
      <alignment horizontal="right"/>
    </xf>
    <xf numFmtId="14" fontId="26" fillId="0" borderId="49" xfId="7" applyNumberFormat="1" applyBorder="1" applyAlignment="1">
      <alignment horizontal="center"/>
    </xf>
    <xf numFmtId="166" fontId="26" fillId="0" borderId="24" xfId="7" applyNumberFormat="1" applyBorder="1"/>
    <xf numFmtId="0" fontId="26" fillId="0" borderId="0" xfId="7" applyBorder="1"/>
    <xf numFmtId="14" fontId="26" fillId="0" borderId="19" xfId="7" applyNumberFormat="1" applyBorder="1" applyAlignment="1">
      <alignment horizontal="center"/>
    </xf>
    <xf numFmtId="166" fontId="26" fillId="0" borderId="24" xfId="7" applyNumberFormat="1" applyBorder="1" applyAlignment="1">
      <alignment horizontal="center"/>
    </xf>
    <xf numFmtId="0" fontId="26" fillId="0" borderId="50" xfId="7" applyBorder="1" applyAlignment="1">
      <alignment horizontal="center"/>
    </xf>
    <xf numFmtId="0" fontId="26" fillId="0" borderId="51" xfId="7" applyBorder="1" applyAlignment="1">
      <alignment horizontal="center"/>
    </xf>
    <xf numFmtId="0" fontId="26" fillId="0" borderId="0" xfId="7" applyBorder="1" applyAlignment="1">
      <alignment horizontal="center"/>
    </xf>
    <xf numFmtId="166" fontId="26" fillId="0" borderId="52" xfId="7" applyNumberFormat="1" applyBorder="1" applyAlignment="1">
      <alignment horizontal="center"/>
    </xf>
    <xf numFmtId="0" fontId="26" fillId="0" borderId="18" xfId="7" applyFont="1" applyBorder="1" applyAlignment="1">
      <alignment horizontal="center"/>
    </xf>
    <xf numFmtId="0" fontId="26" fillId="0" borderId="18" xfId="7" applyFont="1" applyBorder="1" applyAlignment="1">
      <alignment wrapText="1"/>
    </xf>
    <xf numFmtId="0" fontId="26" fillId="0" borderId="18" xfId="7" applyBorder="1" applyAlignment="1">
      <alignment horizontal="center"/>
    </xf>
    <xf numFmtId="167" fontId="26" fillId="0" borderId="19" xfId="7" applyNumberFormat="1" applyBorder="1" applyAlignment="1">
      <alignment horizontal="center"/>
    </xf>
    <xf numFmtId="0" fontId="30" fillId="0" borderId="0" xfId="7" applyFont="1"/>
    <xf numFmtId="0" fontId="30" fillId="0" borderId="0" xfId="7" applyFont="1" applyBorder="1" applyAlignment="1">
      <alignment horizontal="center"/>
    </xf>
    <xf numFmtId="0" fontId="26" fillId="0" borderId="0" xfId="7" applyFont="1" applyBorder="1" applyAlignment="1">
      <alignment horizontal="center"/>
    </xf>
    <xf numFmtId="0" fontId="26" fillId="0" borderId="53" xfId="7" applyFont="1" applyBorder="1" applyAlignment="1">
      <alignment horizontal="center"/>
    </xf>
    <xf numFmtId="14" fontId="26" fillId="0" borderId="36" xfId="7" applyNumberFormat="1" applyFont="1" applyBorder="1" applyAlignment="1">
      <alignment horizontal="center"/>
    </xf>
    <xf numFmtId="0" fontId="30" fillId="0" borderId="0" xfId="7" applyFont="1" applyAlignment="1">
      <alignment horizontal="center"/>
    </xf>
    <xf numFmtId="0" fontId="30" fillId="0" borderId="50" xfId="7" applyFont="1" applyBorder="1" applyAlignment="1">
      <alignment horizontal="center"/>
    </xf>
    <xf numFmtId="0" fontId="30" fillId="0" borderId="51" xfId="7" applyFont="1" applyBorder="1" applyAlignment="1">
      <alignment horizontal="center"/>
    </xf>
    <xf numFmtId="0" fontId="26" fillId="0" borderId="54" xfId="7" applyFont="1" applyBorder="1" applyAlignment="1">
      <alignment horizontal="center"/>
    </xf>
    <xf numFmtId="14" fontId="26" fillId="0" borderId="55" xfId="7" applyNumberFormat="1" applyFont="1" applyBorder="1" applyAlignment="1">
      <alignment horizontal="center"/>
    </xf>
    <xf numFmtId="166" fontId="30" fillId="0" borderId="20" xfId="5" applyNumberFormat="1" applyFont="1" applyBorder="1" applyAlignment="1" applyProtection="1">
      <alignment horizontal="center"/>
    </xf>
    <xf numFmtId="0" fontId="30" fillId="0" borderId="56" xfId="7" applyFont="1" applyBorder="1" applyAlignment="1">
      <alignment horizontal="center"/>
    </xf>
    <xf numFmtId="14" fontId="30" fillId="0" borderId="44" xfId="7" applyNumberFormat="1" applyFont="1" applyBorder="1" applyAlignment="1">
      <alignment horizontal="center"/>
    </xf>
    <xf numFmtId="14" fontId="30" fillId="0" borderId="57" xfId="7" applyNumberFormat="1" applyFont="1" applyBorder="1" applyAlignment="1">
      <alignment horizontal="center"/>
    </xf>
    <xf numFmtId="0" fontId="30" fillId="0" borderId="0" xfId="7" applyFont="1" applyAlignment="1"/>
    <xf numFmtId="0" fontId="30" fillId="0" borderId="0" xfId="7" applyFont="1" applyAlignment="1">
      <alignment horizontal="left"/>
    </xf>
    <xf numFmtId="0" fontId="27" fillId="0" borderId="0" xfId="5" applyBorder="1" applyAlignment="1" applyProtection="1"/>
    <xf numFmtId="14" fontId="26" fillId="0" borderId="0" xfId="7" applyNumberFormat="1"/>
    <xf numFmtId="0" fontId="30" fillId="0" borderId="12" xfId="5" applyFont="1" applyBorder="1" applyAlignment="1" applyProtection="1"/>
    <xf numFmtId="0" fontId="30" fillId="0" borderId="13" xfId="7" applyFont="1" applyBorder="1"/>
    <xf numFmtId="0" fontId="30" fillId="0" borderId="12" xfId="7" applyFont="1" applyBorder="1"/>
    <xf numFmtId="14" fontId="26" fillId="0" borderId="53" xfId="7" applyNumberFormat="1" applyBorder="1"/>
    <xf numFmtId="164" fontId="26" fillId="0" borderId="0" xfId="6" applyFont="1" applyBorder="1" applyAlignment="1" applyProtection="1"/>
    <xf numFmtId="164" fontId="31" fillId="10" borderId="58" xfId="5" applyNumberFormat="1" applyFont="1" applyFill="1" applyBorder="1" applyAlignment="1" applyProtection="1">
      <alignment horizontal="center"/>
    </xf>
    <xf numFmtId="0" fontId="30" fillId="10" borderId="59" xfId="7" applyFont="1" applyFill="1" applyBorder="1" applyAlignment="1">
      <alignment horizontal="center"/>
    </xf>
    <xf numFmtId="0" fontId="30" fillId="10" borderId="60" xfId="7" applyFont="1" applyFill="1" applyBorder="1" applyAlignment="1">
      <alignment horizontal="center"/>
    </xf>
    <xf numFmtId="0" fontId="30" fillId="10" borderId="61" xfId="7" applyFont="1" applyFill="1" applyBorder="1" applyAlignment="1">
      <alignment horizontal="center"/>
    </xf>
    <xf numFmtId="14" fontId="26" fillId="0" borderId="49" xfId="7" applyNumberFormat="1" applyBorder="1"/>
    <xf numFmtId="164" fontId="27" fillId="0" borderId="52" xfId="5" applyNumberFormat="1" applyBorder="1" applyAlignment="1" applyProtection="1"/>
    <xf numFmtId="0" fontId="26" fillId="13" borderId="0" xfId="7" applyFill="1" applyBorder="1" applyAlignment="1">
      <alignment horizontal="center"/>
    </xf>
    <xf numFmtId="0" fontId="26" fillId="0" borderId="47" xfId="7" applyBorder="1" applyAlignment="1">
      <alignment horizontal="center"/>
    </xf>
    <xf numFmtId="0" fontId="26" fillId="0" borderId="18" xfId="7" applyBorder="1" applyAlignment="1">
      <alignment wrapText="1"/>
    </xf>
    <xf numFmtId="14" fontId="26" fillId="0" borderId="19" xfId="7" applyNumberFormat="1" applyBorder="1"/>
    <xf numFmtId="0" fontId="30" fillId="0" borderId="18" xfId="7" applyFont="1" applyBorder="1" applyAlignment="1">
      <alignment wrapText="1"/>
    </xf>
    <xf numFmtId="14" fontId="26" fillId="0" borderId="19" xfId="7" applyNumberFormat="1" applyFont="1" applyBorder="1"/>
    <xf numFmtId="0" fontId="30" fillId="0" borderId="20" xfId="5" applyFont="1" applyBorder="1" applyAlignment="1" applyProtection="1"/>
    <xf numFmtId="0" fontId="30" fillId="0" borderId="44" xfId="7" applyFont="1" applyBorder="1"/>
    <xf numFmtId="0" fontId="30" fillId="0" borderId="21" xfId="7" applyFont="1" applyBorder="1"/>
    <xf numFmtId="14" fontId="30" fillId="0" borderId="21" xfId="7" applyNumberFormat="1" applyFont="1" applyBorder="1"/>
    <xf numFmtId="14" fontId="30" fillId="0" borderId="23" xfId="7" applyNumberFormat="1" applyFont="1" applyBorder="1"/>
    <xf numFmtId="0" fontId="27" fillId="0" borderId="56" xfId="5" applyBorder="1" applyAlignment="1" applyProtection="1"/>
    <xf numFmtId="0" fontId="26" fillId="0" borderId="56" xfId="7" applyBorder="1"/>
    <xf numFmtId="14" fontId="30" fillId="0" borderId="56" xfId="7" applyNumberFormat="1" applyFont="1" applyBorder="1"/>
    <xf numFmtId="14" fontId="26" fillId="0" borderId="62" xfId="7" applyNumberFormat="1" applyBorder="1"/>
    <xf numFmtId="14" fontId="26" fillId="0" borderId="0" xfId="7" applyNumberFormat="1" applyFont="1" applyBorder="1" applyAlignment="1">
      <alignment horizontal="left" wrapText="1"/>
    </xf>
    <xf numFmtId="14" fontId="26" fillId="0" borderId="18" xfId="7" applyNumberFormat="1" applyFont="1" applyBorder="1" applyAlignment="1">
      <alignment horizontal="left" wrapText="1"/>
    </xf>
    <xf numFmtId="14" fontId="26" fillId="0" borderId="18" xfId="7" applyNumberFormat="1" applyFont="1" applyBorder="1" applyAlignment="1">
      <alignment wrapText="1"/>
    </xf>
    <xf numFmtId="0" fontId="0" fillId="0" borderId="18" xfId="7" applyFont="1" applyBorder="1" applyAlignment="1">
      <alignment wrapText="1"/>
    </xf>
    <xf numFmtId="0" fontId="9" fillId="0" borderId="6" xfId="4" applyNumberFormat="1" applyFont="1" applyFill="1" applyBorder="1" applyAlignment="1" applyProtection="1">
      <alignment horizontal="left" vertical="center"/>
    </xf>
    <xf numFmtId="0" fontId="4" fillId="0" borderId="2" xfId="4" applyNumberFormat="1" applyFont="1" applyFill="1" applyBorder="1" applyAlignment="1" applyProtection="1">
      <alignment vertical="center"/>
    </xf>
    <xf numFmtId="0" fontId="4" fillId="0" borderId="2" xfId="4" applyNumberFormat="1" applyFont="1" applyFill="1" applyBorder="1" applyAlignment="1" applyProtection="1">
      <alignment horizontal="center" vertical="center"/>
    </xf>
    <xf numFmtId="0" fontId="4" fillId="0" borderId="2" xfId="4" applyNumberFormat="1" applyFont="1" applyFill="1" applyBorder="1" applyAlignment="1" applyProtection="1">
      <alignment horizontal="center" vertical="center" wrapText="1"/>
    </xf>
    <xf numFmtId="0" fontId="4" fillId="0" borderId="7" xfId="4" applyNumberFormat="1" applyFont="1" applyFill="1" applyBorder="1" applyAlignment="1" applyProtection="1">
      <alignment horizontal="center" vertical="center" wrapText="1"/>
    </xf>
    <xf numFmtId="14" fontId="2" fillId="0" borderId="0" xfId="4" applyNumberFormat="1" applyFont="1" applyFill="1" applyBorder="1" applyAlignment="1" applyProtection="1">
      <alignment vertical="center"/>
    </xf>
    <xf numFmtId="0" fontId="9" fillId="0" borderId="5" xfId="4" applyNumberFormat="1" applyFont="1" applyFill="1" applyBorder="1" applyAlignment="1" applyProtection="1">
      <alignment horizontal="left" vertical="center"/>
    </xf>
  </cellXfs>
  <cellStyles count="8">
    <cellStyle name="Currency" xfId="1" builtinId="4"/>
    <cellStyle name="Currency 2" xfId="6"/>
    <cellStyle name="Explanatory Text" xfId="4" builtinId="53" customBuiltin="1"/>
    <cellStyle name="Explanatory Text 2" xfId="7"/>
    <cellStyle name="Hyperlink" xfId="3" builtinId="8"/>
    <cellStyle name="Normal" xfId="0" builtinId="0"/>
    <cellStyle name="Normal 2" xfId="5"/>
    <cellStyle name="Percent" xfId="2" builtinId="5"/>
  </cellStyles>
  <dxfs count="352">
    <dxf>
      <fill>
        <patternFill>
          <bgColor rgb="FFFFFF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ont>
        <name val="Arial"/>
      </font>
      <alignment horizontal="general" vertical="bottom" textRotation="0" wrapText="0" indent="0" shrinkToFit="0"/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FFFF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2F2F2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C5E0B4"/>
        </patternFill>
      </fill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</border>
    </dxf>
    <dxf>
      <fill>
        <patternFill>
          <bgColor rgb="FFFFEFC0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D3D88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DC73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70AD47"/>
        </patternFill>
      </fill>
      <border diagonalUp="0" diagonalDown="0">
        <left/>
        <right/>
        <top/>
        <bottom style="thin">
          <color auto="1"/>
        </bottom>
      </border>
    </dxf>
    <dxf>
      <fill>
        <patternFill>
          <bgColor rgb="FFFFC000"/>
        </patternFill>
      </fill>
      <border diagonalUp="0" diagonalDown="0">
        <left/>
        <right/>
        <top/>
        <bottom style="thin">
          <color auto="1"/>
        </bottom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800080"/>
      <rgbColor rgb="FF008080"/>
      <rgbColor rgb="FFC5E0B4"/>
      <rgbColor rgb="FF808080"/>
      <rgbColor rgb="FF9999FF"/>
      <rgbColor rgb="FF993366"/>
      <rgbColor rgb="FFFFEFC0"/>
      <rgbColor rgb="FFF2F2F2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7E6E6"/>
      <rgbColor rgb="FFD3D887"/>
      <rgbColor rgb="FFFFE699"/>
      <rgbColor rgb="FF99CCFF"/>
      <rgbColor rgb="FFFF99CC"/>
      <rgbColor rgb="FFCC99FF"/>
      <rgbColor rgb="FFFFDC73"/>
      <rgbColor rgb="FF3366FF"/>
      <rgbColor rgb="FF33CCCC"/>
      <rgbColor rgb="FF99CC00"/>
      <rgbColor rgb="FFFFC000"/>
      <rgbColor rgb="FFFF9900"/>
      <rgbColor rgb="FFFF6600"/>
      <rgbColor rgb="FF59595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Task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99929816465252"/>
          <c:y val="0.15658427311970619"/>
          <c:w val="0.67541153509657448"/>
          <c:h val="0.65585647947852677"/>
        </c:manualLayout>
      </c:layout>
      <c:lineChart>
        <c:grouping val="standard"/>
        <c:varyColors val="0"/>
        <c:ser>
          <c:idx val="0"/>
          <c:order val="0"/>
          <c:tx>
            <c:strRef>
              <c:f>Overview!$C$12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Overview!$A$13:$A$27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Overview!$C$13:$C$27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</c:v>
                </c:pt>
                <c:pt idx="4">
                  <c:v>50</c:v>
                </c:pt>
                <c:pt idx="5">
                  <c:v>0</c:v>
                </c:pt>
                <c:pt idx="6">
                  <c:v>150</c:v>
                </c:pt>
                <c:pt idx="7">
                  <c:v>200</c:v>
                </c:pt>
                <c:pt idx="8">
                  <c:v>375</c:v>
                </c:pt>
                <c:pt idx="9">
                  <c:v>550</c:v>
                </c:pt>
                <c:pt idx="10">
                  <c:v>300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20-4E07-9596-FABA919DF866}"/>
            </c:ext>
          </c:extLst>
        </c:ser>
        <c:ser>
          <c:idx val="1"/>
          <c:order val="1"/>
          <c:tx>
            <c:strRef>
              <c:f>Overview!$D$12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Overview!$D$13:$D$27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500</c:v>
                </c:pt>
                <c:pt idx="6">
                  <c:v>350</c:v>
                </c:pt>
                <c:pt idx="7">
                  <c:v>100</c:v>
                </c:pt>
                <c:pt idx="8">
                  <c:v>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20-4E07-9596-FABA919DF866}"/>
            </c:ext>
          </c:extLst>
        </c:ser>
        <c:ser>
          <c:idx val="2"/>
          <c:order val="2"/>
          <c:tx>
            <c:strRef>
              <c:f>Overview!$E$12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Overview!$E$13:$E$27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20-4E07-9596-FABA919DF866}"/>
            </c:ext>
          </c:extLst>
        </c:ser>
        <c:ser>
          <c:idx val="3"/>
          <c:order val="3"/>
          <c:tx>
            <c:strRef>
              <c:f>Overview!$F$12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Overview!$F$13:$F$27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150</c:v>
                </c:pt>
                <c:pt idx="7">
                  <c:v>100</c:v>
                </c:pt>
                <c:pt idx="8">
                  <c:v>200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20-4E07-9596-FABA919DF866}"/>
            </c:ext>
          </c:extLst>
        </c:ser>
        <c:ser>
          <c:idx val="4"/>
          <c:order val="4"/>
          <c:tx>
            <c:strRef>
              <c:f>Overview!$G$12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Overview!$G$13:$G$27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20-4E07-9596-FABA919DF866}"/>
            </c:ext>
          </c:extLst>
        </c:ser>
        <c:ser>
          <c:idx val="5"/>
          <c:order val="5"/>
          <c:tx>
            <c:strRef>
              <c:f>Overview!$H$12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Overview!$H$13:$H$27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150</c:v>
                </c:pt>
                <c:pt idx="7">
                  <c:v>450</c:v>
                </c:pt>
                <c:pt idx="8">
                  <c:v>50</c:v>
                </c:pt>
                <c:pt idx="9">
                  <c:v>400</c:v>
                </c:pt>
                <c:pt idx="10">
                  <c:v>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720-4E07-9596-FABA919DF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6844944"/>
        <c:axId val="-96844400"/>
      </c:lineChart>
      <c:dateAx>
        <c:axId val="-968449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844400"/>
        <c:crosses val="autoZero"/>
        <c:auto val="1"/>
        <c:lblOffset val="100"/>
        <c:baseTimeUnit val="days"/>
        <c:majorUnit val="7"/>
        <c:majorTimeUnit val="days"/>
      </c:dateAx>
      <c:valAx>
        <c:axId val="-968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84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Meeting Costs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Overview!$C$32</c:f>
              <c:strCache>
                <c:ptCount val="1"/>
                <c:pt idx="0">
                  <c:v>Andrei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Overview!$A$33:$A$47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Overview!$C$33:$C$47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100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8-4A1F-A25A-4565F9A19E21}"/>
            </c:ext>
          </c:extLst>
        </c:ser>
        <c:ser>
          <c:idx val="1"/>
          <c:order val="1"/>
          <c:tx>
            <c:strRef>
              <c:f>Overview!$D$32</c:f>
              <c:strCache>
                <c:ptCount val="1"/>
                <c:pt idx="0">
                  <c:v>Bach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Overview!$A$33:$A$47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Overview!$D$33:$D$47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0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0</c:v>
                </c:pt>
                <c:pt idx="10">
                  <c:v>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8-4A1F-A25A-4565F9A19E21}"/>
            </c:ext>
          </c:extLst>
        </c:ser>
        <c:ser>
          <c:idx val="2"/>
          <c:order val="2"/>
          <c:tx>
            <c:strRef>
              <c:f>Overview!$E$32</c:f>
              <c:strCache>
                <c:ptCount val="1"/>
                <c:pt idx="0">
                  <c:v>Brandon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Overview!$A$33:$A$47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Overview!$E$33:$E$47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8-4A1F-A25A-4565F9A19E21}"/>
            </c:ext>
          </c:extLst>
        </c:ser>
        <c:ser>
          <c:idx val="3"/>
          <c:order val="3"/>
          <c:tx>
            <c:strRef>
              <c:f>Overview!$F$32</c:f>
              <c:strCache>
                <c:ptCount val="1"/>
                <c:pt idx="0">
                  <c:v>Cody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Overview!$A$33:$A$47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Overview!$F$33:$F$47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8-4A1F-A25A-4565F9A19E21}"/>
            </c:ext>
          </c:extLst>
        </c:ser>
        <c:ser>
          <c:idx val="4"/>
          <c:order val="4"/>
          <c:tx>
            <c:strRef>
              <c:f>Overview!$G$32</c:f>
              <c:strCache>
                <c:ptCount val="1"/>
                <c:pt idx="0">
                  <c:v>Peter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Overview!$A$33:$A$47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Overview!$G$33:$G$47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8-4A1F-A25A-4565F9A19E21}"/>
            </c:ext>
          </c:extLst>
        </c:ser>
        <c:ser>
          <c:idx val="5"/>
          <c:order val="5"/>
          <c:tx>
            <c:strRef>
              <c:f>Overview!$H$32</c:f>
              <c:strCache>
                <c:ptCount val="1"/>
                <c:pt idx="0">
                  <c:v>Zack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Overview!$A$33:$A$47</c:f>
              <c:numCache>
                <c:formatCode>m/d/yyyy</c:formatCode>
                <c:ptCount val="15"/>
                <c:pt idx="0">
                  <c:v>43114</c:v>
                </c:pt>
                <c:pt idx="1">
                  <c:v>43121</c:v>
                </c:pt>
                <c:pt idx="2">
                  <c:v>43128</c:v>
                </c:pt>
                <c:pt idx="3">
                  <c:v>43135</c:v>
                </c:pt>
                <c:pt idx="4">
                  <c:v>43142</c:v>
                </c:pt>
                <c:pt idx="5">
                  <c:v>43149</c:v>
                </c:pt>
                <c:pt idx="6">
                  <c:v>43156</c:v>
                </c:pt>
                <c:pt idx="7">
                  <c:v>43163</c:v>
                </c:pt>
                <c:pt idx="8">
                  <c:v>43170</c:v>
                </c:pt>
                <c:pt idx="9">
                  <c:v>43177</c:v>
                </c:pt>
                <c:pt idx="10">
                  <c:v>43184</c:v>
                </c:pt>
                <c:pt idx="11">
                  <c:v>43191</c:v>
                </c:pt>
                <c:pt idx="12">
                  <c:v>43198</c:v>
                </c:pt>
                <c:pt idx="13">
                  <c:v>43205</c:v>
                </c:pt>
                <c:pt idx="14">
                  <c:v>43212</c:v>
                </c:pt>
              </c:numCache>
            </c:numRef>
          </c:cat>
          <c:val>
            <c:numRef>
              <c:f>Overview!$H$33:$H$47</c:f>
              <c:numCache>
                <c:formatCode>_(\$* #,##0.00_);_(\$* \(#,##0.00\);_(\$* \-??_);_(@_)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50</c:v>
                </c:pt>
                <c:pt idx="3">
                  <c:v>100</c:v>
                </c:pt>
                <c:pt idx="4">
                  <c:v>75</c:v>
                </c:pt>
                <c:pt idx="5">
                  <c:v>200</c:v>
                </c:pt>
                <c:pt idx="6">
                  <c:v>350</c:v>
                </c:pt>
                <c:pt idx="7">
                  <c:v>200</c:v>
                </c:pt>
                <c:pt idx="8">
                  <c:v>0</c:v>
                </c:pt>
                <c:pt idx="9">
                  <c:v>200</c:v>
                </c:pt>
                <c:pt idx="10">
                  <c:v>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B8-4A1F-A25A-4565F9A19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6843856"/>
        <c:axId val="-96840048"/>
      </c:lineChart>
      <c:dateAx>
        <c:axId val="-968438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840048"/>
        <c:crosses val="autoZero"/>
        <c:auto val="1"/>
        <c:lblOffset val="100"/>
        <c:baseTimeUnit val="days"/>
        <c:majorUnit val="7"/>
        <c:majorTimeUnit val="days"/>
      </c:dateAx>
      <c:valAx>
        <c:axId val="-9684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6843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754380</xdr:colOff>
      <xdr:row>0</xdr:row>
      <xdr:rowOff>0</xdr:rowOff>
    </xdr:from>
    <xdr:to>
      <xdr:col>13</xdr:col>
      <xdr:colOff>173421</xdr:colOff>
      <xdr:row>10</xdr:row>
      <xdr:rowOff>53340</xdr:rowOff>
    </xdr:to>
    <xdr:sp macro="" textlink="">
      <xdr:nvSpPr>
        <xdr:cNvPr id="4" name="TextBox 3"/>
        <xdr:cNvSpPr txBox="1"/>
      </xdr:nvSpPr>
      <xdr:spPr>
        <a:xfrm>
          <a:off x="7176201" y="0"/>
          <a:ext cx="3176489" cy="1903161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9</xdr:col>
      <xdr:colOff>45720</xdr:colOff>
      <xdr:row>6</xdr:row>
      <xdr:rowOff>144780</xdr:rowOff>
    </xdr:from>
    <xdr:to>
      <xdr:col>11</xdr:col>
      <xdr:colOff>601980</xdr:colOff>
      <xdr:row>9</xdr:row>
      <xdr:rowOff>137160</xdr:rowOff>
    </xdr:to>
    <xdr:sp macro="" textlink="">
      <xdr:nvSpPr>
        <xdr:cNvPr id="13" name="TextBox 12"/>
        <xdr:cNvSpPr txBox="1"/>
      </xdr:nvSpPr>
      <xdr:spPr>
        <a:xfrm>
          <a:off x="7322820" y="124968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Brandon</a:t>
          </a:r>
        </a:p>
      </xdr:txBody>
    </xdr:sp>
    <xdr:clientData/>
  </xdr:twoCellAnchor>
  <xdr:twoCellAnchor>
    <xdr:from>
      <xdr:col>9</xdr:col>
      <xdr:colOff>45720</xdr:colOff>
      <xdr:row>3</xdr:row>
      <xdr:rowOff>99060</xdr:rowOff>
    </xdr:from>
    <xdr:to>
      <xdr:col>11</xdr:col>
      <xdr:colOff>601980</xdr:colOff>
      <xdr:row>6</xdr:row>
      <xdr:rowOff>91440</xdr:rowOff>
    </xdr:to>
    <xdr:sp macro="" textlink="">
      <xdr:nvSpPr>
        <xdr:cNvPr id="12" name="TextBox 11"/>
        <xdr:cNvSpPr txBox="1"/>
      </xdr:nvSpPr>
      <xdr:spPr>
        <a:xfrm>
          <a:off x="7322820" y="64770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Bach</a:t>
          </a:r>
        </a:p>
      </xdr:txBody>
    </xdr:sp>
    <xdr:clientData/>
  </xdr:twoCellAnchor>
  <xdr:twoCellAnchor>
    <xdr:from>
      <xdr:col>9</xdr:col>
      <xdr:colOff>30480</xdr:colOff>
      <xdr:row>0</xdr:row>
      <xdr:rowOff>45720</xdr:rowOff>
    </xdr:from>
    <xdr:to>
      <xdr:col>11</xdr:col>
      <xdr:colOff>586740</xdr:colOff>
      <xdr:row>3</xdr:row>
      <xdr:rowOff>45720</xdr:rowOff>
    </xdr:to>
    <xdr:sp macro="" textlink="">
      <xdr:nvSpPr>
        <xdr:cNvPr id="5" name="TextBox 4"/>
        <xdr:cNvSpPr txBox="1"/>
      </xdr:nvSpPr>
      <xdr:spPr>
        <a:xfrm>
          <a:off x="7307580" y="45720"/>
          <a:ext cx="1318260" cy="5486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Andrei</a:t>
          </a:r>
        </a:p>
      </xdr:txBody>
    </xdr:sp>
    <xdr:clientData/>
  </xdr:twoCellAnchor>
  <xdr:twoCellAnchor>
    <xdr:from>
      <xdr:col>8</xdr:col>
      <xdr:colOff>335280</xdr:colOff>
      <xdr:row>10</xdr:row>
      <xdr:rowOff>171450</xdr:rowOff>
    </xdr:from>
    <xdr:to>
      <xdr:col>14</xdr:col>
      <xdr:colOff>198120</xdr:colOff>
      <xdr:row>28</xdr:row>
      <xdr:rowOff>46482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304800</xdr:colOff>
      <xdr:row>30</xdr:row>
      <xdr:rowOff>182880</xdr:rowOff>
    </xdr:from>
    <xdr:to>
      <xdr:col>14</xdr:col>
      <xdr:colOff>64770</xdr:colOff>
      <xdr:row>47</xdr:row>
      <xdr:rowOff>179070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</xdr:row>
          <xdr:rowOff>95250</xdr:rowOff>
        </xdr:from>
        <xdr:to>
          <xdr:col>10</xdr:col>
          <xdr:colOff>209550</xdr:colOff>
          <xdr:row>3</xdr:row>
          <xdr:rowOff>0</xdr:rowOff>
        </xdr:to>
        <xdr:sp macro="" textlink="">
          <xdr:nvSpPr>
            <xdr:cNvPr id="1025" name="AndreiPlanner_bu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4</xdr:row>
          <xdr:rowOff>142875</xdr:rowOff>
        </xdr:from>
        <xdr:to>
          <xdr:col>10</xdr:col>
          <xdr:colOff>171450</xdr:colOff>
          <xdr:row>6</xdr:row>
          <xdr:rowOff>38100</xdr:rowOff>
        </xdr:to>
        <xdr:sp macro="" textlink="">
          <xdr:nvSpPr>
            <xdr:cNvPr id="1026" name="BachPlanner_bu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8</xdr:row>
          <xdr:rowOff>9525</xdr:rowOff>
        </xdr:from>
        <xdr:to>
          <xdr:col>10</xdr:col>
          <xdr:colOff>209550</xdr:colOff>
          <xdr:row>9</xdr:row>
          <xdr:rowOff>104775</xdr:rowOff>
        </xdr:to>
        <xdr:sp macro="" textlink="">
          <xdr:nvSpPr>
            <xdr:cNvPr id="1027" name="BrandonPlanner_bu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717069</xdr:colOff>
      <xdr:row>6</xdr:row>
      <xdr:rowOff>144780</xdr:rowOff>
    </xdr:from>
    <xdr:to>
      <xdr:col>12</xdr:col>
      <xdr:colOff>353674</xdr:colOff>
      <xdr:row>9</xdr:row>
      <xdr:rowOff>137160</xdr:rowOff>
    </xdr:to>
    <xdr:sp macro="" textlink="">
      <xdr:nvSpPr>
        <xdr:cNvPr id="17" name="TextBox 16"/>
        <xdr:cNvSpPr txBox="1"/>
      </xdr:nvSpPr>
      <xdr:spPr>
        <a:xfrm>
          <a:off x="8762738" y="1253621"/>
          <a:ext cx="1318260" cy="5494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Zack</a:t>
          </a:r>
        </a:p>
      </xdr:txBody>
    </xdr:sp>
    <xdr:clientData/>
  </xdr:twoCellAnchor>
  <xdr:twoCellAnchor>
    <xdr:from>
      <xdr:col>11</xdr:col>
      <xdr:colOff>717069</xdr:colOff>
      <xdr:row>3</xdr:row>
      <xdr:rowOff>99060</xdr:rowOff>
    </xdr:from>
    <xdr:to>
      <xdr:col>12</xdr:col>
      <xdr:colOff>353674</xdr:colOff>
      <xdr:row>6</xdr:row>
      <xdr:rowOff>91440</xdr:rowOff>
    </xdr:to>
    <xdr:sp macro="" textlink="">
      <xdr:nvSpPr>
        <xdr:cNvPr id="18" name="TextBox 17"/>
        <xdr:cNvSpPr txBox="1"/>
      </xdr:nvSpPr>
      <xdr:spPr>
        <a:xfrm>
          <a:off x="8762738" y="650853"/>
          <a:ext cx="1318260" cy="549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Peter</a:t>
          </a:r>
        </a:p>
      </xdr:txBody>
    </xdr:sp>
    <xdr:clientData/>
  </xdr:twoCellAnchor>
  <xdr:twoCellAnchor>
    <xdr:from>
      <xdr:col>11</xdr:col>
      <xdr:colOff>701829</xdr:colOff>
      <xdr:row>0</xdr:row>
      <xdr:rowOff>45720</xdr:rowOff>
    </xdr:from>
    <xdr:to>
      <xdr:col>12</xdr:col>
      <xdr:colOff>338434</xdr:colOff>
      <xdr:row>3</xdr:row>
      <xdr:rowOff>45720</xdr:rowOff>
    </xdr:to>
    <xdr:sp macro="" textlink="">
      <xdr:nvSpPr>
        <xdr:cNvPr id="19" name="TextBox 18"/>
        <xdr:cNvSpPr txBox="1"/>
      </xdr:nvSpPr>
      <xdr:spPr>
        <a:xfrm>
          <a:off x="8747498" y="45720"/>
          <a:ext cx="1318260" cy="551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Cody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771525</xdr:colOff>
          <xdr:row>1</xdr:row>
          <xdr:rowOff>95250</xdr:rowOff>
        </xdr:from>
        <xdr:to>
          <xdr:col>11</xdr:col>
          <xdr:colOff>1343025</xdr:colOff>
          <xdr:row>3</xdr:row>
          <xdr:rowOff>0</xdr:rowOff>
        </xdr:to>
        <xdr:sp macro="" textlink="">
          <xdr:nvSpPr>
            <xdr:cNvPr id="1031" name="CodyPlanner_bu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781050</xdr:colOff>
          <xdr:row>4</xdr:row>
          <xdr:rowOff>171450</xdr:rowOff>
        </xdr:from>
        <xdr:to>
          <xdr:col>11</xdr:col>
          <xdr:colOff>1333500</xdr:colOff>
          <xdr:row>6</xdr:row>
          <xdr:rowOff>47625</xdr:rowOff>
        </xdr:to>
        <xdr:sp macro="" textlink="">
          <xdr:nvSpPr>
            <xdr:cNvPr id="1032" name="PeterPlanner_bu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762000</xdr:colOff>
          <xdr:row>7</xdr:row>
          <xdr:rowOff>180975</xdr:rowOff>
        </xdr:from>
        <xdr:to>
          <xdr:col>11</xdr:col>
          <xdr:colOff>1343025</xdr:colOff>
          <xdr:row>9</xdr:row>
          <xdr:rowOff>76200</xdr:rowOff>
        </xdr:to>
        <xdr:sp macro="" textlink="">
          <xdr:nvSpPr>
            <xdr:cNvPr id="1033" name="ZackPlanner_bu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1</xdr:row>
          <xdr:rowOff>95250</xdr:rowOff>
        </xdr:from>
        <xdr:to>
          <xdr:col>11</xdr:col>
          <xdr:colOff>542925</xdr:colOff>
          <xdr:row>3</xdr:row>
          <xdr:rowOff>0</xdr:rowOff>
        </xdr:to>
        <xdr:sp macro="" textlink="">
          <xdr:nvSpPr>
            <xdr:cNvPr id="1034" name="AndreiCost_bu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4</xdr:row>
          <xdr:rowOff>133350</xdr:rowOff>
        </xdr:from>
        <xdr:to>
          <xdr:col>11</xdr:col>
          <xdr:colOff>533400</xdr:colOff>
          <xdr:row>6</xdr:row>
          <xdr:rowOff>28575</xdr:rowOff>
        </xdr:to>
        <xdr:sp macro="" textlink="">
          <xdr:nvSpPr>
            <xdr:cNvPr id="1036" name="BachCost_bu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8</xdr:row>
          <xdr:rowOff>0</xdr:rowOff>
        </xdr:from>
        <xdr:to>
          <xdr:col>11</xdr:col>
          <xdr:colOff>533400</xdr:colOff>
          <xdr:row>9</xdr:row>
          <xdr:rowOff>104775</xdr:rowOff>
        </xdr:to>
        <xdr:sp macro="" textlink="">
          <xdr:nvSpPr>
            <xdr:cNvPr id="1037" name="BrandonCost_bu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1390650</xdr:colOff>
          <xdr:row>1</xdr:row>
          <xdr:rowOff>95250</xdr:rowOff>
        </xdr:from>
        <xdr:to>
          <xdr:col>12</xdr:col>
          <xdr:colOff>323850</xdr:colOff>
          <xdr:row>3</xdr:row>
          <xdr:rowOff>0</xdr:rowOff>
        </xdr:to>
        <xdr:sp macro="" textlink="">
          <xdr:nvSpPr>
            <xdr:cNvPr id="1038" name="CodyCost_bu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1381125</xdr:colOff>
          <xdr:row>4</xdr:row>
          <xdr:rowOff>133350</xdr:rowOff>
        </xdr:from>
        <xdr:to>
          <xdr:col>12</xdr:col>
          <xdr:colOff>266700</xdr:colOff>
          <xdr:row>6</xdr:row>
          <xdr:rowOff>47625</xdr:rowOff>
        </xdr:to>
        <xdr:sp macro="" textlink="">
          <xdr:nvSpPr>
            <xdr:cNvPr id="1039" name="PeterCost_bu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1381125</xdr:colOff>
          <xdr:row>7</xdr:row>
          <xdr:rowOff>180975</xdr:rowOff>
        </xdr:from>
        <xdr:to>
          <xdr:col>12</xdr:col>
          <xdr:colOff>314325</xdr:colOff>
          <xdr:row>9</xdr:row>
          <xdr:rowOff>76200</xdr:rowOff>
        </xdr:to>
        <xdr:sp macro="" textlink="">
          <xdr:nvSpPr>
            <xdr:cNvPr id="1040" name="ZackCost_bu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8"/>
  <sheetViews>
    <sheetView topLeftCell="A4" zoomScale="115" zoomScaleNormal="115" workbookViewId="0">
      <selection activeCell="H52" sqref="H52"/>
    </sheetView>
  </sheetViews>
  <sheetFormatPr defaultColWidth="8.85546875" defaultRowHeight="15" x14ac:dyDescent="0.25"/>
  <cols>
    <col min="1" max="1" width="24.28515625" style="86" bestFit="1" customWidth="1"/>
    <col min="2" max="2" width="8.5703125" style="86" bestFit="1" customWidth="1"/>
    <col min="3" max="4" width="11.140625" style="86" bestFit="1" customWidth="1"/>
    <col min="5" max="7" width="10.140625" style="86" customWidth="1"/>
    <col min="8" max="8" width="11.140625" style="86" bestFit="1" customWidth="1"/>
    <col min="9" max="9" width="12.5703125" style="86" customWidth="1"/>
    <col min="10" max="10" width="7.140625" style="86" customWidth="1"/>
    <col min="11" max="11" width="4" style="86" customWidth="1"/>
    <col min="12" max="12" width="24.5703125" style="86" customWidth="1"/>
    <col min="13" max="13" width="6.5703125" style="86" customWidth="1"/>
    <col min="14" max="1025" width="24.5703125" style="86" customWidth="1"/>
    <col min="1026" max="16384" width="8.85546875" style="86"/>
  </cols>
  <sheetData>
    <row r="1" spans="1:11" x14ac:dyDescent="0.25">
      <c r="A1" s="138" t="s">
        <v>150</v>
      </c>
      <c r="B1" s="137" t="s">
        <v>64</v>
      </c>
      <c r="C1" s="136" t="s">
        <v>102</v>
      </c>
      <c r="D1" s="136" t="s">
        <v>67</v>
      </c>
      <c r="E1" s="136" t="s">
        <v>138</v>
      </c>
      <c r="F1" s="136" t="s">
        <v>75</v>
      </c>
      <c r="G1" s="136" t="s">
        <v>137</v>
      </c>
      <c r="H1" s="135" t="s">
        <v>127</v>
      </c>
      <c r="J1" s="86" t="s">
        <v>149</v>
      </c>
      <c r="K1" s="86">
        <v>100</v>
      </c>
    </row>
    <row r="2" spans="1:11" x14ac:dyDescent="0.25">
      <c r="A2" s="128" t="s">
        <v>148</v>
      </c>
      <c r="B2" s="134">
        <f>'Burn Report'!$C$62</f>
        <v>57.75</v>
      </c>
      <c r="C2" s="133">
        <f>'Burn Report'!W62</f>
        <v>15.75</v>
      </c>
      <c r="D2" s="133">
        <f>'Burn Report'!X62</f>
        <v>14.5</v>
      </c>
      <c r="E2" s="133">
        <f>'Burn Report'!Y62</f>
        <v>2.5</v>
      </c>
      <c r="F2" s="133">
        <f>'Burn Report'!Z62</f>
        <v>7.5</v>
      </c>
      <c r="G2" s="133">
        <f>'Burn Report'!AA62</f>
        <v>5.5</v>
      </c>
      <c r="H2" s="132">
        <f>'Burn Report'!AB62</f>
        <v>12</v>
      </c>
    </row>
    <row r="3" spans="1:11" x14ac:dyDescent="0.25">
      <c r="A3" s="128" t="s">
        <v>147</v>
      </c>
      <c r="B3" s="131">
        <f>'Burn Report'!$J$62</f>
        <v>5675</v>
      </c>
      <c r="C3" s="130">
        <f>'Burn Report'!D62</f>
        <v>1575</v>
      </c>
      <c r="D3" s="130">
        <f>'Burn Report'!E62</f>
        <v>1450</v>
      </c>
      <c r="E3" s="130">
        <f>'Burn Report'!F62</f>
        <v>250</v>
      </c>
      <c r="F3" s="130">
        <f>'Burn Report'!G62</f>
        <v>750</v>
      </c>
      <c r="G3" s="130">
        <f>'Burn Report'!H62</f>
        <v>550</v>
      </c>
      <c r="H3" s="129">
        <f>'Burn Report'!I62</f>
        <v>1200</v>
      </c>
    </row>
    <row r="4" spans="1:11" x14ac:dyDescent="0.25">
      <c r="A4" s="128" t="s">
        <v>146</v>
      </c>
      <c r="B4" s="127">
        <f>'Weekly Meeting Costs'!$C$25</f>
        <v>12.25</v>
      </c>
      <c r="C4" s="126">
        <f>'Weekly Meeting Costs'!X25</f>
        <v>11.25</v>
      </c>
      <c r="D4" s="126">
        <f>'Weekly Meeting Costs'!Y25</f>
        <v>9.5</v>
      </c>
      <c r="E4" s="126">
        <f>'Weekly Meeting Costs'!Z25</f>
        <v>12.25</v>
      </c>
      <c r="F4" s="126">
        <f>'Weekly Meeting Costs'!AA25</f>
        <v>12.25</v>
      </c>
      <c r="G4" s="126">
        <f>'Weekly Meeting Costs'!AB25</f>
        <v>12.25</v>
      </c>
      <c r="H4" s="125">
        <f>'Weekly Meeting Costs'!AC25</f>
        <v>12.25</v>
      </c>
    </row>
    <row r="5" spans="1:11" x14ac:dyDescent="0.25">
      <c r="A5" s="124" t="s">
        <v>145</v>
      </c>
      <c r="B5" s="123">
        <f>'Weekly Meeting Costs'!$J$25</f>
        <v>6975</v>
      </c>
      <c r="C5" s="122">
        <f>'Weekly Meeting Costs'!P25</f>
        <v>1125</v>
      </c>
      <c r="D5" s="122">
        <f>'Weekly Meeting Costs'!Q25</f>
        <v>950</v>
      </c>
      <c r="E5" s="122">
        <f>'Weekly Meeting Costs'!R25</f>
        <v>1225</v>
      </c>
      <c r="F5" s="122">
        <f>'Weekly Meeting Costs'!S25</f>
        <v>1225</v>
      </c>
      <c r="G5" s="122">
        <f>'Weekly Meeting Costs'!T25</f>
        <v>1225</v>
      </c>
      <c r="H5" s="121">
        <f>'Weekly Meeting Costs'!U25</f>
        <v>1225</v>
      </c>
    </row>
    <row r="6" spans="1:11" ht="15.75" thickBot="1" x14ac:dyDescent="0.3">
      <c r="A6" s="120"/>
      <c r="B6" s="119"/>
      <c r="C6" s="118"/>
      <c r="D6" s="118"/>
      <c r="E6" s="118"/>
      <c r="F6" s="118"/>
      <c r="G6" s="118"/>
      <c r="H6" s="117"/>
    </row>
    <row r="7" spans="1:11" x14ac:dyDescent="0.25">
      <c r="A7" s="116" t="s">
        <v>144</v>
      </c>
      <c r="B7" s="115">
        <f t="shared" ref="B7:H8" si="0">B2+B4</f>
        <v>70</v>
      </c>
      <c r="C7" s="114">
        <f t="shared" si="0"/>
        <v>27</v>
      </c>
      <c r="D7" s="113">
        <f t="shared" si="0"/>
        <v>24</v>
      </c>
      <c r="E7" s="112">
        <f t="shared" si="0"/>
        <v>14.75</v>
      </c>
      <c r="F7" s="112">
        <f t="shared" si="0"/>
        <v>19.75</v>
      </c>
      <c r="G7" s="112">
        <f t="shared" si="0"/>
        <v>17.75</v>
      </c>
      <c r="H7" s="111">
        <f t="shared" si="0"/>
        <v>24.25</v>
      </c>
    </row>
    <row r="8" spans="1:11" ht="15.75" thickBot="1" x14ac:dyDescent="0.3">
      <c r="A8" s="110" t="s">
        <v>143</v>
      </c>
      <c r="B8" s="109">
        <f t="shared" si="0"/>
        <v>12650</v>
      </c>
      <c r="C8" s="106">
        <f t="shared" si="0"/>
        <v>2700</v>
      </c>
      <c r="D8" s="108">
        <f t="shared" si="0"/>
        <v>2400</v>
      </c>
      <c r="E8" s="107">
        <f t="shared" si="0"/>
        <v>1475</v>
      </c>
      <c r="F8" s="106">
        <f t="shared" si="0"/>
        <v>1975</v>
      </c>
      <c r="G8" s="106">
        <f t="shared" si="0"/>
        <v>1775</v>
      </c>
      <c r="H8" s="105">
        <f t="shared" si="0"/>
        <v>2425</v>
      </c>
    </row>
    <row r="9" spans="1:11" x14ac:dyDescent="0.25">
      <c r="C9" s="104"/>
    </row>
    <row r="11" spans="1:11" ht="15.75" thickBot="1" x14ac:dyDescent="0.3">
      <c r="A11" s="99" t="s">
        <v>142</v>
      </c>
    </row>
    <row r="12" spans="1:11" x14ac:dyDescent="0.25">
      <c r="A12" s="98" t="s">
        <v>140</v>
      </c>
      <c r="B12" s="96" t="s">
        <v>139</v>
      </c>
      <c r="C12" s="97" t="s">
        <v>102</v>
      </c>
      <c r="D12" s="96" t="s">
        <v>67</v>
      </c>
      <c r="E12" s="96" t="s">
        <v>138</v>
      </c>
      <c r="F12" s="96" t="s">
        <v>75</v>
      </c>
      <c r="G12" s="96" t="s">
        <v>137</v>
      </c>
      <c r="H12" s="95" t="s">
        <v>127</v>
      </c>
    </row>
    <row r="13" spans="1:11" x14ac:dyDescent="0.25">
      <c r="A13" s="94">
        <v>43114</v>
      </c>
      <c r="B13" s="93">
        <v>1</v>
      </c>
      <c r="C13" s="92">
        <f>SUMIFS('Burn Report'!O$3:O$61,'Burn Report'!$A$3:$A$61,"&gt;="&amp;$A13,'Burn Report'!$A$3:$A$61,"&lt;="&amp;$A14)</f>
        <v>0</v>
      </c>
      <c r="D13" s="92">
        <f>SUMIFS('Burn Report'!P$3:P$61,'Burn Report'!$A$3:$A$61,"&gt;="&amp;$A13,'Burn Report'!$A$3:$A$61,"&lt;="&amp;$A14)</f>
        <v>0</v>
      </c>
      <c r="E13" s="92">
        <f>SUMIFS('Burn Report'!Q$3:Q$61,'Burn Report'!$A$3:$A$61,"&gt;="&amp;$A13,'Burn Report'!$A$3:$A$61,"&lt;="&amp;$A14)</f>
        <v>0</v>
      </c>
      <c r="F13" s="92">
        <f>SUMIFS('Burn Report'!R$3:R$61,'Burn Report'!$A$3:$A$61,"&gt;="&amp;$A13,'Burn Report'!$A$3:$A$61,"&lt;="&amp;$A14)</f>
        <v>0</v>
      </c>
      <c r="G13" s="92">
        <f>SUMIFS('Burn Report'!S$3:S$61,'Burn Report'!$A$3:$A$61,"&gt;="&amp;$A13,'Burn Report'!$A$3:$A$61,"&lt;="&amp;$A14)</f>
        <v>0</v>
      </c>
      <c r="H13" s="103">
        <f>SUMIFS('Burn Report'!T$3:T$61,'Burn Report'!$A$3:$A$61,"&gt;="&amp;$A13,'Burn Report'!$A$3:$A$61,"&lt;="&amp;$A14)</f>
        <v>0</v>
      </c>
    </row>
    <row r="14" spans="1:11" x14ac:dyDescent="0.25">
      <c r="A14" s="94">
        <v>43121</v>
      </c>
      <c r="B14" s="93">
        <v>2</v>
      </c>
      <c r="C14" s="92">
        <f>SUMIFS('Burn Report'!O$3:O$61,'Burn Report'!$A$3:$A$61,"&gt;="&amp;$A14,'Burn Report'!$A$3:$A$61,"&lt;="&amp;$A15)</f>
        <v>0</v>
      </c>
      <c r="D14" s="92">
        <f>SUMIFS('Burn Report'!P$3:P$61,'Burn Report'!$A$3:$A$61,"&gt;="&amp;$A14,'Burn Report'!$A$3:$A$61,"&lt;="&amp;$A15)</f>
        <v>0</v>
      </c>
      <c r="E14" s="92">
        <f>SUMIFS('Burn Report'!Q$3:Q$61,'Burn Report'!$A$3:$A$61,"&gt;="&amp;$A14,'Burn Report'!$A$3:$A$61,"&lt;="&amp;$A15)</f>
        <v>0</v>
      </c>
      <c r="F14" s="92">
        <f>SUMIFS('Burn Report'!R$3:R$61,'Burn Report'!$A$3:$A$61,"&gt;="&amp;$A14,'Burn Report'!$A$3:$A$61,"&lt;="&amp;$A15)</f>
        <v>0</v>
      </c>
      <c r="G14" s="92">
        <f>SUMIFS('Burn Report'!S$3:S$61,'Burn Report'!$A$3:$A$61,"&gt;="&amp;$A14,'Burn Report'!$A$3:$A$61,"&lt;="&amp;$A15)</f>
        <v>0</v>
      </c>
      <c r="H14" s="103">
        <f>SUMIFS('Burn Report'!T$3:T$61,'Burn Report'!$A$3:$A$61,"&gt;="&amp;$A14,'Burn Report'!$A$3:$A$61,"&lt;="&amp;$A15)</f>
        <v>0</v>
      </c>
    </row>
    <row r="15" spans="1:11" x14ac:dyDescent="0.25">
      <c r="A15" s="94">
        <v>43128</v>
      </c>
      <c r="B15" s="93">
        <v>3</v>
      </c>
      <c r="C15" s="92">
        <f>SUMIFS('Burn Report'!O$3:O$61,'Burn Report'!$A$3:$A$61,"&gt;="&amp;$A15,'Burn Report'!$A$3:$A$61,"&lt;="&amp;$A16)</f>
        <v>0</v>
      </c>
      <c r="D15" s="92">
        <f>SUMIFS('Burn Report'!P$3:P$61,'Burn Report'!$A$3:$A$61,"&gt;="&amp;$A15,'Burn Report'!$A$3:$A$61,"&lt;="&amp;$A16)</f>
        <v>0</v>
      </c>
      <c r="E15" s="92">
        <f>SUMIFS('Burn Report'!Q$3:Q$61,'Burn Report'!$A$3:$A$61,"&gt;="&amp;$A15,'Burn Report'!$A$3:$A$61,"&lt;="&amp;$A16)</f>
        <v>0</v>
      </c>
      <c r="F15" s="92">
        <f>SUMIFS('Burn Report'!R$3:R$61,'Burn Report'!$A$3:$A$61,"&gt;="&amp;$A15,'Burn Report'!$A$3:$A$61,"&lt;="&amp;$A16)</f>
        <v>0</v>
      </c>
      <c r="G15" s="92">
        <f>SUMIFS('Burn Report'!S$3:S$61,'Burn Report'!$A$3:$A$61,"&gt;="&amp;$A15,'Burn Report'!$A$3:$A$61,"&lt;="&amp;$A16)</f>
        <v>0</v>
      </c>
      <c r="H15" s="103">
        <f>SUMIFS('Burn Report'!T$3:T$61,'Burn Report'!$A$3:$A$61,"&gt;="&amp;$A15,'Burn Report'!$A$3:$A$61,"&lt;="&amp;$A16)</f>
        <v>0</v>
      </c>
    </row>
    <row r="16" spans="1:11" x14ac:dyDescent="0.25">
      <c r="A16" s="94">
        <v>43135</v>
      </c>
      <c r="B16" s="93">
        <v>4</v>
      </c>
      <c r="C16" s="92">
        <f>SUMIFS('Burn Report'!O$3:O$61,'Burn Report'!$A$3:$A$61,"&gt;="&amp;$A16,'Burn Report'!$A$3:$A$61,"&lt;="&amp;$A17)</f>
        <v>50</v>
      </c>
      <c r="D16" s="92">
        <f>SUMIFS('Burn Report'!P$3:P$61,'Burn Report'!$A$3:$A$61,"&gt;="&amp;$A16,'Burn Report'!$A$3:$A$61,"&lt;="&amp;$A17)</f>
        <v>0</v>
      </c>
      <c r="E16" s="92">
        <f>SUMIFS('Burn Report'!Q$3:Q$61,'Burn Report'!$A$3:$A$61,"&gt;="&amp;$A16,'Burn Report'!$A$3:$A$61,"&lt;="&amp;$A17)</f>
        <v>0</v>
      </c>
      <c r="F16" s="92">
        <f>SUMIFS('Burn Report'!R$3:R$61,'Burn Report'!$A$3:$A$61,"&gt;="&amp;$A16,'Burn Report'!$A$3:$A$61,"&lt;="&amp;$A17)</f>
        <v>0</v>
      </c>
      <c r="G16" s="92">
        <f>SUMIFS('Burn Report'!S$3:S$61,'Burn Report'!$A$3:$A$61,"&gt;="&amp;$A16,'Burn Report'!$A$3:$A$61,"&lt;="&amp;$A17)</f>
        <v>0</v>
      </c>
      <c r="H16" s="103">
        <f>SUMIFS('Burn Report'!T$3:T$61,'Burn Report'!$A$3:$A$61,"&gt;="&amp;$A16,'Burn Report'!$A$3:$A$61,"&lt;="&amp;$A17)</f>
        <v>0</v>
      </c>
    </row>
    <row r="17" spans="1:8" x14ac:dyDescent="0.25">
      <c r="A17" s="94">
        <v>43142</v>
      </c>
      <c r="B17" s="93">
        <v>5</v>
      </c>
      <c r="C17" s="92">
        <f>SUMIFS('Burn Report'!O$3:O$61,'Burn Report'!$A$3:$A$61,"&gt;="&amp;$A17,'Burn Report'!$A$3:$A$61,"&lt;="&amp;$A18)</f>
        <v>50</v>
      </c>
      <c r="D17" s="92">
        <f>SUMIFS('Burn Report'!P$3:P$61,'Burn Report'!$A$3:$A$61,"&gt;="&amp;$A17,'Burn Report'!$A$3:$A$61,"&lt;="&amp;$A18)</f>
        <v>0</v>
      </c>
      <c r="E17" s="92">
        <f>SUMIFS('Burn Report'!Q$3:Q$61,'Burn Report'!$A$3:$A$61,"&gt;="&amp;$A17,'Burn Report'!$A$3:$A$61,"&lt;="&amp;$A18)</f>
        <v>0</v>
      </c>
      <c r="F17" s="92">
        <f>SUMIFS('Burn Report'!R$3:R$61,'Burn Report'!$A$3:$A$61,"&gt;="&amp;$A17,'Burn Report'!$A$3:$A$61,"&lt;="&amp;$A18)</f>
        <v>0</v>
      </c>
      <c r="G17" s="92">
        <f>SUMIFS('Burn Report'!S$3:S$61,'Burn Report'!$A$3:$A$61,"&gt;="&amp;$A17,'Burn Report'!$A$3:$A$61,"&lt;="&amp;$A18)</f>
        <v>0</v>
      </c>
      <c r="H17" s="103">
        <f>SUMIFS('Burn Report'!T$3:T$61,'Burn Report'!$A$3:$A$61,"&gt;="&amp;$A17,'Burn Report'!$A$3:$A$61,"&lt;="&amp;$A18)</f>
        <v>0</v>
      </c>
    </row>
    <row r="18" spans="1:8" x14ac:dyDescent="0.25">
      <c r="A18" s="94">
        <v>43149</v>
      </c>
      <c r="B18" s="93">
        <v>6</v>
      </c>
      <c r="C18" s="92">
        <f>SUMIFS('Burn Report'!O$3:O$61,'Burn Report'!$A$3:$A$61,"&gt;="&amp;$A18,'Burn Report'!$A$3:$A$61,"&lt;="&amp;$A19)</f>
        <v>0</v>
      </c>
      <c r="D18" s="92">
        <f>SUMIFS('Burn Report'!P$3:P$61,'Burn Report'!$A$3:$A$61,"&gt;="&amp;$A18,'Burn Report'!$A$3:$A$61,"&lt;="&amp;$A19)</f>
        <v>500</v>
      </c>
      <c r="E18" s="92">
        <f>SUMIFS('Burn Report'!Q$3:Q$61,'Burn Report'!$A$3:$A$61,"&gt;="&amp;$A18,'Burn Report'!$A$3:$A$61,"&lt;="&amp;$A19)</f>
        <v>200</v>
      </c>
      <c r="F18" s="92">
        <f>SUMIFS('Burn Report'!R$3:R$61,'Burn Report'!$A$3:$A$61,"&gt;="&amp;$A18,'Burn Report'!$A$3:$A$61,"&lt;="&amp;$A19)</f>
        <v>300</v>
      </c>
      <c r="G18" s="92">
        <f>SUMIFS('Burn Report'!S$3:S$61,'Burn Report'!$A$3:$A$61,"&gt;="&amp;$A18,'Burn Report'!$A$3:$A$61,"&lt;="&amp;$A19)</f>
        <v>100</v>
      </c>
      <c r="H18" s="103">
        <f>SUMIFS('Burn Report'!T$3:T$61,'Burn Report'!$A$3:$A$61,"&gt;="&amp;$A18,'Burn Report'!$A$3:$A$61,"&lt;="&amp;$A19)</f>
        <v>100</v>
      </c>
    </row>
    <row r="19" spans="1:8" x14ac:dyDescent="0.25">
      <c r="A19" s="94">
        <v>43156</v>
      </c>
      <c r="B19" s="93">
        <v>7</v>
      </c>
      <c r="C19" s="92">
        <f>SUMIFS('Burn Report'!O$3:O$61,'Burn Report'!$A$3:$A$61,"&gt;="&amp;$A19,'Burn Report'!$A$3:$A$61,"&lt;="&amp;$A20)</f>
        <v>150</v>
      </c>
      <c r="D19" s="92">
        <f>SUMIFS('Burn Report'!P$3:P$61,'Burn Report'!$A$3:$A$61,"&gt;="&amp;$A19,'Burn Report'!$A$3:$A$61,"&lt;="&amp;$A20)</f>
        <v>350</v>
      </c>
      <c r="E19" s="92">
        <f>SUMIFS('Burn Report'!Q$3:Q$61,'Burn Report'!$A$3:$A$61,"&gt;="&amp;$A19,'Burn Report'!$A$3:$A$61,"&lt;="&amp;$A20)</f>
        <v>50</v>
      </c>
      <c r="F19" s="92">
        <f>SUMIFS('Burn Report'!R$3:R$61,'Burn Report'!$A$3:$A$61,"&gt;="&amp;$A19,'Burn Report'!$A$3:$A$61,"&lt;="&amp;$A20)</f>
        <v>150</v>
      </c>
      <c r="G19" s="92">
        <f>SUMIFS('Burn Report'!S$3:S$61,'Burn Report'!$A$3:$A$61,"&gt;="&amp;$A19,'Burn Report'!$A$3:$A$61,"&lt;="&amp;$A20)</f>
        <v>50</v>
      </c>
      <c r="H19" s="103">
        <f>SUMIFS('Burn Report'!T$3:T$61,'Burn Report'!$A$3:$A$61,"&gt;="&amp;$A19,'Burn Report'!$A$3:$A$61,"&lt;="&amp;$A20)</f>
        <v>150</v>
      </c>
    </row>
    <row r="20" spans="1:8" x14ac:dyDescent="0.25">
      <c r="A20" s="94">
        <v>43163</v>
      </c>
      <c r="B20" s="93">
        <v>8</v>
      </c>
      <c r="C20" s="92">
        <f>SUMIFS('Burn Report'!O$3:O$61,'Burn Report'!$A$3:$A$61,"&gt;="&amp;$A20,'Burn Report'!$A$3:$A$61,"&lt;="&amp;$A21)</f>
        <v>200</v>
      </c>
      <c r="D20" s="92">
        <f>SUMIFS('Burn Report'!P$3:P$61,'Burn Report'!$A$3:$A$61,"&gt;="&amp;$A20,'Burn Report'!$A$3:$A$61,"&lt;="&amp;$A21)</f>
        <v>100</v>
      </c>
      <c r="E20" s="92">
        <f>SUMIFS('Burn Report'!Q$3:Q$61,'Burn Report'!$A$3:$A$61,"&gt;="&amp;$A20,'Burn Report'!$A$3:$A$61,"&lt;="&amp;$A21)</f>
        <v>0</v>
      </c>
      <c r="F20" s="92">
        <f>SUMIFS('Burn Report'!R$3:R$61,'Burn Report'!$A$3:$A$61,"&gt;="&amp;$A20,'Burn Report'!$A$3:$A$61,"&lt;="&amp;$A21)</f>
        <v>100</v>
      </c>
      <c r="G20" s="92">
        <f>SUMIFS('Burn Report'!S$3:S$61,'Burn Report'!$A$3:$A$61,"&gt;="&amp;$A20,'Burn Report'!$A$3:$A$61,"&lt;="&amp;$A21)</f>
        <v>0</v>
      </c>
      <c r="H20" s="103">
        <f>SUMIFS('Burn Report'!T$3:T$61,'Burn Report'!$A$3:$A$61,"&gt;="&amp;$A20,'Burn Report'!$A$3:$A$61,"&lt;="&amp;$A21)</f>
        <v>450</v>
      </c>
    </row>
    <row r="21" spans="1:8" x14ac:dyDescent="0.25">
      <c r="A21" s="94">
        <v>43170</v>
      </c>
      <c r="B21" s="93">
        <v>9</v>
      </c>
      <c r="C21" s="92">
        <f>SUMIFS('Burn Report'!O$3:O$61,'Burn Report'!$A$3:$A$61,"&gt;="&amp;$A21,'Burn Report'!$A$3:$A$61,"&lt;="&amp;$A22)</f>
        <v>375</v>
      </c>
      <c r="D21" s="92">
        <f>SUMIFS('Burn Report'!P$3:P$61,'Burn Report'!$A$3:$A$61,"&gt;="&amp;$A21,'Burn Report'!$A$3:$A$61,"&lt;="&amp;$A22)</f>
        <v>0</v>
      </c>
      <c r="E21" s="92">
        <f>SUMIFS('Burn Report'!Q$3:Q$61,'Burn Report'!$A$3:$A$61,"&gt;="&amp;$A21,'Burn Report'!$A$3:$A$61,"&lt;="&amp;$A22)</f>
        <v>0</v>
      </c>
      <c r="F21" s="92">
        <f>SUMIFS('Burn Report'!R$3:R$61,'Burn Report'!$A$3:$A$61,"&gt;="&amp;$A21,'Burn Report'!$A$3:$A$61,"&lt;="&amp;$A22)</f>
        <v>200</v>
      </c>
      <c r="G21" s="92">
        <f>SUMIFS('Burn Report'!S$3:S$61,'Burn Report'!$A$3:$A$61,"&gt;="&amp;$A21,'Burn Report'!$A$3:$A$61,"&lt;="&amp;$A22)</f>
        <v>0</v>
      </c>
      <c r="H21" s="103">
        <f>SUMIFS('Burn Report'!T$3:T$61,'Burn Report'!$A$3:$A$61,"&gt;="&amp;$A21,'Burn Report'!$A$3:$A$61,"&lt;="&amp;$A22)</f>
        <v>50</v>
      </c>
    </row>
    <row r="22" spans="1:8" x14ac:dyDescent="0.25">
      <c r="A22" s="94">
        <v>43177</v>
      </c>
      <c r="B22" s="93">
        <v>10</v>
      </c>
      <c r="C22" s="92">
        <f>SUMIFS('Burn Report'!O$3:O$61,'Burn Report'!$A$3:$A$61,"&gt;="&amp;$A22,'Burn Report'!$A$3:$A$61,"&lt;="&amp;$A23)</f>
        <v>550</v>
      </c>
      <c r="D22" s="92">
        <f>SUMIFS('Burn Report'!P$3:P$61,'Burn Report'!$A$3:$A$61,"&gt;="&amp;$A22,'Burn Report'!$A$3:$A$61,"&lt;="&amp;$A23)</f>
        <v>500</v>
      </c>
      <c r="E22" s="92">
        <f>SUMIFS('Burn Report'!Q$3:Q$61,'Burn Report'!$A$3:$A$61,"&gt;="&amp;$A22,'Burn Report'!$A$3:$A$61,"&lt;="&amp;$A23)</f>
        <v>0</v>
      </c>
      <c r="F22" s="92">
        <f>SUMIFS('Burn Report'!R$3:R$61,'Burn Report'!$A$3:$A$61,"&gt;="&amp;$A22,'Burn Report'!$A$3:$A$61,"&lt;="&amp;$A23)</f>
        <v>0</v>
      </c>
      <c r="G22" s="92">
        <f>SUMIFS('Burn Report'!S$3:S$61,'Burn Report'!$A$3:$A$61,"&gt;="&amp;$A22,'Burn Report'!$A$3:$A$61,"&lt;="&amp;$A23)</f>
        <v>400</v>
      </c>
      <c r="H22" s="103">
        <f>SUMIFS('Burn Report'!T$3:T$61,'Burn Report'!$A$3:$A$61,"&gt;="&amp;$A22,'Burn Report'!$A$3:$A$61,"&lt;="&amp;$A23)</f>
        <v>400</v>
      </c>
    </row>
    <row r="23" spans="1:8" x14ac:dyDescent="0.25">
      <c r="A23" s="94">
        <v>43184</v>
      </c>
      <c r="B23" s="93">
        <v>11</v>
      </c>
      <c r="C23" s="92">
        <f>SUMIFS('Burn Report'!O$3:O$61,'Burn Report'!$A$3:$A$61,"&gt;="&amp;$A23,'Burn Report'!$A$3:$A$61,"&lt;="&amp;$A24)</f>
        <v>300</v>
      </c>
      <c r="D23" s="92">
        <f>SUMIFS('Burn Report'!P$3:P$61,'Burn Report'!$A$3:$A$61,"&gt;="&amp;$A23,'Burn Report'!$A$3:$A$61,"&lt;="&amp;$A24)</f>
        <v>0</v>
      </c>
      <c r="E23" s="92">
        <f>SUMIFS('Burn Report'!Q$3:Q$61,'Burn Report'!$A$3:$A$61,"&gt;="&amp;$A23,'Burn Report'!$A$3:$A$61,"&lt;="&amp;$A24)</f>
        <v>0</v>
      </c>
      <c r="F23" s="92">
        <f>SUMIFS('Burn Report'!R$3:R$61,'Burn Report'!$A$3:$A$61,"&gt;="&amp;$A23,'Burn Report'!$A$3:$A$61,"&lt;="&amp;$A24)</f>
        <v>0</v>
      </c>
      <c r="G23" s="92">
        <f>SUMIFS('Burn Report'!S$3:S$61,'Burn Report'!$A$3:$A$61,"&gt;="&amp;$A23,'Burn Report'!$A$3:$A$61,"&lt;="&amp;$A24)</f>
        <v>0</v>
      </c>
      <c r="H23" s="103">
        <f>SUMIFS('Burn Report'!T$3:T$61,'Burn Report'!$A$3:$A$61,"&gt;="&amp;$A23,'Burn Report'!$A$3:$A$61,"&lt;="&amp;$A24)</f>
        <v>50</v>
      </c>
    </row>
    <row r="24" spans="1:8" x14ac:dyDescent="0.25">
      <c r="A24" s="94">
        <v>43191</v>
      </c>
      <c r="B24" s="93">
        <v>12</v>
      </c>
      <c r="C24" s="92">
        <f>SUMIFS('Burn Report'!O$3:O$61,'Burn Report'!$A$3:$A$61,"&gt;="&amp;$A24,'Burn Report'!$A$3:$A$61,"&lt;="&amp;$A25)</f>
        <v>0</v>
      </c>
      <c r="D24" s="92">
        <f>SUMIFS('Burn Report'!P$3:P$61,'Burn Report'!$A$3:$A$61,"&gt;="&amp;$A24,'Burn Report'!$A$3:$A$61,"&lt;="&amp;$A25)</f>
        <v>0</v>
      </c>
      <c r="E24" s="92">
        <f>SUMIFS('Burn Report'!Q$3:Q$61,'Burn Report'!$A$3:$A$61,"&gt;="&amp;$A24,'Burn Report'!$A$3:$A$61,"&lt;="&amp;$A25)</f>
        <v>0</v>
      </c>
      <c r="F24" s="92">
        <f>SUMIFS('Burn Report'!R$3:R$61,'Burn Report'!$A$3:$A$61,"&gt;="&amp;$A24,'Burn Report'!$A$3:$A$61,"&lt;="&amp;$A25)</f>
        <v>0</v>
      </c>
      <c r="G24" s="92">
        <f>SUMIFS('Burn Report'!S$3:S$61,'Burn Report'!$A$3:$A$61,"&gt;="&amp;$A24,'Burn Report'!$A$3:$A$61,"&lt;="&amp;$A25)</f>
        <v>0</v>
      </c>
      <c r="H24" s="103">
        <f>SUMIFS('Burn Report'!T$3:T$61,'Burn Report'!$A$3:$A$61,"&gt;="&amp;$A24,'Burn Report'!$A$3:$A$61,"&lt;="&amp;$A25)</f>
        <v>0</v>
      </c>
    </row>
    <row r="25" spans="1:8" x14ac:dyDescent="0.25">
      <c r="A25" s="94">
        <v>43198</v>
      </c>
      <c r="B25" s="93">
        <v>13</v>
      </c>
      <c r="C25" s="92">
        <f>SUMIFS('Burn Report'!O$3:O$61,'Burn Report'!$A$3:$A$61,"&gt;="&amp;$A25,'Burn Report'!$A$3:$A$61,"&lt;="&amp;$A26)</f>
        <v>0</v>
      </c>
      <c r="D25" s="92">
        <f>SUMIFS('Burn Report'!P$3:P$61,'Burn Report'!$A$3:$A$61,"&gt;="&amp;$A25,'Burn Report'!$A$3:$A$61,"&lt;="&amp;$A26)</f>
        <v>0</v>
      </c>
      <c r="E25" s="92">
        <f>SUMIFS('Burn Report'!Q$3:Q$61,'Burn Report'!$A$3:$A$61,"&gt;="&amp;$A25,'Burn Report'!$A$3:$A$61,"&lt;="&amp;$A26)</f>
        <v>0</v>
      </c>
      <c r="F25" s="92">
        <f>SUMIFS('Burn Report'!R$3:R$61,'Burn Report'!$A$3:$A$61,"&gt;="&amp;$A25,'Burn Report'!$A$3:$A$61,"&lt;="&amp;$A26)</f>
        <v>0</v>
      </c>
      <c r="G25" s="92">
        <f>SUMIFS('Burn Report'!S$3:S$61,'Burn Report'!$A$3:$A$61,"&gt;="&amp;$A25,'Burn Report'!$A$3:$A$61,"&lt;="&amp;$A26)</f>
        <v>0</v>
      </c>
      <c r="H25" s="103">
        <f>SUMIFS('Burn Report'!T$3:T$61,'Burn Report'!$A$3:$A$61,"&gt;="&amp;$A25,'Burn Report'!$A$3:$A$61,"&lt;="&amp;$A26)</f>
        <v>0</v>
      </c>
    </row>
    <row r="26" spans="1:8" x14ac:dyDescent="0.25">
      <c r="A26" s="94">
        <v>43205</v>
      </c>
      <c r="B26" s="93">
        <v>14</v>
      </c>
      <c r="C26" s="92">
        <f>SUMIFS('Burn Report'!O$3:O$61,'Burn Report'!$A$3:$A$61,"&gt;="&amp;$A26,'Burn Report'!$A$3:$A$61,"&lt;="&amp;$A27)</f>
        <v>0</v>
      </c>
      <c r="D26" s="92">
        <f>SUMIFS('Burn Report'!P$3:P$61,'Burn Report'!$A$3:$A$61,"&gt;="&amp;$A26,'Burn Report'!$A$3:$A$61,"&lt;="&amp;$A27)</f>
        <v>0</v>
      </c>
      <c r="E26" s="92">
        <f>SUMIFS('Burn Report'!Q$3:Q$61,'Burn Report'!$A$3:$A$61,"&gt;="&amp;$A26,'Burn Report'!$A$3:$A$61,"&lt;="&amp;$A27)</f>
        <v>0</v>
      </c>
      <c r="F26" s="92">
        <f>SUMIFS('Burn Report'!R$3:R$61,'Burn Report'!$A$3:$A$61,"&gt;="&amp;$A26,'Burn Report'!$A$3:$A$61,"&lt;="&amp;$A27)</f>
        <v>0</v>
      </c>
      <c r="G26" s="92">
        <f>SUMIFS('Burn Report'!S$3:S$61,'Burn Report'!$A$3:$A$61,"&gt;="&amp;$A26,'Burn Report'!$A$3:$A$61,"&lt;="&amp;$A27)</f>
        <v>0</v>
      </c>
      <c r="H26" s="103">
        <f>SUMIFS('Burn Report'!T$3:T$61,'Burn Report'!$A$3:$A$61,"&gt;="&amp;$A26,'Burn Report'!$A$3:$A$61,"&lt;="&amp;$A27)</f>
        <v>0</v>
      </c>
    </row>
    <row r="27" spans="1:8" x14ac:dyDescent="0.25">
      <c r="A27" s="94">
        <v>43212</v>
      </c>
      <c r="B27" s="93">
        <v>15</v>
      </c>
      <c r="C27" s="92">
        <f>SUMIFS('Burn Report'!O$3:O$61,'Burn Report'!$A$3:$A$61,"&gt;="&amp;$A27,'Burn Report'!$A$3:$A$61,"&lt;="&amp;$A28)</f>
        <v>0</v>
      </c>
      <c r="D27" s="92">
        <f>SUMIFS('Burn Report'!P$3:P$61,'Burn Report'!$A$3:$A$61,"&gt;="&amp;$A27,'Burn Report'!$A$3:$A$61,"&lt;="&amp;$A28)</f>
        <v>0</v>
      </c>
      <c r="E27" s="92">
        <f>SUMIFS('Burn Report'!Q$3:Q$61,'Burn Report'!$A$3:$A$61,"&gt;="&amp;$A27,'Burn Report'!$A$3:$A$61,"&lt;="&amp;$A28)</f>
        <v>0</v>
      </c>
      <c r="F27" s="92">
        <f>SUMIFS('Burn Report'!R$3:R$61,'Burn Report'!$A$3:$A$61,"&gt;="&amp;$A27,'Burn Report'!$A$3:$A$61,"&lt;="&amp;$A28)</f>
        <v>0</v>
      </c>
      <c r="G27" s="92">
        <f>SUMIFS('Burn Report'!S$3:S$61,'Burn Report'!$A$3:$A$61,"&gt;="&amp;$A27,'Burn Report'!$A$3:$A$61,"&lt;="&amp;$A28)</f>
        <v>0</v>
      </c>
      <c r="H27" s="103">
        <f>SUMIFS('Burn Report'!T$3:T$61,'Burn Report'!$A$3:$A$61,"&gt;="&amp;$A27,'Burn Report'!$A$3:$A$61,"&lt;="&amp;$A28)</f>
        <v>0</v>
      </c>
    </row>
    <row r="28" spans="1:8" ht="15.75" thickBot="1" x14ac:dyDescent="0.3">
      <c r="A28" s="91" t="s">
        <v>134</v>
      </c>
      <c r="B28" s="90" t="s">
        <v>136</v>
      </c>
      <c r="C28" s="102">
        <f t="shared" ref="C28:H28" si="1">SUM(C13:C27)</f>
        <v>1675</v>
      </c>
      <c r="D28" s="101">
        <f t="shared" si="1"/>
        <v>1450</v>
      </c>
      <c r="E28" s="101">
        <f t="shared" si="1"/>
        <v>250</v>
      </c>
      <c r="F28" s="101">
        <f t="shared" si="1"/>
        <v>750</v>
      </c>
      <c r="G28" s="101">
        <f t="shared" si="1"/>
        <v>550</v>
      </c>
      <c r="H28" s="100">
        <f t="shared" si="1"/>
        <v>1200</v>
      </c>
    </row>
    <row r="31" spans="1:8" ht="15.75" thickBot="1" x14ac:dyDescent="0.3">
      <c r="A31" s="99" t="s">
        <v>141</v>
      </c>
    </row>
    <row r="32" spans="1:8" x14ac:dyDescent="0.25">
      <c r="A32" s="98" t="s">
        <v>140</v>
      </c>
      <c r="B32" s="96" t="s">
        <v>139</v>
      </c>
      <c r="C32" s="97" t="s">
        <v>102</v>
      </c>
      <c r="D32" s="96" t="s">
        <v>67</v>
      </c>
      <c r="E32" s="96" t="s">
        <v>138</v>
      </c>
      <c r="F32" s="96" t="s">
        <v>75</v>
      </c>
      <c r="G32" s="96" t="s">
        <v>137</v>
      </c>
      <c r="H32" s="95" t="s">
        <v>127</v>
      </c>
    </row>
    <row r="33" spans="1:8" x14ac:dyDescent="0.25">
      <c r="A33" s="94">
        <v>43114</v>
      </c>
      <c r="B33" s="93">
        <v>1</v>
      </c>
      <c r="C33" s="92">
        <f>SUMIFS('Weekly Meeting Costs'!P$3:P$24,'Weekly Meeting Costs'!$A$3:$A$24,"&gt;="&amp;$A33,'Weekly Meeting Costs'!$A$3:$A$24,"&lt;="&amp;$A34)</f>
        <v>0</v>
      </c>
      <c r="D33" s="92">
        <f>SUMIFS('Weekly Meeting Costs'!Q$3:Q$24,'Weekly Meeting Costs'!$A$3:$A$24,"&gt;="&amp;$A33,'Weekly Meeting Costs'!$A$3:$A$24,"&lt;="&amp;$A34)</f>
        <v>0</v>
      </c>
      <c r="E33" s="92">
        <f>SUMIFS('Weekly Meeting Costs'!R$3:R$24,'Weekly Meeting Costs'!$A$3:$A$24,"&gt;="&amp;$A33,'Weekly Meeting Costs'!$A$3:$A$24,"&lt;="&amp;$A34)</f>
        <v>0</v>
      </c>
      <c r="F33" s="92">
        <f>SUMIFS('Weekly Meeting Costs'!S$3:S$24,'Weekly Meeting Costs'!$A$3:$A$24,"&gt;="&amp;$A33,'Weekly Meeting Costs'!$A$3:$A$24,"&lt;="&amp;$A34)</f>
        <v>0</v>
      </c>
      <c r="G33" s="92">
        <f>SUMIFS('Weekly Meeting Costs'!T$3:T$24,'Weekly Meeting Costs'!$A$3:$A$24,"&gt;="&amp;$A33,'Weekly Meeting Costs'!$A$3:$A$24,"&lt;="&amp;$A34)</f>
        <v>0</v>
      </c>
      <c r="H33" s="92">
        <f>SUMIFS('Weekly Meeting Costs'!U$3:U$24,'Weekly Meeting Costs'!$A$3:$A$24,"&gt;="&amp;$A33,'Weekly Meeting Costs'!$A$3:$A$24,"&lt;="&amp;$A34)</f>
        <v>0</v>
      </c>
    </row>
    <row r="34" spans="1:8" x14ac:dyDescent="0.25">
      <c r="A34" s="94">
        <v>43121</v>
      </c>
      <c r="B34" s="93">
        <v>2</v>
      </c>
      <c r="C34" s="92">
        <f>SUMIFS('Weekly Meeting Costs'!P$3:P$24,'Weekly Meeting Costs'!$A$3:$A$24,"&gt;="&amp;$A34,'Weekly Meeting Costs'!$A$3:$A$24,"&lt;="&amp;$A35)</f>
        <v>0</v>
      </c>
      <c r="D34" s="92">
        <f>SUMIFS('Weekly Meeting Costs'!Q$3:Q$24,'Weekly Meeting Costs'!$A$3:$A$24,"&gt;="&amp;$A34,'Weekly Meeting Costs'!$A$3:$A$24,"&lt;="&amp;$A35)</f>
        <v>0</v>
      </c>
      <c r="E34" s="92">
        <f>SUMIFS('Weekly Meeting Costs'!R$3:R$24,'Weekly Meeting Costs'!$A$3:$A$24,"&gt;="&amp;$A34,'Weekly Meeting Costs'!$A$3:$A$24,"&lt;="&amp;$A35)</f>
        <v>0</v>
      </c>
      <c r="F34" s="92">
        <f>SUMIFS('Weekly Meeting Costs'!S$3:S$24,'Weekly Meeting Costs'!$A$3:$A$24,"&gt;="&amp;$A34,'Weekly Meeting Costs'!$A$3:$A$24,"&lt;="&amp;$A35)</f>
        <v>0</v>
      </c>
      <c r="G34" s="92">
        <f>SUMIFS('Weekly Meeting Costs'!T$3:T$24,'Weekly Meeting Costs'!$A$3:$A$24,"&gt;="&amp;$A34,'Weekly Meeting Costs'!$A$3:$A$24,"&lt;="&amp;$A35)</f>
        <v>0</v>
      </c>
      <c r="H34" s="92">
        <f>SUMIFS('Weekly Meeting Costs'!U$3:U$24,'Weekly Meeting Costs'!$A$3:$A$24,"&gt;="&amp;$A34,'Weekly Meeting Costs'!$A$3:$A$24,"&lt;="&amp;$A35)</f>
        <v>0</v>
      </c>
    </row>
    <row r="35" spans="1:8" x14ac:dyDescent="0.25">
      <c r="A35" s="94">
        <v>43128</v>
      </c>
      <c r="B35" s="93">
        <v>3</v>
      </c>
      <c r="C35" s="92">
        <f>SUMIFS('Weekly Meeting Costs'!P$3:P$24,'Weekly Meeting Costs'!$A$3:$A$24,"&gt;="&amp;$A35,'Weekly Meeting Costs'!$A$3:$A$24,"&lt;="&amp;$A36)</f>
        <v>50</v>
      </c>
      <c r="D35" s="92">
        <f>SUMIFS('Weekly Meeting Costs'!Q$3:Q$24,'Weekly Meeting Costs'!$A$3:$A$24,"&gt;="&amp;$A35,'Weekly Meeting Costs'!$A$3:$A$24,"&lt;="&amp;$A36)</f>
        <v>50</v>
      </c>
      <c r="E35" s="92">
        <f>SUMIFS('Weekly Meeting Costs'!R$3:R$24,'Weekly Meeting Costs'!$A$3:$A$24,"&gt;="&amp;$A35,'Weekly Meeting Costs'!$A$3:$A$24,"&lt;="&amp;$A36)</f>
        <v>50</v>
      </c>
      <c r="F35" s="92">
        <f>SUMIFS('Weekly Meeting Costs'!S$3:S$24,'Weekly Meeting Costs'!$A$3:$A$24,"&gt;="&amp;$A35,'Weekly Meeting Costs'!$A$3:$A$24,"&lt;="&amp;$A36)</f>
        <v>50</v>
      </c>
      <c r="G35" s="92">
        <f>SUMIFS('Weekly Meeting Costs'!T$3:T$24,'Weekly Meeting Costs'!$A$3:$A$24,"&gt;="&amp;$A35,'Weekly Meeting Costs'!$A$3:$A$24,"&lt;="&amp;$A36)</f>
        <v>50</v>
      </c>
      <c r="H35" s="92">
        <f>SUMIFS('Weekly Meeting Costs'!U$3:U$24,'Weekly Meeting Costs'!$A$3:$A$24,"&gt;="&amp;$A35,'Weekly Meeting Costs'!$A$3:$A$24,"&lt;="&amp;$A36)</f>
        <v>50</v>
      </c>
    </row>
    <row r="36" spans="1:8" x14ac:dyDescent="0.25">
      <c r="A36" s="94">
        <v>43135</v>
      </c>
      <c r="B36" s="93">
        <v>4</v>
      </c>
      <c r="C36" s="92">
        <f>SUMIFS('Weekly Meeting Costs'!P$3:P$24,'Weekly Meeting Costs'!$A$3:$A$24,"&gt;="&amp;$A36,'Weekly Meeting Costs'!$A$3:$A$24,"&lt;="&amp;$A37)</f>
        <v>100</v>
      </c>
      <c r="D36" s="92">
        <f>SUMIFS('Weekly Meeting Costs'!Q$3:Q$24,'Weekly Meeting Costs'!$A$3:$A$24,"&gt;="&amp;$A36,'Weekly Meeting Costs'!$A$3:$A$24,"&lt;="&amp;$A37)</f>
        <v>100</v>
      </c>
      <c r="E36" s="92">
        <f>SUMIFS('Weekly Meeting Costs'!R$3:R$24,'Weekly Meeting Costs'!$A$3:$A$24,"&gt;="&amp;$A36,'Weekly Meeting Costs'!$A$3:$A$24,"&lt;="&amp;$A37)</f>
        <v>100</v>
      </c>
      <c r="F36" s="92">
        <f>SUMIFS('Weekly Meeting Costs'!S$3:S$24,'Weekly Meeting Costs'!$A$3:$A$24,"&gt;="&amp;$A36,'Weekly Meeting Costs'!$A$3:$A$24,"&lt;="&amp;$A37)</f>
        <v>100</v>
      </c>
      <c r="G36" s="92">
        <f>SUMIFS('Weekly Meeting Costs'!T$3:T$24,'Weekly Meeting Costs'!$A$3:$A$24,"&gt;="&amp;$A36,'Weekly Meeting Costs'!$A$3:$A$24,"&lt;="&amp;$A37)</f>
        <v>100</v>
      </c>
      <c r="H36" s="92">
        <f>SUMIFS('Weekly Meeting Costs'!U$3:U$24,'Weekly Meeting Costs'!$A$3:$A$24,"&gt;="&amp;$A36,'Weekly Meeting Costs'!$A$3:$A$24,"&lt;="&amp;$A37)</f>
        <v>100</v>
      </c>
    </row>
    <row r="37" spans="1:8" x14ac:dyDescent="0.25">
      <c r="A37" s="94">
        <v>43142</v>
      </c>
      <c r="B37" s="93">
        <v>5</v>
      </c>
      <c r="C37" s="92">
        <f>SUMIFS('Weekly Meeting Costs'!P$3:P$24,'Weekly Meeting Costs'!$A$3:$A$24,"&gt;="&amp;$A37,'Weekly Meeting Costs'!$A$3:$A$24,"&lt;="&amp;$A38)</f>
        <v>75</v>
      </c>
      <c r="D37" s="92">
        <f>SUMIFS('Weekly Meeting Costs'!Q$3:Q$24,'Weekly Meeting Costs'!$A$3:$A$24,"&gt;="&amp;$A37,'Weekly Meeting Costs'!$A$3:$A$24,"&lt;="&amp;$A38)</f>
        <v>0</v>
      </c>
      <c r="E37" s="92">
        <f>SUMIFS('Weekly Meeting Costs'!R$3:R$24,'Weekly Meeting Costs'!$A$3:$A$24,"&gt;="&amp;$A37,'Weekly Meeting Costs'!$A$3:$A$24,"&lt;="&amp;$A38)</f>
        <v>75</v>
      </c>
      <c r="F37" s="92">
        <f>SUMIFS('Weekly Meeting Costs'!S$3:S$24,'Weekly Meeting Costs'!$A$3:$A$24,"&gt;="&amp;$A37,'Weekly Meeting Costs'!$A$3:$A$24,"&lt;="&amp;$A38)</f>
        <v>75</v>
      </c>
      <c r="G37" s="92">
        <f>SUMIFS('Weekly Meeting Costs'!T$3:T$24,'Weekly Meeting Costs'!$A$3:$A$24,"&gt;="&amp;$A37,'Weekly Meeting Costs'!$A$3:$A$24,"&lt;="&amp;$A38)</f>
        <v>75</v>
      </c>
      <c r="H37" s="92">
        <f>SUMIFS('Weekly Meeting Costs'!U$3:U$24,'Weekly Meeting Costs'!$A$3:$A$24,"&gt;="&amp;$A37,'Weekly Meeting Costs'!$A$3:$A$24,"&lt;="&amp;$A38)</f>
        <v>75</v>
      </c>
    </row>
    <row r="38" spans="1:8" x14ac:dyDescent="0.25">
      <c r="A38" s="94">
        <v>43149</v>
      </c>
      <c r="B38" s="93">
        <v>6</v>
      </c>
      <c r="C38" s="92">
        <f>SUMIFS('Weekly Meeting Costs'!P$3:P$24,'Weekly Meeting Costs'!$A$3:$A$24,"&gt;="&amp;$A38,'Weekly Meeting Costs'!$A$3:$A$24,"&lt;="&amp;$A39)</f>
        <v>100</v>
      </c>
      <c r="D38" s="92">
        <f>SUMIFS('Weekly Meeting Costs'!Q$3:Q$24,'Weekly Meeting Costs'!$A$3:$A$24,"&gt;="&amp;$A38,'Weekly Meeting Costs'!$A$3:$A$24,"&lt;="&amp;$A39)</f>
        <v>200</v>
      </c>
      <c r="E38" s="92">
        <f>SUMIFS('Weekly Meeting Costs'!R$3:R$24,'Weekly Meeting Costs'!$A$3:$A$24,"&gt;="&amp;$A38,'Weekly Meeting Costs'!$A$3:$A$24,"&lt;="&amp;$A39)</f>
        <v>200</v>
      </c>
      <c r="F38" s="92">
        <f>SUMIFS('Weekly Meeting Costs'!S$3:S$24,'Weekly Meeting Costs'!$A$3:$A$24,"&gt;="&amp;$A38,'Weekly Meeting Costs'!$A$3:$A$24,"&lt;="&amp;$A39)</f>
        <v>200</v>
      </c>
      <c r="G38" s="92">
        <f>SUMIFS('Weekly Meeting Costs'!T$3:T$24,'Weekly Meeting Costs'!$A$3:$A$24,"&gt;="&amp;$A38,'Weekly Meeting Costs'!$A$3:$A$24,"&lt;="&amp;$A39)</f>
        <v>200</v>
      </c>
      <c r="H38" s="92">
        <f>SUMIFS('Weekly Meeting Costs'!U$3:U$24,'Weekly Meeting Costs'!$A$3:$A$24,"&gt;="&amp;$A38,'Weekly Meeting Costs'!$A$3:$A$24,"&lt;="&amp;$A39)</f>
        <v>200</v>
      </c>
    </row>
    <row r="39" spans="1:8" x14ac:dyDescent="0.25">
      <c r="A39" s="94">
        <v>43156</v>
      </c>
      <c r="B39" s="93">
        <v>7</v>
      </c>
      <c r="C39" s="92">
        <f>SUMIFS('Weekly Meeting Costs'!P$3:P$24,'Weekly Meeting Costs'!$A$3:$A$24,"&gt;="&amp;$A39,'Weekly Meeting Costs'!$A$3:$A$24,"&lt;="&amp;$A40)</f>
        <v>350</v>
      </c>
      <c r="D39" s="92">
        <f>SUMIFS('Weekly Meeting Costs'!Q$3:Q$24,'Weekly Meeting Costs'!$A$3:$A$24,"&gt;="&amp;$A39,'Weekly Meeting Costs'!$A$3:$A$24,"&lt;="&amp;$A40)</f>
        <v>350</v>
      </c>
      <c r="E39" s="92">
        <f>SUMIFS('Weekly Meeting Costs'!R$3:R$24,'Weekly Meeting Costs'!$A$3:$A$24,"&gt;="&amp;$A39,'Weekly Meeting Costs'!$A$3:$A$24,"&lt;="&amp;$A40)</f>
        <v>350</v>
      </c>
      <c r="F39" s="92">
        <f>SUMIFS('Weekly Meeting Costs'!S$3:S$24,'Weekly Meeting Costs'!$A$3:$A$24,"&gt;="&amp;$A39,'Weekly Meeting Costs'!$A$3:$A$24,"&lt;="&amp;$A40)</f>
        <v>350</v>
      </c>
      <c r="G39" s="92">
        <f>SUMIFS('Weekly Meeting Costs'!T$3:T$24,'Weekly Meeting Costs'!$A$3:$A$24,"&gt;="&amp;$A39,'Weekly Meeting Costs'!$A$3:$A$24,"&lt;="&amp;$A40)</f>
        <v>350</v>
      </c>
      <c r="H39" s="92">
        <f>SUMIFS('Weekly Meeting Costs'!U$3:U$24,'Weekly Meeting Costs'!$A$3:$A$24,"&gt;="&amp;$A39,'Weekly Meeting Costs'!$A$3:$A$24,"&lt;="&amp;$A40)</f>
        <v>350</v>
      </c>
    </row>
    <row r="40" spans="1:8" x14ac:dyDescent="0.25">
      <c r="A40" s="94">
        <v>43163</v>
      </c>
      <c r="B40" s="93">
        <v>8</v>
      </c>
      <c r="C40" s="92">
        <f>SUMIFS('Weekly Meeting Costs'!P$3:P$24,'Weekly Meeting Costs'!$A$3:$A$24,"&gt;="&amp;$A40,'Weekly Meeting Costs'!$A$3:$A$24,"&lt;="&amp;$A41)</f>
        <v>200</v>
      </c>
      <c r="D40" s="92">
        <f>SUMIFS('Weekly Meeting Costs'!Q$3:Q$24,'Weekly Meeting Costs'!$A$3:$A$24,"&gt;="&amp;$A40,'Weekly Meeting Costs'!$A$3:$A$24,"&lt;="&amp;$A41)</f>
        <v>200</v>
      </c>
      <c r="E40" s="92">
        <f>SUMIFS('Weekly Meeting Costs'!R$3:R$24,'Weekly Meeting Costs'!$A$3:$A$24,"&gt;="&amp;$A40,'Weekly Meeting Costs'!$A$3:$A$24,"&lt;="&amp;$A41)</f>
        <v>200</v>
      </c>
      <c r="F40" s="92">
        <f>SUMIFS('Weekly Meeting Costs'!S$3:S$24,'Weekly Meeting Costs'!$A$3:$A$24,"&gt;="&amp;$A40,'Weekly Meeting Costs'!$A$3:$A$24,"&lt;="&amp;$A41)</f>
        <v>200</v>
      </c>
      <c r="G40" s="92">
        <f>SUMIFS('Weekly Meeting Costs'!T$3:T$24,'Weekly Meeting Costs'!$A$3:$A$24,"&gt;="&amp;$A40,'Weekly Meeting Costs'!$A$3:$A$24,"&lt;="&amp;$A41)</f>
        <v>200</v>
      </c>
      <c r="H40" s="92">
        <f>SUMIFS('Weekly Meeting Costs'!U$3:U$24,'Weekly Meeting Costs'!$A$3:$A$24,"&gt;="&amp;$A40,'Weekly Meeting Costs'!$A$3:$A$24,"&lt;="&amp;$A41)</f>
        <v>200</v>
      </c>
    </row>
    <row r="41" spans="1:8" x14ac:dyDescent="0.25">
      <c r="A41" s="94">
        <v>43170</v>
      </c>
      <c r="B41" s="93">
        <v>9</v>
      </c>
      <c r="C41" s="92">
        <f>SUMIFS('Weekly Meeting Costs'!P$3:P$24,'Weekly Meeting Costs'!$A$3:$A$24,"&gt;="&amp;$A41,'Weekly Meeting Costs'!$A$3:$A$24,"&lt;="&amp;$A42)</f>
        <v>0</v>
      </c>
      <c r="D41" s="92">
        <f>SUMIFS('Weekly Meeting Costs'!Q$3:Q$24,'Weekly Meeting Costs'!$A$3:$A$24,"&gt;="&amp;$A41,'Weekly Meeting Costs'!$A$3:$A$24,"&lt;="&amp;$A42)</f>
        <v>0</v>
      </c>
      <c r="E41" s="92">
        <f>SUMIFS('Weekly Meeting Costs'!R$3:R$24,'Weekly Meeting Costs'!$A$3:$A$24,"&gt;="&amp;$A41,'Weekly Meeting Costs'!$A$3:$A$24,"&lt;="&amp;$A42)</f>
        <v>0</v>
      </c>
      <c r="F41" s="92">
        <f>SUMIFS('Weekly Meeting Costs'!S$3:S$24,'Weekly Meeting Costs'!$A$3:$A$24,"&gt;="&amp;$A41,'Weekly Meeting Costs'!$A$3:$A$24,"&lt;="&amp;$A42)</f>
        <v>0</v>
      </c>
      <c r="G41" s="92">
        <f>SUMIFS('Weekly Meeting Costs'!T$3:T$24,'Weekly Meeting Costs'!$A$3:$A$24,"&gt;="&amp;$A41,'Weekly Meeting Costs'!$A$3:$A$24,"&lt;="&amp;$A42)</f>
        <v>0</v>
      </c>
      <c r="H41" s="92">
        <f>SUMIFS('Weekly Meeting Costs'!U$3:U$24,'Weekly Meeting Costs'!$A$3:$A$24,"&gt;="&amp;$A41,'Weekly Meeting Costs'!$A$3:$A$24,"&lt;="&amp;$A42)</f>
        <v>0</v>
      </c>
    </row>
    <row r="42" spans="1:8" x14ac:dyDescent="0.25">
      <c r="A42" s="94">
        <v>43177</v>
      </c>
      <c r="B42" s="93">
        <v>10</v>
      </c>
      <c r="C42" s="92">
        <f>SUMIFS('Weekly Meeting Costs'!P$3:P$24,'Weekly Meeting Costs'!$A$3:$A$24,"&gt;="&amp;$A42,'Weekly Meeting Costs'!$A$3:$A$24,"&lt;="&amp;$A43)</f>
        <v>200</v>
      </c>
      <c r="D42" s="92">
        <f>SUMIFS('Weekly Meeting Costs'!Q$3:Q$24,'Weekly Meeting Costs'!$A$3:$A$24,"&gt;="&amp;$A42,'Weekly Meeting Costs'!$A$3:$A$24,"&lt;="&amp;$A43)</f>
        <v>0</v>
      </c>
      <c r="E42" s="92">
        <f>SUMIFS('Weekly Meeting Costs'!R$3:R$24,'Weekly Meeting Costs'!$A$3:$A$24,"&gt;="&amp;$A42,'Weekly Meeting Costs'!$A$3:$A$24,"&lt;="&amp;$A43)</f>
        <v>200</v>
      </c>
      <c r="F42" s="92">
        <f>SUMIFS('Weekly Meeting Costs'!S$3:S$24,'Weekly Meeting Costs'!$A$3:$A$24,"&gt;="&amp;$A42,'Weekly Meeting Costs'!$A$3:$A$24,"&lt;="&amp;$A43)</f>
        <v>200</v>
      </c>
      <c r="G42" s="92">
        <f>SUMIFS('Weekly Meeting Costs'!T$3:T$24,'Weekly Meeting Costs'!$A$3:$A$24,"&gt;="&amp;$A42,'Weekly Meeting Costs'!$A$3:$A$24,"&lt;="&amp;$A43)</f>
        <v>200</v>
      </c>
      <c r="H42" s="92">
        <f>SUMIFS('Weekly Meeting Costs'!U$3:U$24,'Weekly Meeting Costs'!$A$3:$A$24,"&gt;="&amp;$A42,'Weekly Meeting Costs'!$A$3:$A$24,"&lt;="&amp;$A43)</f>
        <v>200</v>
      </c>
    </row>
    <row r="43" spans="1:8" x14ac:dyDescent="0.25">
      <c r="A43" s="94">
        <v>43184</v>
      </c>
      <c r="B43" s="93">
        <v>11</v>
      </c>
      <c r="C43" s="92">
        <f>SUMIFS('Weekly Meeting Costs'!P$3:P$24,'Weekly Meeting Costs'!$A$3:$A$24,"&gt;="&amp;$A43,'Weekly Meeting Costs'!$A$3:$A$24,"&lt;="&amp;$A44)</f>
        <v>50</v>
      </c>
      <c r="D43" s="92">
        <f>SUMIFS('Weekly Meeting Costs'!Q$3:Q$24,'Weekly Meeting Costs'!$A$3:$A$24,"&gt;="&amp;$A43,'Weekly Meeting Costs'!$A$3:$A$24,"&lt;="&amp;$A44)</f>
        <v>50</v>
      </c>
      <c r="E43" s="92">
        <f>SUMIFS('Weekly Meeting Costs'!R$3:R$24,'Weekly Meeting Costs'!$A$3:$A$24,"&gt;="&amp;$A43,'Weekly Meeting Costs'!$A$3:$A$24,"&lt;="&amp;$A44)</f>
        <v>50</v>
      </c>
      <c r="F43" s="92">
        <f>SUMIFS('Weekly Meeting Costs'!S$3:S$24,'Weekly Meeting Costs'!$A$3:$A$24,"&gt;="&amp;$A43,'Weekly Meeting Costs'!$A$3:$A$24,"&lt;="&amp;$A44)</f>
        <v>50</v>
      </c>
      <c r="G43" s="92">
        <f>SUMIFS('Weekly Meeting Costs'!T$3:T$24,'Weekly Meeting Costs'!$A$3:$A$24,"&gt;="&amp;$A43,'Weekly Meeting Costs'!$A$3:$A$24,"&lt;="&amp;$A44)</f>
        <v>50</v>
      </c>
      <c r="H43" s="92">
        <f>SUMIFS('Weekly Meeting Costs'!U$3:U$24,'Weekly Meeting Costs'!$A$3:$A$24,"&gt;="&amp;$A43,'Weekly Meeting Costs'!$A$3:$A$24,"&lt;="&amp;$A44)</f>
        <v>50</v>
      </c>
    </row>
    <row r="44" spans="1:8" x14ac:dyDescent="0.25">
      <c r="A44" s="94">
        <v>43191</v>
      </c>
      <c r="B44" s="93">
        <v>12</v>
      </c>
      <c r="C44" s="92">
        <f>SUMIFS('Weekly Meeting Costs'!P$3:P$24,'Weekly Meeting Costs'!$A$3:$A$24,"&gt;="&amp;$A44,'Weekly Meeting Costs'!$A$3:$A$24,"&lt;="&amp;$A45)</f>
        <v>0</v>
      </c>
      <c r="D44" s="92">
        <f>SUMIFS('Weekly Meeting Costs'!Q$3:Q$24,'Weekly Meeting Costs'!$A$3:$A$24,"&gt;="&amp;$A44,'Weekly Meeting Costs'!$A$3:$A$24,"&lt;="&amp;$A45)</f>
        <v>0</v>
      </c>
      <c r="E44" s="92">
        <f>SUMIFS('Weekly Meeting Costs'!R$3:R$24,'Weekly Meeting Costs'!$A$3:$A$24,"&gt;="&amp;$A44,'Weekly Meeting Costs'!$A$3:$A$24,"&lt;="&amp;$A45)</f>
        <v>0</v>
      </c>
      <c r="F44" s="92">
        <f>SUMIFS('Weekly Meeting Costs'!S$3:S$24,'Weekly Meeting Costs'!$A$3:$A$24,"&gt;="&amp;$A44,'Weekly Meeting Costs'!$A$3:$A$24,"&lt;="&amp;$A45)</f>
        <v>0</v>
      </c>
      <c r="G44" s="92">
        <f>SUMIFS('Weekly Meeting Costs'!T$3:T$24,'Weekly Meeting Costs'!$A$3:$A$24,"&gt;="&amp;$A44,'Weekly Meeting Costs'!$A$3:$A$24,"&lt;="&amp;$A45)</f>
        <v>0</v>
      </c>
      <c r="H44" s="92">
        <f>SUMIFS('Weekly Meeting Costs'!U$3:U$24,'Weekly Meeting Costs'!$A$3:$A$24,"&gt;="&amp;$A44,'Weekly Meeting Costs'!$A$3:$A$24,"&lt;="&amp;$A45)</f>
        <v>0</v>
      </c>
    </row>
    <row r="45" spans="1:8" x14ac:dyDescent="0.25">
      <c r="A45" s="94">
        <v>43198</v>
      </c>
      <c r="B45" s="93">
        <v>13</v>
      </c>
      <c r="C45" s="92">
        <f>SUMIFS('Weekly Meeting Costs'!P$3:P$24,'Weekly Meeting Costs'!$A$3:$A$24,"&gt;="&amp;$A45,'Weekly Meeting Costs'!$A$3:$A$24,"&lt;="&amp;$A46)</f>
        <v>0</v>
      </c>
      <c r="D45" s="92">
        <f>SUMIFS('Weekly Meeting Costs'!Q$3:Q$24,'Weekly Meeting Costs'!$A$3:$A$24,"&gt;="&amp;$A45,'Weekly Meeting Costs'!$A$3:$A$24,"&lt;="&amp;$A46)</f>
        <v>0</v>
      </c>
      <c r="E45" s="92">
        <f>SUMIFS('Weekly Meeting Costs'!R$3:R$24,'Weekly Meeting Costs'!$A$3:$A$24,"&gt;="&amp;$A45,'Weekly Meeting Costs'!$A$3:$A$24,"&lt;="&amp;$A46)</f>
        <v>0</v>
      </c>
      <c r="F45" s="92">
        <f>SUMIFS('Weekly Meeting Costs'!S$3:S$24,'Weekly Meeting Costs'!$A$3:$A$24,"&gt;="&amp;$A45,'Weekly Meeting Costs'!$A$3:$A$24,"&lt;="&amp;$A46)</f>
        <v>0</v>
      </c>
      <c r="G45" s="92">
        <f>SUMIFS('Weekly Meeting Costs'!T$3:T$24,'Weekly Meeting Costs'!$A$3:$A$24,"&gt;="&amp;$A45,'Weekly Meeting Costs'!$A$3:$A$24,"&lt;="&amp;$A46)</f>
        <v>0</v>
      </c>
      <c r="H45" s="92">
        <f>SUMIFS('Weekly Meeting Costs'!U$3:U$24,'Weekly Meeting Costs'!$A$3:$A$24,"&gt;="&amp;$A45,'Weekly Meeting Costs'!$A$3:$A$24,"&lt;="&amp;$A46)</f>
        <v>0</v>
      </c>
    </row>
    <row r="46" spans="1:8" x14ac:dyDescent="0.25">
      <c r="A46" s="94">
        <v>43205</v>
      </c>
      <c r="B46" s="93">
        <v>14</v>
      </c>
      <c r="C46" s="92">
        <f>SUMIFS('Weekly Meeting Costs'!P$3:P$24,'Weekly Meeting Costs'!$A$3:$A$24,"&gt;="&amp;$A46,'Weekly Meeting Costs'!$A$3:$A$24,"&lt;="&amp;$A47)</f>
        <v>0</v>
      </c>
      <c r="D46" s="92">
        <f>SUMIFS('Weekly Meeting Costs'!Q$3:Q$24,'Weekly Meeting Costs'!$A$3:$A$24,"&gt;="&amp;$A46,'Weekly Meeting Costs'!$A$3:$A$24,"&lt;="&amp;$A47)</f>
        <v>0</v>
      </c>
      <c r="E46" s="92">
        <f>SUMIFS('Weekly Meeting Costs'!R$3:R$24,'Weekly Meeting Costs'!$A$3:$A$24,"&gt;="&amp;$A46,'Weekly Meeting Costs'!$A$3:$A$24,"&lt;="&amp;$A47)</f>
        <v>0</v>
      </c>
      <c r="F46" s="92">
        <f>SUMIFS('Weekly Meeting Costs'!S$3:S$24,'Weekly Meeting Costs'!$A$3:$A$24,"&gt;="&amp;$A46,'Weekly Meeting Costs'!$A$3:$A$24,"&lt;="&amp;$A47)</f>
        <v>0</v>
      </c>
      <c r="G46" s="92">
        <f>SUMIFS('Weekly Meeting Costs'!T$3:T$24,'Weekly Meeting Costs'!$A$3:$A$24,"&gt;="&amp;$A46,'Weekly Meeting Costs'!$A$3:$A$24,"&lt;="&amp;$A47)</f>
        <v>0</v>
      </c>
      <c r="H46" s="92">
        <f>SUMIFS('Weekly Meeting Costs'!U$3:U$24,'Weekly Meeting Costs'!$A$3:$A$24,"&gt;="&amp;$A46,'Weekly Meeting Costs'!$A$3:$A$24,"&lt;="&amp;$A47)</f>
        <v>0</v>
      </c>
    </row>
    <row r="47" spans="1:8" x14ac:dyDescent="0.25">
      <c r="A47" s="94">
        <v>43212</v>
      </c>
      <c r="B47" s="93">
        <v>15</v>
      </c>
      <c r="C47" s="92">
        <f>SUMIFS('Weekly Meeting Costs'!P$3:P$24,'Weekly Meeting Costs'!$A$3:$A$24,"&gt;="&amp;$A47,'Weekly Meeting Costs'!$A$3:$A$24,"&lt;="&amp;$A48)</f>
        <v>0</v>
      </c>
      <c r="D47" s="92">
        <f>SUMIFS('Weekly Meeting Costs'!Q$3:Q$24,'Weekly Meeting Costs'!$A$3:$A$24,"&gt;="&amp;$A47,'Weekly Meeting Costs'!$A$3:$A$24,"&lt;="&amp;$A48)</f>
        <v>0</v>
      </c>
      <c r="E47" s="92">
        <f>SUMIFS('Weekly Meeting Costs'!R$3:R$24,'Weekly Meeting Costs'!$A$3:$A$24,"&gt;="&amp;$A47,'Weekly Meeting Costs'!$A$3:$A$24,"&lt;="&amp;$A48)</f>
        <v>0</v>
      </c>
      <c r="F47" s="92">
        <f>SUMIFS('Weekly Meeting Costs'!S$3:S$24,'Weekly Meeting Costs'!$A$3:$A$24,"&gt;="&amp;$A47,'Weekly Meeting Costs'!$A$3:$A$24,"&lt;="&amp;$A48)</f>
        <v>0</v>
      </c>
      <c r="G47" s="92">
        <f>SUMIFS('Weekly Meeting Costs'!T$3:T$24,'Weekly Meeting Costs'!$A$3:$A$24,"&gt;="&amp;$A47,'Weekly Meeting Costs'!$A$3:$A$24,"&lt;="&amp;$A48)</f>
        <v>0</v>
      </c>
      <c r="H47" s="92">
        <f>SUMIFS('Weekly Meeting Costs'!U$3:U$24,'Weekly Meeting Costs'!$A$3:$A$24,"&gt;="&amp;$A47,'Weekly Meeting Costs'!$A$3:$A$24,"&lt;="&amp;$A48)</f>
        <v>0</v>
      </c>
    </row>
    <row r="48" spans="1:8" ht="15.75" thickBot="1" x14ac:dyDescent="0.3">
      <c r="A48" s="91" t="s">
        <v>134</v>
      </c>
      <c r="B48" s="90" t="s">
        <v>136</v>
      </c>
      <c r="C48" s="89">
        <f t="shared" ref="C48:H48" si="2">SUM(C33:C47)</f>
        <v>1125</v>
      </c>
      <c r="D48" s="88">
        <f t="shared" si="2"/>
        <v>950</v>
      </c>
      <c r="E48" s="88">
        <f t="shared" si="2"/>
        <v>1225</v>
      </c>
      <c r="F48" s="88">
        <f t="shared" si="2"/>
        <v>1225</v>
      </c>
      <c r="G48" s="88">
        <f t="shared" si="2"/>
        <v>1225</v>
      </c>
      <c r="H48" s="87">
        <f t="shared" si="2"/>
        <v>1225</v>
      </c>
    </row>
  </sheetData>
  <pageMargins left="0.7" right="0.7" top="0.75" bottom="0.75" header="0.51180555555555496" footer="0.51180555555555496"/>
  <pageSetup firstPageNumber="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40" r:id="rId4" name="ZackCost_but">
          <controlPr autoLine="0" r:id="rId5">
            <anchor moveWithCells="1">
              <from>
                <xdr:col>11</xdr:col>
                <xdr:colOff>1381125</xdr:colOff>
                <xdr:row>7</xdr:row>
                <xdr:rowOff>180975</xdr:rowOff>
              </from>
              <to>
                <xdr:col>12</xdr:col>
                <xdr:colOff>314325</xdr:colOff>
                <xdr:row>9</xdr:row>
                <xdr:rowOff>76200</xdr:rowOff>
              </to>
            </anchor>
          </controlPr>
        </control>
      </mc:Choice>
      <mc:Fallback>
        <control shapeId="1040" r:id="rId4" name="ZackCost_but"/>
      </mc:Fallback>
    </mc:AlternateContent>
    <mc:AlternateContent xmlns:mc="http://schemas.openxmlformats.org/markup-compatibility/2006">
      <mc:Choice Requires="x14">
        <control shapeId="1039" r:id="rId6" name="PeterCost_but">
          <controlPr autoLine="0" r:id="rId7">
            <anchor moveWithCells="1">
              <from>
                <xdr:col>11</xdr:col>
                <xdr:colOff>1381125</xdr:colOff>
                <xdr:row>4</xdr:row>
                <xdr:rowOff>133350</xdr:rowOff>
              </from>
              <to>
                <xdr:col>12</xdr:col>
                <xdr:colOff>266700</xdr:colOff>
                <xdr:row>6</xdr:row>
                <xdr:rowOff>47625</xdr:rowOff>
              </to>
            </anchor>
          </controlPr>
        </control>
      </mc:Choice>
      <mc:Fallback>
        <control shapeId="1039" r:id="rId6" name="PeterCost_but"/>
      </mc:Fallback>
    </mc:AlternateContent>
    <mc:AlternateContent xmlns:mc="http://schemas.openxmlformats.org/markup-compatibility/2006">
      <mc:Choice Requires="x14">
        <control shapeId="1038" r:id="rId8" name="CodyCost_but">
          <controlPr autoLine="0" r:id="rId9">
            <anchor moveWithCells="1">
              <from>
                <xdr:col>11</xdr:col>
                <xdr:colOff>1390650</xdr:colOff>
                <xdr:row>1</xdr:row>
                <xdr:rowOff>95250</xdr:rowOff>
              </from>
              <to>
                <xdr:col>12</xdr:col>
                <xdr:colOff>323850</xdr:colOff>
                <xdr:row>3</xdr:row>
                <xdr:rowOff>0</xdr:rowOff>
              </to>
            </anchor>
          </controlPr>
        </control>
      </mc:Choice>
      <mc:Fallback>
        <control shapeId="1038" r:id="rId8" name="CodyCost_but"/>
      </mc:Fallback>
    </mc:AlternateContent>
    <mc:AlternateContent xmlns:mc="http://schemas.openxmlformats.org/markup-compatibility/2006">
      <mc:Choice Requires="x14">
        <control shapeId="1037" r:id="rId10" name="BrandonCost_but">
          <controlPr autoLine="0" r:id="rId11">
            <anchor moveWithCells="1">
              <from>
                <xdr:col>10</xdr:col>
                <xdr:colOff>238125</xdr:colOff>
                <xdr:row>8</xdr:row>
                <xdr:rowOff>0</xdr:rowOff>
              </from>
              <to>
                <xdr:col>11</xdr:col>
                <xdr:colOff>533400</xdr:colOff>
                <xdr:row>9</xdr:row>
                <xdr:rowOff>104775</xdr:rowOff>
              </to>
            </anchor>
          </controlPr>
        </control>
      </mc:Choice>
      <mc:Fallback>
        <control shapeId="1037" r:id="rId10" name="BrandonCost_but"/>
      </mc:Fallback>
    </mc:AlternateContent>
    <mc:AlternateContent xmlns:mc="http://schemas.openxmlformats.org/markup-compatibility/2006">
      <mc:Choice Requires="x14">
        <control shapeId="1036" r:id="rId12" name="BachCost_but">
          <controlPr autoLine="0" r:id="rId13">
            <anchor moveWithCells="1">
              <from>
                <xdr:col>10</xdr:col>
                <xdr:colOff>219075</xdr:colOff>
                <xdr:row>4</xdr:row>
                <xdr:rowOff>133350</xdr:rowOff>
              </from>
              <to>
                <xdr:col>11</xdr:col>
                <xdr:colOff>533400</xdr:colOff>
                <xdr:row>6</xdr:row>
                <xdr:rowOff>28575</xdr:rowOff>
              </to>
            </anchor>
          </controlPr>
        </control>
      </mc:Choice>
      <mc:Fallback>
        <control shapeId="1036" r:id="rId12" name="BachCost_but"/>
      </mc:Fallback>
    </mc:AlternateContent>
    <mc:AlternateContent xmlns:mc="http://schemas.openxmlformats.org/markup-compatibility/2006">
      <mc:Choice Requires="x14">
        <control shapeId="1034" r:id="rId14" name="AndreiCost_but">
          <controlPr autoLine="0" r:id="rId15">
            <anchor moveWithCells="1">
              <from>
                <xdr:col>10</xdr:col>
                <xdr:colOff>238125</xdr:colOff>
                <xdr:row>1</xdr:row>
                <xdr:rowOff>95250</xdr:rowOff>
              </from>
              <to>
                <xdr:col>11</xdr:col>
                <xdr:colOff>542925</xdr:colOff>
                <xdr:row>3</xdr:row>
                <xdr:rowOff>0</xdr:rowOff>
              </to>
            </anchor>
          </controlPr>
        </control>
      </mc:Choice>
      <mc:Fallback>
        <control shapeId="1034" r:id="rId14" name="AndreiCost_but"/>
      </mc:Fallback>
    </mc:AlternateContent>
    <mc:AlternateContent xmlns:mc="http://schemas.openxmlformats.org/markup-compatibility/2006">
      <mc:Choice Requires="x14">
        <control shapeId="1033" r:id="rId16" name="ZackPlanner_but">
          <controlPr autoLine="0" r:id="rId17">
            <anchor moveWithCells="1">
              <from>
                <xdr:col>11</xdr:col>
                <xdr:colOff>762000</xdr:colOff>
                <xdr:row>7</xdr:row>
                <xdr:rowOff>180975</xdr:rowOff>
              </from>
              <to>
                <xdr:col>11</xdr:col>
                <xdr:colOff>1343025</xdr:colOff>
                <xdr:row>9</xdr:row>
                <xdr:rowOff>76200</xdr:rowOff>
              </to>
            </anchor>
          </controlPr>
        </control>
      </mc:Choice>
      <mc:Fallback>
        <control shapeId="1033" r:id="rId16" name="ZackPlanner_but"/>
      </mc:Fallback>
    </mc:AlternateContent>
    <mc:AlternateContent xmlns:mc="http://schemas.openxmlformats.org/markup-compatibility/2006">
      <mc:Choice Requires="x14">
        <control shapeId="1032" r:id="rId18" name="PeterPlanner_but">
          <controlPr autoLine="0" r:id="rId19">
            <anchor moveWithCells="1">
              <from>
                <xdr:col>11</xdr:col>
                <xdr:colOff>781050</xdr:colOff>
                <xdr:row>4</xdr:row>
                <xdr:rowOff>171450</xdr:rowOff>
              </from>
              <to>
                <xdr:col>11</xdr:col>
                <xdr:colOff>1333500</xdr:colOff>
                <xdr:row>6</xdr:row>
                <xdr:rowOff>47625</xdr:rowOff>
              </to>
            </anchor>
          </controlPr>
        </control>
      </mc:Choice>
      <mc:Fallback>
        <control shapeId="1032" r:id="rId18" name="PeterPlanner_but"/>
      </mc:Fallback>
    </mc:AlternateContent>
    <mc:AlternateContent xmlns:mc="http://schemas.openxmlformats.org/markup-compatibility/2006">
      <mc:Choice Requires="x14">
        <control shapeId="1031" r:id="rId20" name="CodyPlanner_but">
          <controlPr autoLine="0" r:id="rId21">
            <anchor moveWithCells="1">
              <from>
                <xdr:col>11</xdr:col>
                <xdr:colOff>771525</xdr:colOff>
                <xdr:row>1</xdr:row>
                <xdr:rowOff>95250</xdr:rowOff>
              </from>
              <to>
                <xdr:col>11</xdr:col>
                <xdr:colOff>1343025</xdr:colOff>
                <xdr:row>3</xdr:row>
                <xdr:rowOff>0</xdr:rowOff>
              </to>
            </anchor>
          </controlPr>
        </control>
      </mc:Choice>
      <mc:Fallback>
        <control shapeId="1031" r:id="rId20" name="CodyPlanner_but"/>
      </mc:Fallback>
    </mc:AlternateContent>
    <mc:AlternateContent xmlns:mc="http://schemas.openxmlformats.org/markup-compatibility/2006">
      <mc:Choice Requires="x14">
        <control shapeId="1027" r:id="rId22" name="BrandonPlanner_but">
          <controlPr autoLine="0" r:id="rId23">
            <anchor moveWithCells="1">
              <from>
                <xdr:col>9</xdr:col>
                <xdr:colOff>104775</xdr:colOff>
                <xdr:row>8</xdr:row>
                <xdr:rowOff>9525</xdr:rowOff>
              </from>
              <to>
                <xdr:col>10</xdr:col>
                <xdr:colOff>209550</xdr:colOff>
                <xdr:row>9</xdr:row>
                <xdr:rowOff>104775</xdr:rowOff>
              </to>
            </anchor>
          </controlPr>
        </control>
      </mc:Choice>
      <mc:Fallback>
        <control shapeId="1027" r:id="rId22" name="BrandonPlanner_but"/>
      </mc:Fallback>
    </mc:AlternateContent>
    <mc:AlternateContent xmlns:mc="http://schemas.openxmlformats.org/markup-compatibility/2006">
      <mc:Choice Requires="x14">
        <control shapeId="1026" r:id="rId24" name="BachPlanner_but">
          <controlPr autoLine="0" autoPict="0" r:id="rId25">
            <anchor moveWithCells="1">
              <from>
                <xdr:col>9</xdr:col>
                <xdr:colOff>104775</xdr:colOff>
                <xdr:row>4</xdr:row>
                <xdr:rowOff>142875</xdr:rowOff>
              </from>
              <to>
                <xdr:col>10</xdr:col>
                <xdr:colOff>171450</xdr:colOff>
                <xdr:row>6</xdr:row>
                <xdr:rowOff>38100</xdr:rowOff>
              </to>
            </anchor>
          </controlPr>
        </control>
      </mc:Choice>
      <mc:Fallback>
        <control shapeId="1026" r:id="rId24" name="BachPlanner_but"/>
      </mc:Fallback>
    </mc:AlternateContent>
    <mc:AlternateContent xmlns:mc="http://schemas.openxmlformats.org/markup-compatibility/2006">
      <mc:Choice Requires="x14">
        <control shapeId="1025" r:id="rId26" name="AndreiPlanner_but">
          <controlPr autoLine="0" r:id="rId27">
            <anchor moveWithCells="1">
              <from>
                <xdr:col>9</xdr:col>
                <xdr:colOff>114300</xdr:colOff>
                <xdr:row>1</xdr:row>
                <xdr:rowOff>95250</xdr:rowOff>
              </from>
              <to>
                <xdr:col>10</xdr:col>
                <xdr:colOff>209550</xdr:colOff>
                <xdr:row>3</xdr:row>
                <xdr:rowOff>0</xdr:rowOff>
              </to>
            </anchor>
          </controlPr>
        </control>
      </mc:Choice>
      <mc:Fallback>
        <control shapeId="1025" r:id="rId26" name="AndreiPlanner_bu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  <pageSetUpPr fitToPage="1"/>
  </sheetPr>
  <dimension ref="A1:AMK49"/>
  <sheetViews>
    <sheetView showGridLines="0" tabSelected="1" zoomScale="85" zoomScaleNormal="85" zoomScalePageLayoutView="80" workbookViewId="0">
      <pane ySplit="4" topLeftCell="A14" activePane="bottomLeft" state="frozen"/>
      <selection pane="bottomLeft" activeCell="D32" sqref="D32"/>
    </sheetView>
  </sheetViews>
  <sheetFormatPr defaultRowHeight="17.25" outlineLevelRow="1" x14ac:dyDescent="0.3"/>
  <cols>
    <col min="1" max="1" width="3" style="1" customWidth="1"/>
    <col min="2" max="2" width="47.710937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0</v>
      </c>
      <c r="C1" s="7"/>
      <c r="D1" s="8"/>
      <c r="E1" s="8"/>
      <c r="F1" s="8"/>
      <c r="G1" s="8"/>
      <c r="H1" s="8"/>
    </row>
    <row r="2" spans="1:68" ht="21" customHeight="1" x14ac:dyDescent="0.25">
      <c r="B2" s="215">
        <f ca="1">NOW()</f>
        <v>43188.720990972222</v>
      </c>
      <c r="C2" s="215"/>
      <c r="D2" s="215"/>
      <c r="E2" s="215"/>
      <c r="F2" s="215"/>
      <c r="G2" s="215"/>
      <c r="H2" s="10" t="s">
        <v>1</v>
      </c>
      <c r="I2" s="11">
        <f ca="1">DAY(NOW())</f>
        <v>29</v>
      </c>
      <c r="K2" s="12"/>
      <c r="L2" s="216" t="s">
        <v>2</v>
      </c>
      <c r="M2" s="216"/>
      <c r="N2" s="216"/>
      <c r="O2" s="216"/>
      <c r="P2" s="216"/>
      <c r="Q2" s="14"/>
      <c r="R2" s="216" t="s">
        <v>3</v>
      </c>
      <c r="S2" s="216"/>
      <c r="T2" s="216"/>
      <c r="U2" s="216"/>
      <c r="V2" s="15"/>
      <c r="W2" s="216" t="s">
        <v>4</v>
      </c>
      <c r="X2" s="216"/>
      <c r="Y2" s="216"/>
      <c r="Z2" s="216"/>
      <c r="AA2" s="16"/>
      <c r="AB2" s="216" t="s">
        <v>5</v>
      </c>
      <c r="AC2" s="216"/>
      <c r="AD2" s="216"/>
      <c r="AE2" s="216"/>
      <c r="AF2" s="216"/>
      <c r="AG2" s="216"/>
      <c r="AH2" s="216"/>
      <c r="AI2" s="18"/>
      <c r="AJ2" s="210" t="s">
        <v>6</v>
      </c>
      <c r="AK2" s="210"/>
      <c r="AL2" s="210"/>
      <c r="AM2" s="210"/>
      <c r="AN2" s="210"/>
      <c r="AO2" s="210"/>
      <c r="AP2" s="210"/>
      <c r="AQ2" s="210"/>
    </row>
    <row r="3" spans="1:68" s="20" customFormat="1" ht="39.950000000000003" customHeight="1" x14ac:dyDescent="0.25">
      <c r="B3" s="211" t="s">
        <v>7</v>
      </c>
      <c r="C3" s="212" t="s">
        <v>8</v>
      </c>
      <c r="D3" s="213" t="s">
        <v>9</v>
      </c>
      <c r="E3" s="213" t="s">
        <v>10</v>
      </c>
      <c r="F3" s="213" t="s">
        <v>11</v>
      </c>
      <c r="G3" s="213" t="s">
        <v>12</v>
      </c>
      <c r="H3" s="214" t="s">
        <v>13</v>
      </c>
      <c r="I3" s="25" t="s">
        <v>14</v>
      </c>
      <c r="J3" s="26"/>
      <c r="K3" s="27"/>
      <c r="L3" s="27"/>
      <c r="M3" s="27"/>
      <c r="N3" s="27"/>
      <c r="O3" s="27"/>
      <c r="P3" s="27"/>
      <c r="Q3" s="27"/>
      <c r="R3" s="27"/>
      <c r="S3" s="28" t="s">
        <v>15</v>
      </c>
      <c r="T3" s="29">
        <v>2</v>
      </c>
      <c r="U3" s="29">
        <v>3</v>
      </c>
      <c r="V3" s="29">
        <v>4</v>
      </c>
      <c r="W3" s="29">
        <v>5</v>
      </c>
      <c r="X3" s="29">
        <v>6</v>
      </c>
      <c r="Y3" s="29">
        <v>7</v>
      </c>
      <c r="Z3" s="29">
        <v>8</v>
      </c>
      <c r="AA3" s="29">
        <v>9</v>
      </c>
      <c r="AB3" s="29">
        <v>10</v>
      </c>
      <c r="AC3" s="29">
        <v>11</v>
      </c>
      <c r="AD3" s="29">
        <v>12</v>
      </c>
      <c r="AE3" s="29">
        <v>13</v>
      </c>
      <c r="AF3" s="29">
        <v>14</v>
      </c>
      <c r="AG3" s="29">
        <v>15</v>
      </c>
      <c r="AH3" s="29">
        <v>16</v>
      </c>
      <c r="AI3" s="29">
        <v>17</v>
      </c>
      <c r="AJ3" s="29">
        <v>18</v>
      </c>
      <c r="AK3" s="29">
        <v>19</v>
      </c>
      <c r="AL3" s="29">
        <v>20</v>
      </c>
      <c r="AM3" s="29">
        <v>21</v>
      </c>
      <c r="AN3" s="29">
        <v>22</v>
      </c>
      <c r="AO3" s="29">
        <v>23</v>
      </c>
      <c r="AP3" s="29">
        <v>24</v>
      </c>
      <c r="AQ3" s="29">
        <v>25</v>
      </c>
      <c r="AR3" s="29">
        <v>26</v>
      </c>
      <c r="AS3" s="29">
        <v>27</v>
      </c>
      <c r="AT3" s="29">
        <v>28</v>
      </c>
      <c r="AU3" s="29">
        <v>29</v>
      </c>
      <c r="AV3" s="29">
        <v>30</v>
      </c>
      <c r="AW3" s="28" t="s">
        <v>16</v>
      </c>
    </row>
    <row r="4" spans="1:68" ht="15.75" customHeight="1" x14ac:dyDescent="0.25">
      <c r="B4" s="211"/>
      <c r="C4" s="212"/>
      <c r="D4" s="213"/>
      <c r="E4" s="213"/>
      <c r="F4" s="213"/>
      <c r="G4" s="213"/>
      <c r="H4" s="214"/>
      <c r="I4" s="30">
        <v>22</v>
      </c>
      <c r="J4" s="30">
        <v>23</v>
      </c>
      <c r="K4" s="30">
        <v>24</v>
      </c>
      <c r="L4" s="30">
        <v>25</v>
      </c>
      <c r="M4" s="30">
        <v>26</v>
      </c>
      <c r="N4" s="30">
        <v>27</v>
      </c>
      <c r="O4" s="30">
        <v>28</v>
      </c>
      <c r="P4" s="30">
        <v>29</v>
      </c>
      <c r="Q4" s="30">
        <v>30</v>
      </c>
      <c r="R4" s="30">
        <v>31</v>
      </c>
      <c r="S4" s="30">
        <v>32</v>
      </c>
      <c r="T4" s="30">
        <v>33</v>
      </c>
      <c r="U4" s="30">
        <v>34</v>
      </c>
      <c r="V4" s="30">
        <v>35</v>
      </c>
      <c r="W4" s="30">
        <v>36</v>
      </c>
      <c r="X4" s="30">
        <v>37</v>
      </c>
      <c r="Y4" s="30">
        <v>38</v>
      </c>
      <c r="Z4" s="30">
        <v>39</v>
      </c>
      <c r="AA4" s="30">
        <v>40</v>
      </c>
      <c r="AB4" s="30">
        <v>41</v>
      </c>
      <c r="AC4" s="30">
        <v>42</v>
      </c>
      <c r="AD4" s="30">
        <v>43</v>
      </c>
      <c r="AE4" s="30">
        <v>44</v>
      </c>
      <c r="AF4" s="30">
        <v>45</v>
      </c>
      <c r="AG4" s="30">
        <v>46</v>
      </c>
      <c r="AH4" s="30">
        <v>47</v>
      </c>
      <c r="AI4" s="30">
        <v>48</v>
      </c>
      <c r="AJ4" s="30">
        <v>49</v>
      </c>
      <c r="AK4" s="30">
        <v>50</v>
      </c>
      <c r="AL4" s="30">
        <v>51</v>
      </c>
      <c r="AM4" s="30">
        <v>52</v>
      </c>
      <c r="AN4" s="30">
        <v>53</v>
      </c>
      <c r="AO4" s="30">
        <v>54</v>
      </c>
      <c r="AP4" s="30">
        <v>55</v>
      </c>
      <c r="AQ4" s="30">
        <v>56</v>
      </c>
      <c r="AR4" s="30">
        <v>57</v>
      </c>
      <c r="AS4" s="30">
        <v>58</v>
      </c>
      <c r="AT4" s="30">
        <v>59</v>
      </c>
      <c r="AU4" s="30">
        <v>60</v>
      </c>
      <c r="AV4" s="30">
        <v>61</v>
      </c>
      <c r="AW4" s="30">
        <v>62</v>
      </c>
      <c r="AX4" s="30">
        <v>63</v>
      </c>
      <c r="AY4" s="30">
        <v>64</v>
      </c>
      <c r="AZ4" s="30">
        <v>65</v>
      </c>
      <c r="BA4" s="30">
        <v>66</v>
      </c>
      <c r="BB4" s="30">
        <v>67</v>
      </c>
      <c r="BC4" s="30">
        <v>68</v>
      </c>
      <c r="BD4" s="30">
        <v>69</v>
      </c>
      <c r="BE4" s="30">
        <v>70</v>
      </c>
      <c r="BF4" s="30">
        <v>71</v>
      </c>
      <c r="BG4" s="30">
        <v>72</v>
      </c>
      <c r="BH4" s="30">
        <v>73</v>
      </c>
      <c r="BI4" s="30">
        <v>74</v>
      </c>
      <c r="BJ4" s="30">
        <v>75</v>
      </c>
      <c r="BK4" s="30">
        <v>76</v>
      </c>
      <c r="BL4" s="30">
        <v>77</v>
      </c>
      <c r="BM4" s="30">
        <v>78</v>
      </c>
      <c r="BN4" s="30">
        <v>79</v>
      </c>
      <c r="BO4" s="30">
        <v>80</v>
      </c>
      <c r="BP4" s="30">
        <v>81</v>
      </c>
    </row>
    <row r="5" spans="1:68" s="31" customFormat="1" x14ac:dyDescent="0.3">
      <c r="B5" s="32" t="s">
        <v>17</v>
      </c>
      <c r="C5" s="33" t="s">
        <v>18</v>
      </c>
      <c r="D5" s="34">
        <v>22</v>
      </c>
      <c r="E5" s="35">
        <v>1</v>
      </c>
      <c r="F5" s="35">
        <v>22</v>
      </c>
      <c r="G5" s="35">
        <v>1</v>
      </c>
      <c r="H5" s="36">
        <v>1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68" x14ac:dyDescent="0.3">
      <c r="B6" s="38" t="s">
        <v>19</v>
      </c>
      <c r="C6" s="39" t="s">
        <v>20</v>
      </c>
      <c r="D6" s="40"/>
      <c r="E6" s="40"/>
      <c r="F6" s="40"/>
      <c r="G6" s="40"/>
      <c r="H6" s="41"/>
    </row>
    <row r="7" spans="1:68" s="4" customFormat="1" outlineLevel="1" x14ac:dyDescent="0.25">
      <c r="A7" s="1"/>
      <c r="B7" s="42" t="s">
        <v>208</v>
      </c>
      <c r="C7" s="43" t="s">
        <v>21</v>
      </c>
      <c r="D7" s="40">
        <v>23</v>
      </c>
      <c r="E7" s="40">
        <v>1</v>
      </c>
      <c r="F7" s="40">
        <v>0</v>
      </c>
      <c r="G7" s="40">
        <v>0</v>
      </c>
      <c r="H7" s="41"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25">
      <c r="A8" s="1"/>
      <c r="B8" s="42" t="s">
        <v>207</v>
      </c>
      <c r="C8" s="43" t="s">
        <v>22</v>
      </c>
      <c r="D8" s="40">
        <v>23</v>
      </c>
      <c r="E8" s="40">
        <v>1</v>
      </c>
      <c r="F8" s="40">
        <v>0</v>
      </c>
      <c r="G8" s="40">
        <v>0</v>
      </c>
      <c r="H8" s="41">
        <v>0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25">
      <c r="A9" s="1"/>
      <c r="B9" s="42" t="s">
        <v>206</v>
      </c>
      <c r="C9" s="43" t="s">
        <v>21</v>
      </c>
      <c r="D9" s="40">
        <v>23</v>
      </c>
      <c r="E9" s="40">
        <v>2</v>
      </c>
      <c r="F9" s="40">
        <v>0</v>
      </c>
      <c r="G9" s="40">
        <v>0</v>
      </c>
      <c r="H9" s="41">
        <v>0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25">
      <c r="A10" s="1"/>
      <c r="B10" s="44" t="s">
        <v>209</v>
      </c>
      <c r="C10" s="39" t="s">
        <v>23</v>
      </c>
      <c r="D10" s="40">
        <v>23</v>
      </c>
      <c r="E10" s="40">
        <v>5</v>
      </c>
      <c r="F10" s="40">
        <v>0</v>
      </c>
      <c r="G10" s="40">
        <v>0</v>
      </c>
      <c r="H10" s="41">
        <v>0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25">
      <c r="A11" s="1"/>
      <c r="B11" s="44" t="s">
        <v>210</v>
      </c>
      <c r="C11" s="39" t="s">
        <v>23</v>
      </c>
      <c r="D11" s="40">
        <v>23</v>
      </c>
      <c r="E11" s="40">
        <v>10</v>
      </c>
      <c r="F11" s="40">
        <v>0</v>
      </c>
      <c r="G11" s="40">
        <v>0</v>
      </c>
      <c r="H11" s="41">
        <v>0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25">
      <c r="A12" s="1"/>
      <c r="B12" s="44" t="s">
        <v>211</v>
      </c>
      <c r="C12" s="39" t="s">
        <v>205</v>
      </c>
      <c r="D12" s="40">
        <v>23</v>
      </c>
      <c r="E12" s="40">
        <v>0</v>
      </c>
      <c r="F12" s="40">
        <v>0</v>
      </c>
      <c r="G12" s="40">
        <v>0</v>
      </c>
      <c r="H12" s="41">
        <v>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25">
      <c r="A13" s="1"/>
      <c r="B13" s="44" t="s">
        <v>212</v>
      </c>
      <c r="C13" s="39" t="s">
        <v>18</v>
      </c>
      <c r="D13" s="40">
        <v>23</v>
      </c>
      <c r="E13" s="40"/>
      <c r="F13" s="40"/>
      <c r="G13" s="40"/>
      <c r="H13" s="4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x14ac:dyDescent="0.25">
      <c r="A14" s="1"/>
      <c r="B14" s="85" t="s">
        <v>135</v>
      </c>
      <c r="C14" s="39" t="s">
        <v>32</v>
      </c>
      <c r="D14" s="40">
        <v>31</v>
      </c>
      <c r="E14" s="40">
        <v>7</v>
      </c>
      <c r="F14" s="40">
        <v>0</v>
      </c>
      <c r="G14" s="40">
        <v>0</v>
      </c>
      <c r="H14" s="41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x14ac:dyDescent="0.25">
      <c r="A15" s="1"/>
      <c r="B15" s="42" t="s">
        <v>24</v>
      </c>
      <c r="C15" s="43" t="s">
        <v>21</v>
      </c>
      <c r="D15" s="40">
        <v>25</v>
      </c>
      <c r="E15" s="40">
        <v>10</v>
      </c>
      <c r="F15" s="40">
        <v>0</v>
      </c>
      <c r="G15" s="40">
        <v>0</v>
      </c>
      <c r="H15" s="41"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x14ac:dyDescent="0.25">
      <c r="A16" s="1"/>
      <c r="B16" s="85" t="s">
        <v>213</v>
      </c>
      <c r="C16" s="39" t="s">
        <v>25</v>
      </c>
      <c r="D16" s="40">
        <v>31</v>
      </c>
      <c r="E16" s="40">
        <v>7</v>
      </c>
      <c r="F16" s="40">
        <v>0</v>
      </c>
      <c r="G16" s="40">
        <v>0</v>
      </c>
      <c r="H16" s="41">
        <v>0</v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x14ac:dyDescent="0.3">
      <c r="A17" s="1"/>
      <c r="B17" s="38" t="s">
        <v>26</v>
      </c>
      <c r="C17" s="39" t="s">
        <v>21</v>
      </c>
      <c r="D17" s="40"/>
      <c r="E17" s="40"/>
      <c r="F17" s="40"/>
      <c r="G17" s="40"/>
      <c r="H17" s="4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outlineLevel="1" x14ac:dyDescent="0.25">
      <c r="A18" s="1"/>
      <c r="B18" s="42" t="s">
        <v>27</v>
      </c>
      <c r="C18" s="43" t="s">
        <v>223</v>
      </c>
      <c r="D18" s="40">
        <v>25</v>
      </c>
      <c r="E18" s="40">
        <v>7</v>
      </c>
      <c r="F18" s="40">
        <v>0</v>
      </c>
      <c r="G18" s="40">
        <v>0</v>
      </c>
      <c r="H18" s="41">
        <v>0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outlineLevel="1" x14ac:dyDescent="0.25">
      <c r="A19" s="1"/>
      <c r="B19" s="42" t="s">
        <v>28</v>
      </c>
      <c r="C19" s="43" t="s">
        <v>223</v>
      </c>
      <c r="D19" s="40">
        <v>25</v>
      </c>
      <c r="E19" s="40">
        <v>7</v>
      </c>
      <c r="F19" s="40">
        <v>0</v>
      </c>
      <c r="G19" s="40">
        <v>0</v>
      </c>
      <c r="H19" s="41">
        <v>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outlineLevel="1" x14ac:dyDescent="0.25">
      <c r="A20" s="1"/>
      <c r="B20" s="42" t="s">
        <v>214</v>
      </c>
      <c r="C20" s="43" t="s">
        <v>216</v>
      </c>
      <c r="D20" s="40" t="s">
        <v>217</v>
      </c>
      <c r="E20" s="40" t="s">
        <v>217</v>
      </c>
      <c r="F20" s="40" t="s">
        <v>217</v>
      </c>
      <c r="G20" s="40" t="s">
        <v>217</v>
      </c>
      <c r="H20" s="41">
        <v>1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38" t="s">
        <v>31</v>
      </c>
      <c r="C21" s="39" t="s">
        <v>32</v>
      </c>
      <c r="D21" s="40"/>
      <c r="E21" s="40"/>
      <c r="F21" s="40"/>
      <c r="G21" s="40"/>
      <c r="H21" s="4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25">
      <c r="A22" s="1"/>
      <c r="B22" s="44" t="s">
        <v>33</v>
      </c>
      <c r="C22" s="39" t="s">
        <v>34</v>
      </c>
      <c r="D22" s="40">
        <v>23</v>
      </c>
      <c r="E22" s="40">
        <v>10</v>
      </c>
      <c r="F22" s="40">
        <v>0</v>
      </c>
      <c r="G22" s="40">
        <v>0</v>
      </c>
      <c r="H22" s="41"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25">
      <c r="A23" s="1"/>
      <c r="B23" s="44" t="s">
        <v>35</v>
      </c>
      <c r="C23" s="39" t="s">
        <v>22</v>
      </c>
      <c r="D23" s="40">
        <v>32</v>
      </c>
      <c r="E23" s="40">
        <v>15</v>
      </c>
      <c r="F23" s="40">
        <v>0</v>
      </c>
      <c r="G23" s="40">
        <v>0</v>
      </c>
      <c r="H23" s="41">
        <v>0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25">
      <c r="A24" s="1"/>
      <c r="B24" s="44" t="s">
        <v>219</v>
      </c>
      <c r="C24" s="39" t="s">
        <v>34</v>
      </c>
      <c r="D24" s="40">
        <v>32</v>
      </c>
      <c r="E24" s="40">
        <v>5</v>
      </c>
      <c r="F24" s="40">
        <v>0</v>
      </c>
      <c r="G24" s="40">
        <v>0</v>
      </c>
      <c r="H24" s="41">
        <v>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25">
      <c r="A25" s="1"/>
      <c r="B25" s="44" t="s">
        <v>218</v>
      </c>
      <c r="C25" s="39"/>
      <c r="D25" s="40"/>
      <c r="E25" s="40"/>
      <c r="F25" s="40"/>
      <c r="G25" s="40"/>
      <c r="H25" s="4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x14ac:dyDescent="0.25">
      <c r="A26" s="1"/>
      <c r="B26" s="44" t="s">
        <v>220</v>
      </c>
      <c r="C26" s="39"/>
      <c r="D26" s="40"/>
      <c r="E26" s="40"/>
      <c r="F26" s="40"/>
      <c r="G26" s="40"/>
      <c r="H26" s="4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25">
      <c r="A27" s="1"/>
      <c r="B27" s="44" t="s">
        <v>221</v>
      </c>
      <c r="C27" s="39"/>
      <c r="D27" s="40"/>
      <c r="E27" s="40"/>
      <c r="F27" s="40"/>
      <c r="G27" s="40"/>
      <c r="H27" s="4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outlineLevel="1" x14ac:dyDescent="0.25">
      <c r="A28" s="1"/>
      <c r="B28" s="42" t="s">
        <v>38</v>
      </c>
      <c r="C28" s="39" t="s">
        <v>32</v>
      </c>
      <c r="D28" s="40">
        <v>35</v>
      </c>
      <c r="E28" s="40">
        <v>5</v>
      </c>
      <c r="F28" s="40">
        <v>0</v>
      </c>
      <c r="G28" s="40">
        <v>0</v>
      </c>
      <c r="H28" s="41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x14ac:dyDescent="0.3">
      <c r="A29" s="1"/>
      <c r="B29" s="38" t="s">
        <v>39</v>
      </c>
      <c r="C29" s="43" t="s">
        <v>205</v>
      </c>
      <c r="D29" s="40"/>
      <c r="E29" s="40"/>
      <c r="F29" s="40"/>
      <c r="G29" s="40"/>
      <c r="H29" s="4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25">
      <c r="A30" s="1"/>
      <c r="B30" s="42" t="s">
        <v>225</v>
      </c>
      <c r="C30" s="43" t="s">
        <v>205</v>
      </c>
      <c r="D30" s="40">
        <v>29</v>
      </c>
      <c r="E30" s="40">
        <v>7</v>
      </c>
      <c r="F30" s="40">
        <v>0</v>
      </c>
      <c r="G30" s="40">
        <v>0</v>
      </c>
      <c r="H30" s="41"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25">
      <c r="A31" s="1"/>
      <c r="B31" s="42" t="s">
        <v>215</v>
      </c>
      <c r="C31" s="43" t="s">
        <v>205</v>
      </c>
      <c r="D31" s="40"/>
      <c r="E31" s="40"/>
      <c r="F31" s="40"/>
      <c r="G31" s="40"/>
      <c r="H31" s="4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25">
      <c r="A32" s="1"/>
      <c r="B32" s="42" t="s">
        <v>222</v>
      </c>
      <c r="C32" s="43" t="s">
        <v>205</v>
      </c>
      <c r="D32" s="40"/>
      <c r="E32" s="40"/>
      <c r="F32" s="40"/>
      <c r="G32" s="40"/>
      <c r="H32" s="4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25">
      <c r="A33" s="1"/>
      <c r="B33" s="42" t="s">
        <v>224</v>
      </c>
      <c r="C33" s="43" t="s">
        <v>205</v>
      </c>
      <c r="D33" s="40"/>
      <c r="E33" s="40"/>
      <c r="F33" s="40"/>
      <c r="G33" s="40"/>
      <c r="H33" s="4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25">
      <c r="A34" s="1"/>
      <c r="B34" s="42" t="s">
        <v>226</v>
      </c>
      <c r="C34" s="43" t="s">
        <v>216</v>
      </c>
      <c r="D34" s="40"/>
      <c r="E34" s="40"/>
      <c r="F34" s="40"/>
      <c r="G34" s="40"/>
      <c r="H34" s="4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">
      <c r="A35" s="1"/>
      <c r="B35" s="45" t="s">
        <v>42</v>
      </c>
      <c r="C35" s="43" t="s">
        <v>43</v>
      </c>
      <c r="D35" s="40"/>
      <c r="E35" s="40"/>
      <c r="F35" s="40"/>
      <c r="G35" s="40"/>
      <c r="H35" s="4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outlineLevel="1" x14ac:dyDescent="0.25">
      <c r="A36" s="1"/>
      <c r="B36" s="42" t="s">
        <v>44</v>
      </c>
      <c r="C36" s="43" t="s">
        <v>45</v>
      </c>
      <c r="D36" s="40">
        <v>23</v>
      </c>
      <c r="E36" s="40">
        <v>7</v>
      </c>
      <c r="F36" s="40">
        <v>23</v>
      </c>
      <c r="G36" s="40">
        <v>0</v>
      </c>
      <c r="H36" s="41">
        <v>0.5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outlineLevel="1" x14ac:dyDescent="0.25">
      <c r="A37" s="1"/>
      <c r="B37" s="42" t="s">
        <v>46</v>
      </c>
      <c r="C37" s="43" t="s">
        <v>47</v>
      </c>
      <c r="D37" s="40">
        <v>41</v>
      </c>
      <c r="E37" s="40">
        <v>6</v>
      </c>
      <c r="F37" s="40">
        <v>0</v>
      </c>
      <c r="G37" s="40">
        <v>0</v>
      </c>
      <c r="H37" s="41"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outlineLevel="1" x14ac:dyDescent="0.25">
      <c r="A38" s="1"/>
      <c r="B38" s="42" t="s">
        <v>48</v>
      </c>
      <c r="C38" s="43" t="s">
        <v>47</v>
      </c>
      <c r="D38" s="40">
        <v>41</v>
      </c>
      <c r="E38" s="40">
        <v>6</v>
      </c>
      <c r="F38" s="40">
        <v>0</v>
      </c>
      <c r="G38" s="40">
        <v>0</v>
      </c>
      <c r="H38" s="41"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outlineLevel="1" x14ac:dyDescent="0.25">
      <c r="A39" s="1"/>
      <c r="B39" s="42" t="s">
        <v>49</v>
      </c>
      <c r="C39" s="43" t="s">
        <v>45</v>
      </c>
      <c r="D39" s="40">
        <v>41</v>
      </c>
      <c r="E39" s="40">
        <v>6</v>
      </c>
      <c r="F39" s="40">
        <v>0</v>
      </c>
      <c r="G39" s="40">
        <v>0</v>
      </c>
      <c r="H39" s="41"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outlineLevel="1" x14ac:dyDescent="0.25">
      <c r="A40" s="1"/>
      <c r="B40" s="42" t="s">
        <v>50</v>
      </c>
      <c r="C40" s="43" t="s">
        <v>18</v>
      </c>
      <c r="D40" s="40">
        <v>45</v>
      </c>
      <c r="E40" s="40">
        <v>10</v>
      </c>
      <c r="F40" s="40">
        <v>0</v>
      </c>
      <c r="G40" s="40">
        <v>0</v>
      </c>
      <c r="H40" s="41">
        <v>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s="4" customFormat="1" x14ac:dyDescent="0.3">
      <c r="A41" s="1"/>
      <c r="B41" s="38" t="s">
        <v>51</v>
      </c>
      <c r="C41" s="39" t="s">
        <v>18</v>
      </c>
      <c r="D41" s="40">
        <v>55</v>
      </c>
      <c r="E41" s="40">
        <v>1</v>
      </c>
      <c r="F41" s="40">
        <v>55</v>
      </c>
      <c r="G41" s="40">
        <v>1</v>
      </c>
      <c r="H41" s="41">
        <v>0</v>
      </c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</row>
    <row r="42" spans="1:68" s="4" customFormat="1" x14ac:dyDescent="0.3">
      <c r="A42" s="1"/>
      <c r="B42" s="38" t="s">
        <v>52</v>
      </c>
      <c r="C42" s="39" t="s">
        <v>53</v>
      </c>
      <c r="D42" s="40"/>
      <c r="E42" s="40"/>
      <c r="F42" s="40"/>
      <c r="G42" s="40"/>
      <c r="H42" s="4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</row>
    <row r="43" spans="1:68" s="4" customFormat="1" x14ac:dyDescent="0.25">
      <c r="A43" s="1"/>
      <c r="B43" s="44" t="s">
        <v>54</v>
      </c>
      <c r="C43" s="39" t="s">
        <v>53</v>
      </c>
      <c r="D43" s="40" t="s">
        <v>55</v>
      </c>
      <c r="E43" s="40" t="s">
        <v>55</v>
      </c>
      <c r="F43" s="40">
        <v>0</v>
      </c>
      <c r="G43" s="40">
        <v>0</v>
      </c>
      <c r="H43" s="41">
        <v>0</v>
      </c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</row>
    <row r="44" spans="1:68" s="4" customFormat="1" x14ac:dyDescent="0.25">
      <c r="A44" s="1"/>
      <c r="B44" s="44" t="s">
        <v>56</v>
      </c>
      <c r="C44" s="39" t="s">
        <v>45</v>
      </c>
      <c r="D44" s="40" t="s">
        <v>55</v>
      </c>
      <c r="E44" s="40" t="s">
        <v>55</v>
      </c>
      <c r="F44" s="40">
        <v>0</v>
      </c>
      <c r="G44" s="40">
        <v>0</v>
      </c>
      <c r="H44" s="41">
        <v>0</v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9" spans="3:8" x14ac:dyDescent="0.3">
      <c r="C49" s="3">
        <v>0</v>
      </c>
      <c r="D49" s="4">
        <v>0</v>
      </c>
      <c r="E49" s="4">
        <v>0</v>
      </c>
      <c r="F49" s="4">
        <v>0</v>
      </c>
      <c r="G49" s="4">
        <v>0</v>
      </c>
      <c r="H49" s="5">
        <v>0</v>
      </c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5:BP45 I30:BP42 I46:BO53 I21:BP28 I7:BP17">
    <cfRule type="expression" dxfId="351" priority="2">
      <formula>PercentComplete</formula>
    </cfRule>
    <cfRule type="expression" dxfId="350" priority="3">
      <formula>PercentCompleteBeyond</formula>
    </cfRule>
    <cfRule type="expression" dxfId="349" priority="4">
      <formula>Actual</formula>
    </cfRule>
    <cfRule type="expression" dxfId="348" priority="5">
      <formula>ActualBeyond</formula>
    </cfRule>
    <cfRule type="expression" dxfId="347" priority="6">
      <formula>Plan</formula>
    </cfRule>
    <cfRule type="expression" dxfId="346" priority="7">
      <formula>I$4=period_selected</formula>
    </cfRule>
    <cfRule type="expression" dxfId="345" priority="8">
      <formula>MOD(COLUMN(),2)</formula>
    </cfRule>
    <cfRule type="expression" dxfId="344" priority="9">
      <formula>MOD(COLUMN(),2)=0</formula>
    </cfRule>
  </conditionalFormatting>
  <conditionalFormatting sqref="I4:BP4">
    <cfRule type="expression" dxfId="343" priority="10">
      <formula>I$4=period_selected</formula>
    </cfRule>
  </conditionalFormatting>
  <conditionalFormatting sqref="I5:BP6 I44:BP44 I29:BP29">
    <cfRule type="expression" dxfId="342" priority="11">
      <formula>PercentComplete</formula>
    </cfRule>
    <cfRule type="expression" dxfId="341" priority="12">
      <formula>PercentCompleteBeyond</formula>
    </cfRule>
    <cfRule type="expression" dxfId="340" priority="13">
      <formula>Actual</formula>
    </cfRule>
    <cfRule type="expression" dxfId="339" priority="14">
      <formula>ActualBeyond</formula>
    </cfRule>
    <cfRule type="expression" dxfId="338" priority="15">
      <formula>Plan</formula>
    </cfRule>
    <cfRule type="expression" dxfId="337" priority="16">
      <formula>I$4=period_selected</formula>
    </cfRule>
    <cfRule type="expression" dxfId="336" priority="17">
      <formula>MOD(COLUMN(),2)</formula>
    </cfRule>
    <cfRule type="expression" dxfId="335" priority="18">
      <formula>MOD(COLUMN(),2)=0</formula>
    </cfRule>
  </conditionalFormatting>
  <conditionalFormatting sqref="I43:BP43">
    <cfRule type="expression" dxfId="334" priority="19">
      <formula>PercentComplete</formula>
    </cfRule>
    <cfRule type="expression" dxfId="333" priority="20">
      <formula>PercentCompleteBeyond</formula>
    </cfRule>
    <cfRule type="expression" dxfId="332" priority="21">
      <formula>Actual</formula>
    </cfRule>
    <cfRule type="expression" dxfId="331" priority="22">
      <formula>ActualBeyond</formula>
    </cfRule>
    <cfRule type="expression" dxfId="330" priority="23">
      <formula>Plan</formula>
    </cfRule>
    <cfRule type="expression" dxfId="329" priority="24">
      <formula>I$4=period_selected</formula>
    </cfRule>
    <cfRule type="expression" dxfId="328" priority="25">
      <formula>MOD(COLUMN(),2)</formula>
    </cfRule>
    <cfRule type="expression" dxfId="327" priority="26">
      <formula>MOD(COLUMN(),2)=0</formula>
    </cfRule>
  </conditionalFormatting>
  <conditionalFormatting sqref="I18:BP18">
    <cfRule type="expression" dxfId="326" priority="35">
      <formula>PercentComplete</formula>
    </cfRule>
    <cfRule type="expression" dxfId="325" priority="36">
      <formula>PercentCompleteBeyond</formula>
    </cfRule>
    <cfRule type="expression" dxfId="324" priority="37">
      <formula>Actual</formula>
    </cfRule>
    <cfRule type="expression" dxfId="323" priority="38">
      <formula>ActualBeyond</formula>
    </cfRule>
    <cfRule type="expression" dxfId="322" priority="39">
      <formula>Plan</formula>
    </cfRule>
    <cfRule type="expression" dxfId="321" priority="40">
      <formula>I$4=period_selected</formula>
    </cfRule>
    <cfRule type="expression" dxfId="320" priority="41">
      <formula>MOD(COLUMN(),2)</formula>
    </cfRule>
    <cfRule type="expression" dxfId="319" priority="42">
      <formula>MOD(COLUMN(),2)=0</formula>
    </cfRule>
  </conditionalFormatting>
  <conditionalFormatting sqref="I19:BP20">
    <cfRule type="expression" dxfId="318" priority="43">
      <formula>PercentComplete</formula>
    </cfRule>
    <cfRule type="expression" dxfId="317" priority="44">
      <formula>PercentCompleteBeyond</formula>
    </cfRule>
    <cfRule type="expression" dxfId="316" priority="45">
      <formula>Actual</formula>
    </cfRule>
    <cfRule type="expression" dxfId="315" priority="46">
      <formula>ActualBeyond</formula>
    </cfRule>
    <cfRule type="expression" dxfId="314" priority="47">
      <formula>Plan</formula>
    </cfRule>
    <cfRule type="expression" dxfId="313" priority="48">
      <formula>I$4=period_selected</formula>
    </cfRule>
    <cfRule type="expression" dxfId="312" priority="49">
      <formula>MOD(COLUMN(),2)</formula>
    </cfRule>
    <cfRule type="expression" dxfId="311" priority="50">
      <formula>MOD(COLUMN(),2)=0</formula>
    </cfRule>
  </conditionalFormatting>
  <conditionalFormatting sqref="H5:H61">
    <cfRule type="cellIs" dxfId="310" priority="95" operator="equal">
      <formula>isblank</formula>
    </cfRule>
    <cfRule type="colorScale" priority="96">
      <colorScale>
        <cfvo type="min"/>
        <cfvo type="percentile" val="50"/>
        <cfvo type="max"/>
        <color rgb="FF0070C0"/>
        <color rgb="FFFFEB84"/>
        <color rgb="FF70AD47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11" activePane="bottomLeft" state="frozen"/>
      <selection activeCell="B47" sqref="B47"/>
      <selection pane="bottomLeft" activeCell="B47" sqref="B47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57</v>
      </c>
      <c r="C1" s="7"/>
      <c r="D1" s="8"/>
      <c r="E1" s="8"/>
      <c r="F1" s="8"/>
      <c r="G1" s="8"/>
      <c r="H1" s="8"/>
    </row>
    <row r="2" spans="1:68" ht="21" customHeight="1" x14ac:dyDescent="0.25">
      <c r="B2" s="215">
        <f ca="1">NOW()</f>
        <v>43188.720990972222</v>
      </c>
      <c r="C2" s="215"/>
      <c r="D2" s="215"/>
      <c r="E2" s="215"/>
      <c r="F2" s="215"/>
      <c r="G2" s="215"/>
      <c r="H2" s="10" t="s">
        <v>1</v>
      </c>
      <c r="I2" s="11">
        <f ca="1">DAY(NOW())</f>
        <v>29</v>
      </c>
      <c r="K2" s="12"/>
      <c r="L2" s="216" t="s">
        <v>2</v>
      </c>
      <c r="M2" s="216"/>
      <c r="N2" s="216"/>
      <c r="O2" s="216"/>
      <c r="P2" s="216"/>
      <c r="Q2" s="14"/>
      <c r="R2" s="216" t="s">
        <v>3</v>
      </c>
      <c r="S2" s="216"/>
      <c r="T2" s="216"/>
      <c r="U2" s="216"/>
      <c r="V2" s="15"/>
      <c r="W2" s="216" t="s">
        <v>4</v>
      </c>
      <c r="X2" s="216"/>
      <c r="Y2" s="216"/>
      <c r="Z2" s="216"/>
      <c r="AA2" s="16"/>
      <c r="AB2" s="216" t="s">
        <v>5</v>
      </c>
      <c r="AC2" s="216"/>
      <c r="AD2" s="216"/>
      <c r="AE2" s="216"/>
      <c r="AF2" s="216"/>
      <c r="AG2" s="216"/>
      <c r="AH2" s="216"/>
      <c r="AI2" s="18"/>
      <c r="AJ2" s="210" t="s">
        <v>6</v>
      </c>
      <c r="AK2" s="210"/>
      <c r="AL2" s="210"/>
      <c r="AM2" s="210"/>
      <c r="AN2" s="210"/>
      <c r="AO2" s="210"/>
      <c r="AP2" s="210"/>
      <c r="AQ2" s="210"/>
    </row>
    <row r="3" spans="1:68" s="20" customFormat="1" ht="39.950000000000003" customHeight="1" x14ac:dyDescent="0.25">
      <c r="B3" s="211" t="s">
        <v>7</v>
      </c>
      <c r="C3" s="212" t="s">
        <v>8</v>
      </c>
      <c r="D3" s="213" t="s">
        <v>9</v>
      </c>
      <c r="E3" s="213" t="s">
        <v>10</v>
      </c>
      <c r="F3" s="213" t="s">
        <v>11</v>
      </c>
      <c r="G3" s="213" t="s">
        <v>12</v>
      </c>
      <c r="H3" s="214" t="s">
        <v>13</v>
      </c>
      <c r="I3" s="25" t="s">
        <v>14</v>
      </c>
      <c r="J3" s="26"/>
      <c r="K3" s="27"/>
      <c r="L3" s="27"/>
      <c r="M3" s="27"/>
      <c r="N3" s="27"/>
      <c r="O3" s="27"/>
      <c r="P3" s="27"/>
      <c r="Q3" s="27"/>
      <c r="R3" s="27"/>
      <c r="S3" s="28" t="s">
        <v>15</v>
      </c>
      <c r="T3" s="29">
        <v>2</v>
      </c>
      <c r="U3" s="29">
        <v>3</v>
      </c>
      <c r="V3" s="29">
        <v>4</v>
      </c>
      <c r="W3" s="29">
        <v>5</v>
      </c>
      <c r="X3" s="29">
        <v>6</v>
      </c>
      <c r="Y3" s="29">
        <v>7</v>
      </c>
      <c r="Z3" s="29">
        <v>8</v>
      </c>
      <c r="AA3" s="29">
        <v>9</v>
      </c>
      <c r="AB3" s="29">
        <v>10</v>
      </c>
      <c r="AC3" s="29">
        <v>11</v>
      </c>
      <c r="AD3" s="29">
        <v>12</v>
      </c>
      <c r="AE3" s="29">
        <v>13</v>
      </c>
      <c r="AF3" s="29">
        <v>14</v>
      </c>
      <c r="AG3" s="29">
        <v>15</v>
      </c>
      <c r="AH3" s="29">
        <v>16</v>
      </c>
      <c r="AI3" s="29">
        <v>17</v>
      </c>
      <c r="AJ3" s="29">
        <v>18</v>
      </c>
      <c r="AK3" s="29">
        <v>19</v>
      </c>
      <c r="AL3" s="29">
        <v>20</v>
      </c>
      <c r="AM3" s="29">
        <v>21</v>
      </c>
      <c r="AN3" s="29">
        <v>22</v>
      </c>
      <c r="AO3" s="29">
        <v>23</v>
      </c>
      <c r="AP3" s="29">
        <v>24</v>
      </c>
      <c r="AQ3" s="29">
        <v>25</v>
      </c>
      <c r="AR3" s="29">
        <v>26</v>
      </c>
      <c r="AS3" s="29">
        <v>27</v>
      </c>
      <c r="AT3" s="29">
        <v>28</v>
      </c>
      <c r="AU3" s="29">
        <v>29</v>
      </c>
      <c r="AV3" s="29">
        <v>30</v>
      </c>
      <c r="AW3" s="28" t="s">
        <v>16</v>
      </c>
    </row>
    <row r="4" spans="1:68" ht="15.75" customHeight="1" x14ac:dyDescent="0.25">
      <c r="B4" s="211"/>
      <c r="C4" s="212"/>
      <c r="D4" s="213"/>
      <c r="E4" s="213"/>
      <c r="F4" s="213"/>
      <c r="G4" s="213"/>
      <c r="H4" s="214"/>
      <c r="I4" s="30">
        <v>22</v>
      </c>
      <c r="J4" s="30">
        <v>23</v>
      </c>
      <c r="K4" s="30">
        <v>24</v>
      </c>
      <c r="L4" s="30">
        <v>25</v>
      </c>
      <c r="M4" s="30">
        <v>26</v>
      </c>
      <c r="N4" s="30">
        <v>27</v>
      </c>
      <c r="O4" s="30">
        <v>28</v>
      </c>
      <c r="P4" s="30">
        <v>29</v>
      </c>
      <c r="Q4" s="30">
        <v>30</v>
      </c>
      <c r="R4" s="30">
        <v>31</v>
      </c>
      <c r="S4" s="30">
        <v>32</v>
      </c>
      <c r="T4" s="30">
        <v>33</v>
      </c>
      <c r="U4" s="30">
        <v>34</v>
      </c>
      <c r="V4" s="30">
        <v>35</v>
      </c>
      <c r="W4" s="30">
        <v>36</v>
      </c>
      <c r="X4" s="30">
        <v>37</v>
      </c>
      <c r="Y4" s="30">
        <v>38</v>
      </c>
      <c r="Z4" s="30">
        <v>39</v>
      </c>
      <c r="AA4" s="30">
        <v>40</v>
      </c>
      <c r="AB4" s="30">
        <v>41</v>
      </c>
      <c r="AC4" s="30">
        <v>42</v>
      </c>
      <c r="AD4" s="30">
        <v>43</v>
      </c>
      <c r="AE4" s="30">
        <v>44</v>
      </c>
      <c r="AF4" s="30">
        <v>45</v>
      </c>
      <c r="AG4" s="30">
        <v>46</v>
      </c>
      <c r="AH4" s="30">
        <v>47</v>
      </c>
      <c r="AI4" s="30">
        <v>48</v>
      </c>
      <c r="AJ4" s="30">
        <v>49</v>
      </c>
      <c r="AK4" s="30">
        <v>50</v>
      </c>
      <c r="AL4" s="30">
        <v>51</v>
      </c>
      <c r="AM4" s="30">
        <v>52</v>
      </c>
      <c r="AN4" s="30">
        <v>53</v>
      </c>
      <c r="AO4" s="30">
        <v>54</v>
      </c>
      <c r="AP4" s="30">
        <v>55</v>
      </c>
      <c r="AQ4" s="30">
        <v>56</v>
      </c>
      <c r="AR4" s="30">
        <v>57</v>
      </c>
      <c r="AS4" s="30">
        <v>58</v>
      </c>
      <c r="AT4" s="30">
        <v>59</v>
      </c>
      <c r="AU4" s="30">
        <v>60</v>
      </c>
      <c r="AV4" s="30">
        <v>61</v>
      </c>
      <c r="AW4" s="30">
        <v>62</v>
      </c>
      <c r="AX4" s="30">
        <v>63</v>
      </c>
      <c r="AY4" s="30">
        <v>64</v>
      </c>
      <c r="AZ4" s="30">
        <v>65</v>
      </c>
      <c r="BA4" s="30">
        <v>66</v>
      </c>
      <c r="BB4" s="30">
        <v>67</v>
      </c>
      <c r="BC4" s="30">
        <v>68</v>
      </c>
      <c r="BD4" s="30">
        <v>69</v>
      </c>
      <c r="BE4" s="30">
        <v>70</v>
      </c>
      <c r="BF4" s="30">
        <v>71</v>
      </c>
      <c r="BG4" s="30">
        <v>72</v>
      </c>
      <c r="BH4" s="30">
        <v>73</v>
      </c>
      <c r="BI4" s="30">
        <v>74</v>
      </c>
      <c r="BJ4" s="30">
        <v>75</v>
      </c>
      <c r="BK4" s="30">
        <v>76</v>
      </c>
      <c r="BL4" s="30">
        <v>77</v>
      </c>
      <c r="BM4" s="30">
        <v>78</v>
      </c>
      <c r="BN4" s="30">
        <v>79</v>
      </c>
      <c r="BO4" s="30">
        <v>80</v>
      </c>
      <c r="BP4" s="30">
        <v>81</v>
      </c>
    </row>
    <row r="5" spans="1:68" s="31" customFormat="1" x14ac:dyDescent="0.3">
      <c r="B5" s="46" t="str">
        <f>IF(SUMPRODUCT(--(NOT(ISERR(SEARCH({"T","An"},'CDR Project Planner'!$C5))))),'CDR Project Planner'!B5,"")</f>
        <v>PDR</v>
      </c>
      <c r="C5" s="47" t="str">
        <f>IF(SUMPRODUCT(--(NOT(ISERR(SEARCH({"T","An"},'CDR Project Planner'!$C5))))),'CDR Project Planner'!C5,"")</f>
        <v>T</v>
      </c>
      <c r="D5" s="47">
        <f>IF(SUMPRODUCT(--(NOT(ISERR(SEARCH({"T","An"},'CDR Project Planner'!$C5))))),'CDR Project Planner'!D5,"")</f>
        <v>22</v>
      </c>
      <c r="E5" s="47">
        <f>IF(SUMPRODUCT(--(NOT(ISERR(SEARCH({"T","An"},'CDR Project Planner'!$C5))))),'CDR Project Planner'!E5,"")</f>
        <v>1</v>
      </c>
      <c r="F5" s="47">
        <f>IF(SUMPRODUCT(--(NOT(ISERR(SEARCH({"T","An"},'CDR Project Planner'!$C5))))),'CDR Project Planner'!F5,"")</f>
        <v>22</v>
      </c>
      <c r="G5" s="47">
        <f>IF(SUMPRODUCT(--(NOT(ISERR(SEARCH({"T","An"},'CDR Project Planner'!$C5))))),'CDR Project Planner'!G5,"")</f>
        <v>1</v>
      </c>
      <c r="H5" s="48">
        <f>IF(SUMPRODUCT(--(NOT(ISERR(SEARCH({"T","An"},'CDR Project Planner'!$C5))))),'CDR Project Planner'!H5,"")</f>
        <v>1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68" ht="15" x14ac:dyDescent="0.25">
      <c r="B6" s="42" t="str">
        <f>IF(SUMPRODUCT(--(NOT(ISERR(SEARCH({"T","An"},'CDR Project Planner'!$C6))))),'CDR Project Planner'!B6,"")</f>
        <v/>
      </c>
      <c r="C6" s="43" t="str">
        <f>IF(SUMPRODUCT(--(NOT(ISERR(SEARCH({"T","An"},'CDR Project Planner'!$C6))))),'CDR Project Planner'!C6,"")</f>
        <v/>
      </c>
      <c r="D6" s="43" t="str">
        <f>IF(SUMPRODUCT(--(NOT(ISERR(SEARCH({"T","An"},'CDR Project Planner'!$C6))))),'CDR Project Planner'!D6,"")</f>
        <v/>
      </c>
      <c r="E6" s="43" t="str">
        <f>IF(SUMPRODUCT(--(NOT(ISERR(SEARCH({"T","An"},'CDR Project Planner'!$C6))))),'CDR Project Planner'!E6,"")</f>
        <v/>
      </c>
      <c r="F6" s="43" t="str">
        <f>IF(SUMPRODUCT(--(NOT(ISERR(SEARCH({"T","An"},'CDR Project Planner'!$C6))))),'CDR Project Planner'!F6,"")</f>
        <v/>
      </c>
      <c r="G6" s="43" t="str">
        <f>IF(SUMPRODUCT(--(NOT(ISERR(SEARCH({"T","An"},'CDR Project Planner'!$C6))))),'CDR Project Planner'!G6,"")</f>
        <v/>
      </c>
      <c r="H6" s="48" t="str">
        <f>IF(SUMPRODUCT(--(NOT(ISERR(SEARCH({"T","An"},'CDR Project Planner'!$C6))))),'CDR Project Planner'!H6,"")</f>
        <v/>
      </c>
    </row>
    <row r="7" spans="1:68" s="4" customFormat="1" ht="15" outlineLevel="1" x14ac:dyDescent="0.25">
      <c r="A7" s="1"/>
      <c r="B7" s="42" t="str">
        <f>IF(SUMPRODUCT(--(NOT(ISERR(SEARCH({"T","An"},'CDR Project Planner'!$C7))))),'CDR Project Planner'!B7,"")</f>
        <v/>
      </c>
      <c r="C7" s="43" t="str">
        <f>IF(SUMPRODUCT(--(NOT(ISERR(SEARCH({"T","An"},'CDR Project Planner'!$C7))))),'CDR Project Planner'!C7,"")</f>
        <v/>
      </c>
      <c r="D7" s="43" t="str">
        <f>IF(SUMPRODUCT(--(NOT(ISERR(SEARCH({"T","An"},'CDR Project Planner'!$C7))))),'CDR Project Planner'!D7,"")</f>
        <v/>
      </c>
      <c r="E7" s="43" t="str">
        <f>IF(SUMPRODUCT(--(NOT(ISERR(SEARCH({"T","An"},'CDR Project Planner'!$C7))))),'CDR Project Planner'!E7,"")</f>
        <v/>
      </c>
      <c r="F7" s="43" t="str">
        <f>IF(SUMPRODUCT(--(NOT(ISERR(SEARCH({"T","An"},'CDR Project Planner'!$C7))))),'CDR Project Planner'!F7,"")</f>
        <v/>
      </c>
      <c r="G7" s="43" t="str">
        <f>IF(SUMPRODUCT(--(NOT(ISERR(SEARCH({"T","An"},'CDR Project Planner'!$C7))))),'CDR Project Planner'!G7,"")</f>
        <v/>
      </c>
      <c r="H7" s="48" t="str">
        <f>IF(SUMPRODUCT(--(NOT(ISERR(SEARCH({"T","An"},'CDR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2" t="str">
        <f>IF(SUMPRODUCT(--(NOT(ISERR(SEARCH({"T","An"},'CDR Project Planner'!$C8))))),'CDR Project Planner'!B8,"")</f>
        <v/>
      </c>
      <c r="C8" s="43" t="str">
        <f>IF(SUMPRODUCT(--(NOT(ISERR(SEARCH({"T","An"},'CDR Project Planner'!$C8))))),'CDR Project Planner'!C8,"")</f>
        <v/>
      </c>
      <c r="D8" s="43" t="str">
        <f>IF(SUMPRODUCT(--(NOT(ISERR(SEARCH({"T","An"},'CDR Project Planner'!$C8))))),'CDR Project Planner'!D8,"")</f>
        <v/>
      </c>
      <c r="E8" s="43" t="str">
        <f>IF(SUMPRODUCT(--(NOT(ISERR(SEARCH({"T","An"},'CDR Project Planner'!$C8))))),'CDR Project Planner'!E8,"")</f>
        <v/>
      </c>
      <c r="F8" s="43" t="str">
        <f>IF(SUMPRODUCT(--(NOT(ISERR(SEARCH({"T","An"},'CDR Project Planner'!$C8))))),'CDR Project Planner'!F8,"")</f>
        <v/>
      </c>
      <c r="G8" s="43" t="str">
        <f>IF(SUMPRODUCT(--(NOT(ISERR(SEARCH({"T","An"},'CDR Project Planner'!$C8))))),'CDR Project Planner'!G8,"")</f>
        <v/>
      </c>
      <c r="H8" s="48" t="str">
        <f>IF(SUMPRODUCT(--(NOT(ISERR(SEARCH({"T","An"},'CDR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2" t="str">
        <f>IF(SUMPRODUCT(--(NOT(ISERR(SEARCH({"T","An"},'CDR Project Planner'!$C9))))),'CDR Project Planner'!B9,"")</f>
        <v/>
      </c>
      <c r="C9" s="43" t="str">
        <f>IF(SUMPRODUCT(--(NOT(ISERR(SEARCH({"T","An"},'CDR Project Planner'!$C9))))),'CDR Project Planner'!C9,"")</f>
        <v/>
      </c>
      <c r="D9" s="43" t="str">
        <f>IF(SUMPRODUCT(--(NOT(ISERR(SEARCH({"T","An"},'CDR Project Planner'!$C9))))),'CDR Project Planner'!D9,"")</f>
        <v/>
      </c>
      <c r="E9" s="43" t="str">
        <f>IF(SUMPRODUCT(--(NOT(ISERR(SEARCH({"T","An"},'CDR Project Planner'!$C9))))),'CDR Project Planner'!E9,"")</f>
        <v/>
      </c>
      <c r="F9" s="43" t="str">
        <f>IF(SUMPRODUCT(--(NOT(ISERR(SEARCH({"T","An"},'CDR Project Planner'!$C9))))),'CDR Project Planner'!F9,"")</f>
        <v/>
      </c>
      <c r="G9" s="43" t="str">
        <f>IF(SUMPRODUCT(--(NOT(ISERR(SEARCH({"T","An"},'CDR Project Planner'!$C9))))),'CDR Project Planner'!G9,"")</f>
        <v/>
      </c>
      <c r="H9" s="48" t="str">
        <f>IF(SUMPRODUCT(--(NOT(ISERR(SEARCH({"T","An"},'CDR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42" t="str">
        <f>IF(SUMPRODUCT(--(NOT(ISERR(SEARCH({"T","An"},'CDR Project Planner'!$C10))))),'CDR Project Planner'!B10,"")</f>
        <v/>
      </c>
      <c r="C10" s="43" t="str">
        <f>IF(SUMPRODUCT(--(NOT(ISERR(SEARCH({"T","An"},'CDR Project Planner'!$C10))))),'CDR Project Planner'!C10,"")</f>
        <v/>
      </c>
      <c r="D10" s="43" t="str">
        <f>IF(SUMPRODUCT(--(NOT(ISERR(SEARCH({"T","An"},'CDR Project Planner'!$C10))))),'CDR Project Planner'!D10,"")</f>
        <v/>
      </c>
      <c r="E10" s="43" t="str">
        <f>IF(SUMPRODUCT(--(NOT(ISERR(SEARCH({"T","An"},'CDR Project Planner'!$C10))))),'CDR Project Planner'!E10,"")</f>
        <v/>
      </c>
      <c r="F10" s="43" t="str">
        <f>IF(SUMPRODUCT(--(NOT(ISERR(SEARCH({"T","An"},'CDR Project Planner'!$C10))))),'CDR Project Planner'!F10,"")</f>
        <v/>
      </c>
      <c r="G10" s="43" t="str">
        <f>IF(SUMPRODUCT(--(NOT(ISERR(SEARCH({"T","An"},'CDR Project Planner'!$C10))))),'CDR Project Planner'!G10,"")</f>
        <v/>
      </c>
      <c r="H10" s="48" t="str">
        <f>IF(SUMPRODUCT(--(NOT(ISERR(SEARCH({"T","An"},'CDR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42" t="str">
        <f>IF(SUMPRODUCT(--(NOT(ISERR(SEARCH({"T","An"},'CDR Project Planner'!#REF!))))),'CDR Project Planner'!#REF!,"")</f>
        <v/>
      </c>
      <c r="C11" s="43" t="str">
        <f>IF(SUMPRODUCT(--(NOT(ISERR(SEARCH({"T","An"},'CDR Project Planner'!#REF!))))),'CDR Project Planner'!#REF!,"")</f>
        <v/>
      </c>
      <c r="D11" s="43" t="str">
        <f>IF(SUMPRODUCT(--(NOT(ISERR(SEARCH({"T","An"},'CDR Project Planner'!#REF!))))),'CDR Project Planner'!#REF!,"")</f>
        <v/>
      </c>
      <c r="E11" s="43" t="str">
        <f>IF(SUMPRODUCT(--(NOT(ISERR(SEARCH({"T","An"},'CDR Project Planner'!#REF!))))),'CDR Project Planner'!#REF!,"")</f>
        <v/>
      </c>
      <c r="F11" s="43" t="str">
        <f>IF(SUMPRODUCT(--(NOT(ISERR(SEARCH({"T","An"},'CDR Project Planner'!#REF!))))),'CDR Project Planner'!#REF!,"")</f>
        <v/>
      </c>
      <c r="G11" s="43" t="str">
        <f>IF(SUMPRODUCT(--(NOT(ISERR(SEARCH({"T","An"},'CDR Project Planner'!#REF!))))),'CDR Project Planner'!#REF!,"")</f>
        <v/>
      </c>
      <c r="H11" s="48" t="str">
        <f>IF(SUMPRODUCT(--(NOT(ISERR(SEARCH({"T","An"},'CDR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42" t="str">
        <f>IF(SUMPRODUCT(--(NOT(ISERR(SEARCH({"T","An"},'CDR Project Planner'!$C11))))),'CDR Project Planner'!B11,"")</f>
        <v/>
      </c>
      <c r="C12" s="43" t="str">
        <f>IF(SUMPRODUCT(--(NOT(ISERR(SEARCH({"T","An"},'CDR Project Planner'!$C11))))),'CDR Project Planner'!C11,"")</f>
        <v/>
      </c>
      <c r="D12" s="43" t="str">
        <f>IF(SUMPRODUCT(--(NOT(ISERR(SEARCH({"T","An"},'CDR Project Planner'!$C11))))),'CDR Project Planner'!D11,"")</f>
        <v/>
      </c>
      <c r="E12" s="43" t="str">
        <f>IF(SUMPRODUCT(--(NOT(ISERR(SEARCH({"T","An"},'CDR Project Planner'!$C11))))),'CDR Project Planner'!E11,"")</f>
        <v/>
      </c>
      <c r="F12" s="43" t="str">
        <f>IF(SUMPRODUCT(--(NOT(ISERR(SEARCH({"T","An"},'CDR Project Planner'!$C11))))),'CDR Project Planner'!F11,"")</f>
        <v/>
      </c>
      <c r="G12" s="43" t="str">
        <f>IF(SUMPRODUCT(--(NOT(ISERR(SEARCH({"T","An"},'CDR Project Planner'!$C11))))),'CDR Project Planner'!G11,"")</f>
        <v/>
      </c>
      <c r="H12" s="48" t="str">
        <f>IF(SUMPRODUCT(--(NOT(ISERR(SEARCH({"T","An"},'CDR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42" t="str">
        <f>IF(SUMPRODUCT(--(NOT(ISERR(SEARCH({"T","An"},'CDR Project Planner'!$C14))))),'CDR Project Planner'!B14,"")</f>
        <v/>
      </c>
      <c r="C13" s="43" t="str">
        <f>IF(SUMPRODUCT(--(NOT(ISERR(SEARCH({"T","An"},'CDR Project Planner'!$C14))))),'CDR Project Planner'!C14,"")</f>
        <v/>
      </c>
      <c r="D13" s="43" t="str">
        <f>IF(SUMPRODUCT(--(NOT(ISERR(SEARCH({"T","An"},'CDR Project Planner'!$C14))))),'CDR Project Planner'!D14,"")</f>
        <v/>
      </c>
      <c r="E13" s="43" t="str">
        <f>IF(SUMPRODUCT(--(NOT(ISERR(SEARCH({"T","An"},'CDR Project Planner'!$C14))))),'CDR Project Planner'!E14,"")</f>
        <v/>
      </c>
      <c r="F13" s="43" t="str">
        <f>IF(SUMPRODUCT(--(NOT(ISERR(SEARCH({"T","An"},'CDR Project Planner'!$C14))))),'CDR Project Planner'!F14,"")</f>
        <v/>
      </c>
      <c r="G13" s="43" t="str">
        <f>IF(SUMPRODUCT(--(NOT(ISERR(SEARCH({"T","An"},'CDR Project Planner'!$C14))))),'CDR Project Planner'!G14,"")</f>
        <v/>
      </c>
      <c r="H13" s="48" t="str">
        <f>IF(SUMPRODUCT(--(NOT(ISERR(SEARCH({"T","An"},'CDR Project Planner'!$C14))))),'CDR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2" t="str">
        <f>IF(SUMPRODUCT(--(NOT(ISERR(SEARCH({"T","An"},'CDR Project Planner'!$C15))))),'CDR Project Planner'!B15,"")</f>
        <v/>
      </c>
      <c r="C14" s="43" t="str">
        <f>IF(SUMPRODUCT(--(NOT(ISERR(SEARCH({"T","An"},'CDR Project Planner'!$C15))))),'CDR Project Planner'!C15,"")</f>
        <v/>
      </c>
      <c r="D14" s="43" t="str">
        <f>IF(SUMPRODUCT(--(NOT(ISERR(SEARCH({"T","An"},'CDR Project Planner'!$C15))))),'CDR Project Planner'!D15,"")</f>
        <v/>
      </c>
      <c r="E14" s="43" t="str">
        <f>IF(SUMPRODUCT(--(NOT(ISERR(SEARCH({"T","An"},'CDR Project Planner'!$C15))))),'CDR Project Planner'!E15,"")</f>
        <v/>
      </c>
      <c r="F14" s="43" t="str">
        <f>IF(SUMPRODUCT(--(NOT(ISERR(SEARCH({"T","An"},'CDR Project Planner'!$C15))))),'CDR Project Planner'!F15,"")</f>
        <v/>
      </c>
      <c r="G14" s="43" t="str">
        <f>IF(SUMPRODUCT(--(NOT(ISERR(SEARCH({"T","An"},'CDR Project Planner'!$C15))))),'CDR Project Planner'!G15,"")</f>
        <v/>
      </c>
      <c r="H14" s="49" t="str">
        <f>IF(SUMPRODUCT(--(NOT(ISERR(SEARCH({"T","An"},'CDR Project Planner'!$C15))))),'CDR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42" t="str">
        <f>IF(SUMPRODUCT(--(NOT(ISERR(SEARCH({"T","An"},'CDR Project Planner'!$C16))))),'CDR Project Planner'!B16,"")</f>
        <v/>
      </c>
      <c r="C15" s="43" t="str">
        <f>IF(SUMPRODUCT(--(NOT(ISERR(SEARCH({"T","An"},'CDR Project Planner'!$C16))))),'CDR Project Planner'!C16,"")</f>
        <v/>
      </c>
      <c r="D15" s="43" t="str">
        <f>IF(SUMPRODUCT(--(NOT(ISERR(SEARCH({"T","An"},'CDR Project Planner'!$C16))))),'CDR Project Planner'!D16,"")</f>
        <v/>
      </c>
      <c r="E15" s="43" t="str">
        <f>IF(SUMPRODUCT(--(NOT(ISERR(SEARCH({"T","An"},'CDR Project Planner'!$C16))))),'CDR Project Planner'!E16,"")</f>
        <v/>
      </c>
      <c r="F15" s="43" t="str">
        <f>IF(SUMPRODUCT(--(NOT(ISERR(SEARCH({"T","An"},'CDR Project Planner'!$C16))))),'CDR Project Planner'!F16,"")</f>
        <v/>
      </c>
      <c r="G15" s="43" t="str">
        <f>IF(SUMPRODUCT(--(NOT(ISERR(SEARCH({"T","An"},'CDR Project Planner'!$C16))))),'CDR Project Planner'!G16,"")</f>
        <v/>
      </c>
      <c r="H15" s="49" t="str">
        <f>IF(SUMPRODUCT(--(NOT(ISERR(SEARCH({"T","An"},'CDR Project Planner'!$C16))))),'CDR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42" t="str">
        <f>IF(SUMPRODUCT(--(NOT(ISERR(SEARCH({"T","An"},'CDR Project Planner'!$C17))))),'CDR Project Planner'!B17,"")</f>
        <v/>
      </c>
      <c r="C16" s="43" t="str">
        <f>IF(SUMPRODUCT(--(NOT(ISERR(SEARCH({"T","An"},'CDR Project Planner'!$C17))))),'CDR Project Planner'!C17,"")</f>
        <v/>
      </c>
      <c r="D16" s="43" t="str">
        <f>IF(SUMPRODUCT(--(NOT(ISERR(SEARCH({"T","An"},'CDR Project Planner'!$C17))))),'CDR Project Planner'!D17,"")</f>
        <v/>
      </c>
      <c r="E16" s="43" t="str">
        <f>IF(SUMPRODUCT(--(NOT(ISERR(SEARCH({"T","An"},'CDR Project Planner'!$C17))))),'CDR Project Planner'!E17,"")</f>
        <v/>
      </c>
      <c r="F16" s="43" t="str">
        <f>IF(SUMPRODUCT(--(NOT(ISERR(SEARCH({"T","An"},'CDR Project Planner'!$C17))))),'CDR Project Planner'!F17,"")</f>
        <v/>
      </c>
      <c r="G16" s="43" t="str">
        <f>IF(SUMPRODUCT(--(NOT(ISERR(SEARCH({"T","An"},'CDR Project Planner'!$C17))))),'CDR Project Planner'!G17,"")</f>
        <v/>
      </c>
      <c r="H16" s="49" t="str">
        <f>IF(SUMPRODUCT(--(NOT(ISERR(SEARCH({"T","An"},'CDR Project Planner'!$C17))))),'CDR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2" t="str">
        <f>IF(SUMPRODUCT(--(NOT(ISERR(SEARCH({"T","An"},'CDR Project Planner'!$C18))))),'CDR Project Planner'!B18,"")</f>
        <v/>
      </c>
      <c r="C17" s="43" t="str">
        <f>IF(SUMPRODUCT(--(NOT(ISERR(SEARCH({"T","An"},'CDR Project Planner'!$C18))))),'CDR Project Planner'!C18,"")</f>
        <v/>
      </c>
      <c r="D17" s="43" t="str">
        <f>IF(SUMPRODUCT(--(NOT(ISERR(SEARCH({"T","An"},'CDR Project Planner'!$C18))))),'CDR Project Planner'!D18,"")</f>
        <v/>
      </c>
      <c r="E17" s="43" t="str">
        <f>IF(SUMPRODUCT(--(NOT(ISERR(SEARCH({"T","An"},'CDR Project Planner'!$C18))))),'CDR Project Planner'!E18,"")</f>
        <v/>
      </c>
      <c r="F17" s="43" t="str">
        <f>IF(SUMPRODUCT(--(NOT(ISERR(SEARCH({"T","An"},'CDR Project Planner'!$C18))))),'CDR Project Planner'!F18,"")</f>
        <v/>
      </c>
      <c r="G17" s="43" t="str">
        <f>IF(SUMPRODUCT(--(NOT(ISERR(SEARCH({"T","An"},'CDR Project Planner'!$C18))))),'CDR Project Planner'!G18,"")</f>
        <v/>
      </c>
      <c r="H17" s="49" t="str">
        <f>IF(SUMPRODUCT(--(NOT(ISERR(SEARCH({"T","An"},'CDR Project Planner'!$C18))))),'CDR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2" t="str">
        <f>IF(SUMPRODUCT(--(NOT(ISERR(SEARCH({"T","An"},'CDR Project Planner'!$C19))))),'CDR Project Planner'!B19,"")</f>
        <v/>
      </c>
      <c r="C18" s="43" t="str">
        <f>IF(SUMPRODUCT(--(NOT(ISERR(SEARCH({"T","An"},'CDR Project Planner'!$C19))))),'CDR Project Planner'!C19,"")</f>
        <v/>
      </c>
      <c r="D18" s="43" t="str">
        <f>IF(SUMPRODUCT(--(NOT(ISERR(SEARCH({"T","An"},'CDR Project Planner'!$C19))))),'CDR Project Planner'!D19,"")</f>
        <v/>
      </c>
      <c r="E18" s="43" t="str">
        <f>IF(SUMPRODUCT(--(NOT(ISERR(SEARCH({"T","An"},'CDR Project Planner'!$C19))))),'CDR Project Planner'!E19,"")</f>
        <v/>
      </c>
      <c r="F18" s="43" t="str">
        <f>IF(SUMPRODUCT(--(NOT(ISERR(SEARCH({"T","An"},'CDR Project Planner'!$C19))))),'CDR Project Planner'!F19,"")</f>
        <v/>
      </c>
      <c r="G18" s="43" t="str">
        <f>IF(SUMPRODUCT(--(NOT(ISERR(SEARCH({"T","An"},'CDR Project Planner'!$C19))))),'CDR Project Planner'!G19,"")</f>
        <v/>
      </c>
      <c r="H18" s="49" t="str">
        <f>IF(SUMPRODUCT(--(NOT(ISERR(SEARCH({"T","An"},'CDR Project Planner'!$C19))))),'CDR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2" t="str">
        <f>IF(SUMPRODUCT(--(NOT(ISERR(SEARCH({"T","An"},'CDR Project Planner'!#REF!))))),'CDR Project Planner'!#REF!,"")</f>
        <v/>
      </c>
      <c r="C19" s="43" t="str">
        <f>IF(SUMPRODUCT(--(NOT(ISERR(SEARCH({"T","An"},'CDR Project Planner'!#REF!))))),'CDR Project Planner'!#REF!,"")</f>
        <v/>
      </c>
      <c r="D19" s="43" t="str">
        <f>IF(SUMPRODUCT(--(NOT(ISERR(SEARCH({"T","An"},'CDR Project Planner'!#REF!))))),'CDR Project Planner'!#REF!,"")</f>
        <v/>
      </c>
      <c r="E19" s="43" t="str">
        <f>IF(SUMPRODUCT(--(NOT(ISERR(SEARCH({"T","An"},'CDR Project Planner'!#REF!))))),'CDR Project Planner'!#REF!,"")</f>
        <v/>
      </c>
      <c r="F19" s="43" t="str">
        <f>IF(SUMPRODUCT(--(NOT(ISERR(SEARCH({"T","An"},'CDR Project Planner'!#REF!))))),'CDR Project Planner'!#REF!,"")</f>
        <v/>
      </c>
      <c r="G19" s="43" t="str">
        <f>IF(SUMPRODUCT(--(NOT(ISERR(SEARCH({"T","An"},'CDR Project Planner'!#REF!))))),'CDR Project Planner'!#REF!,"")</f>
        <v/>
      </c>
      <c r="H19" s="49" t="str">
        <f>IF(SUMPRODUCT(--(NOT(ISERR(SEARCH({"T","An"},'CDR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2" t="str">
        <f>IF(SUMPRODUCT(--(NOT(ISERR(SEARCH({"T","An"},'CDR Project Planner'!#REF!))))),'CDR Project Planner'!#REF!,"")</f>
        <v/>
      </c>
      <c r="C20" s="43" t="str">
        <f>IF(SUMPRODUCT(--(NOT(ISERR(SEARCH({"T","An"},'CDR Project Planner'!#REF!))))),'CDR Project Planner'!#REF!,"")</f>
        <v/>
      </c>
      <c r="D20" s="43" t="str">
        <f>IF(SUMPRODUCT(--(NOT(ISERR(SEARCH({"T","An"},'CDR Project Planner'!#REF!))))),'CDR Project Planner'!#REF!,"")</f>
        <v/>
      </c>
      <c r="E20" s="43" t="str">
        <f>IF(SUMPRODUCT(--(NOT(ISERR(SEARCH({"T","An"},'CDR Project Planner'!#REF!))))),'CDR Project Planner'!#REF!,"")</f>
        <v/>
      </c>
      <c r="F20" s="43" t="str">
        <f>IF(SUMPRODUCT(--(NOT(ISERR(SEARCH({"T","An"},'CDR Project Planner'!#REF!))))),'CDR Project Planner'!#REF!,"")</f>
        <v/>
      </c>
      <c r="G20" s="43" t="str">
        <f>IF(SUMPRODUCT(--(NOT(ISERR(SEARCH({"T","An"},'CDR Project Planner'!#REF!))))),'CDR Project Planner'!#REF!,"")</f>
        <v/>
      </c>
      <c r="H20" s="49" t="str">
        <f>IF(SUMPRODUCT(--(NOT(ISERR(SEARCH({"T","An"},'CDR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42" t="str">
        <f>IF(SUMPRODUCT(--(NOT(ISERR(SEARCH({"T","An"},'CDR Project Planner'!$C21))))),'CDR Project Planner'!B21,"")</f>
        <v/>
      </c>
      <c r="C21" s="43" t="str">
        <f>IF(SUMPRODUCT(--(NOT(ISERR(SEARCH({"T","An"},'CDR Project Planner'!$C21))))),'CDR Project Planner'!C21,"")</f>
        <v/>
      </c>
      <c r="D21" s="43" t="str">
        <f>IF(SUMPRODUCT(--(NOT(ISERR(SEARCH({"T","An"},'CDR Project Planner'!$C21))))),'CDR Project Planner'!D21,"")</f>
        <v/>
      </c>
      <c r="E21" s="43" t="str">
        <f>IF(SUMPRODUCT(--(NOT(ISERR(SEARCH({"T","An"},'CDR Project Planner'!$C21))))),'CDR Project Planner'!E21,"")</f>
        <v/>
      </c>
      <c r="F21" s="43" t="str">
        <f>IF(SUMPRODUCT(--(NOT(ISERR(SEARCH({"T","An"},'CDR Project Planner'!$C21))))),'CDR Project Planner'!F21,"")</f>
        <v/>
      </c>
      <c r="G21" s="43" t="str">
        <f>IF(SUMPRODUCT(--(NOT(ISERR(SEARCH({"T","An"},'CDR Project Planner'!$C21))))),'CDR Project Planner'!G21,"")</f>
        <v/>
      </c>
      <c r="H21" s="49" t="str">
        <f>IF(SUMPRODUCT(--(NOT(ISERR(SEARCH({"T","An"},'CDR Project Planner'!$C21))))),'CDR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2" t="str">
        <f>IF(SUMPRODUCT(--(NOT(ISERR(SEARCH({"T","An"},'CDR Project Planner'!$C22))))),'CDR Project Planner'!B22,"")</f>
        <v/>
      </c>
      <c r="C22" s="43" t="str">
        <f>IF(SUMPRODUCT(--(NOT(ISERR(SEARCH({"T","An"},'CDR Project Planner'!$C22))))),'CDR Project Planner'!C22,"")</f>
        <v/>
      </c>
      <c r="D22" s="43" t="str">
        <f>IF(SUMPRODUCT(--(NOT(ISERR(SEARCH({"T","An"},'CDR Project Planner'!$C22))))),'CDR Project Planner'!D22,"")</f>
        <v/>
      </c>
      <c r="E22" s="43" t="str">
        <f>IF(SUMPRODUCT(--(NOT(ISERR(SEARCH({"T","An"},'CDR Project Planner'!$C22))))),'CDR Project Planner'!E22,"")</f>
        <v/>
      </c>
      <c r="F22" s="43" t="str">
        <f>IF(SUMPRODUCT(--(NOT(ISERR(SEARCH({"T","An"},'CDR Project Planner'!$C22))))),'CDR Project Planner'!F22,"")</f>
        <v/>
      </c>
      <c r="G22" s="43" t="str">
        <f>IF(SUMPRODUCT(--(NOT(ISERR(SEARCH({"T","An"},'CDR Project Planner'!$C22))))),'CDR Project Planner'!G22,"")</f>
        <v/>
      </c>
      <c r="H22" s="49" t="str">
        <f>IF(SUMPRODUCT(--(NOT(ISERR(SEARCH({"T","An"},'CDR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2" t="str">
        <f>IF(SUMPRODUCT(--(NOT(ISERR(SEARCH({"T","An"},'CDR Project Planner'!$C23))))),'CDR Project Planner'!B23,"")</f>
        <v/>
      </c>
      <c r="C23" s="43" t="str">
        <f>IF(SUMPRODUCT(--(NOT(ISERR(SEARCH({"T","An"},'CDR Project Planner'!$C23))))),'CDR Project Planner'!C23,"")</f>
        <v/>
      </c>
      <c r="D23" s="43" t="str">
        <f>IF(SUMPRODUCT(--(NOT(ISERR(SEARCH({"T","An"},'CDR Project Planner'!$C23))))),'CDR Project Planner'!D23,"")</f>
        <v/>
      </c>
      <c r="E23" s="43" t="str">
        <f>IF(SUMPRODUCT(--(NOT(ISERR(SEARCH({"T","An"},'CDR Project Planner'!$C23))))),'CDR Project Planner'!E23,"")</f>
        <v/>
      </c>
      <c r="F23" s="43" t="str">
        <f>IF(SUMPRODUCT(--(NOT(ISERR(SEARCH({"T","An"},'CDR Project Planner'!$C23))))),'CDR Project Planner'!F23,"")</f>
        <v/>
      </c>
      <c r="G23" s="43" t="str">
        <f>IF(SUMPRODUCT(--(NOT(ISERR(SEARCH({"T","An"},'CDR Project Planner'!$C23))))),'CDR Project Planner'!G23,"")</f>
        <v/>
      </c>
      <c r="H23" s="49" t="str">
        <f>IF(SUMPRODUCT(--(NOT(ISERR(SEARCH({"T","An"},'CDR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2" t="str">
        <f>IF(SUMPRODUCT(--(NOT(ISERR(SEARCH({"T","An"},'CDR Project Planner'!$C24))))),'CDR Project Planner'!B24,"")</f>
        <v/>
      </c>
      <c r="C24" s="43" t="str">
        <f>IF(SUMPRODUCT(--(NOT(ISERR(SEARCH({"T","An"},'CDR Project Planner'!$C24))))),'CDR Project Planner'!C24,"")</f>
        <v/>
      </c>
      <c r="D24" s="43" t="str">
        <f>IF(SUMPRODUCT(--(NOT(ISERR(SEARCH({"T","An"},'CDR Project Planner'!$C24))))),'CDR Project Planner'!D24,"")</f>
        <v/>
      </c>
      <c r="E24" s="43" t="str">
        <f>IF(SUMPRODUCT(--(NOT(ISERR(SEARCH({"T","An"},'CDR Project Planner'!$C24))))),'CDR Project Planner'!E24,"")</f>
        <v/>
      </c>
      <c r="F24" s="43" t="str">
        <f>IF(SUMPRODUCT(--(NOT(ISERR(SEARCH({"T","An"},'CDR Project Planner'!$C24))))),'CDR Project Planner'!F24,"")</f>
        <v/>
      </c>
      <c r="G24" s="43" t="str">
        <f>IF(SUMPRODUCT(--(NOT(ISERR(SEARCH({"T","An"},'CDR Project Planner'!$C24))))),'CDR Project Planner'!G24,"")</f>
        <v/>
      </c>
      <c r="H24" s="49" t="str">
        <f>IF(SUMPRODUCT(--(NOT(ISERR(SEARCH({"T","An"},'CDR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2" t="str">
        <f>IF(SUMPRODUCT(--(NOT(ISERR(SEARCH({"T","An"},'CDR Project Planner'!#REF!))))),'CDR Project Planner'!#REF!,"")</f>
        <v/>
      </c>
      <c r="C25" s="43" t="str">
        <f>IF(SUMPRODUCT(--(NOT(ISERR(SEARCH({"T","An"},'CDR Project Planner'!#REF!))))),'CDR Project Planner'!#REF!,"")</f>
        <v/>
      </c>
      <c r="D25" s="43" t="str">
        <f>IF(SUMPRODUCT(--(NOT(ISERR(SEARCH({"T","An"},'CDR Project Planner'!#REF!))))),'CDR Project Planner'!#REF!,"")</f>
        <v/>
      </c>
      <c r="E25" s="43" t="str">
        <f>IF(SUMPRODUCT(--(NOT(ISERR(SEARCH({"T","An"},'CDR Project Planner'!#REF!))))),'CDR Project Planner'!#REF!,"")</f>
        <v/>
      </c>
      <c r="F25" s="43" t="str">
        <f>IF(SUMPRODUCT(--(NOT(ISERR(SEARCH({"T","An"},'CDR Project Planner'!#REF!))))),'CDR Project Planner'!#REF!,"")</f>
        <v/>
      </c>
      <c r="G25" s="43" t="str">
        <f>IF(SUMPRODUCT(--(NOT(ISERR(SEARCH({"T","An"},'CDR Project Planner'!#REF!))))),'CDR Project Planner'!#REF!,"")</f>
        <v/>
      </c>
      <c r="H25" s="49" t="str">
        <f>IF(SUMPRODUCT(--(NOT(ISERR(SEARCH({"T","An"},'CDR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outlineLevel="1" x14ac:dyDescent="0.25">
      <c r="A26" s="1"/>
      <c r="B26" s="42" t="str">
        <f>IF(SUMPRODUCT(--(NOT(ISERR(SEARCH({"T","An"},'CDR Project Planner'!$C28))))),'CDR Project Planner'!B28,"")</f>
        <v/>
      </c>
      <c r="C26" s="43" t="str">
        <f>IF(SUMPRODUCT(--(NOT(ISERR(SEARCH({"T","An"},'CDR Project Planner'!$C28))))),'CDR Project Planner'!C28,"")</f>
        <v/>
      </c>
      <c r="D26" s="43" t="str">
        <f>IF(SUMPRODUCT(--(NOT(ISERR(SEARCH({"T","An"},'CDR Project Planner'!$C28))))),'CDR Project Planner'!D28,"")</f>
        <v/>
      </c>
      <c r="E26" s="43" t="str">
        <f>IF(SUMPRODUCT(--(NOT(ISERR(SEARCH({"T","An"},'CDR Project Planner'!$C28))))),'CDR Project Planner'!E28,"")</f>
        <v/>
      </c>
      <c r="F26" s="43" t="str">
        <f>IF(SUMPRODUCT(--(NOT(ISERR(SEARCH({"T","An"},'CDR Project Planner'!$C28))))),'CDR Project Planner'!F28,"")</f>
        <v/>
      </c>
      <c r="G26" s="43" t="str">
        <f>IF(SUMPRODUCT(--(NOT(ISERR(SEARCH({"T","An"},'CDR Project Planner'!$C28))))),'CDR Project Planner'!G28,"")</f>
        <v/>
      </c>
      <c r="H26" s="49" t="str">
        <f>IF(SUMPRODUCT(--(NOT(ISERR(SEARCH({"T","An"},'CDR Project Planner'!$C28))))),'CDR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x14ac:dyDescent="0.25">
      <c r="A27" s="1"/>
      <c r="B27" s="42" t="str">
        <f>IF(SUMPRODUCT(--(NOT(ISERR(SEARCH({"T","An"},'CDR Project Planner'!$C29))))),'CDR Project Planner'!B29,"")</f>
        <v/>
      </c>
      <c r="C27" s="43" t="str">
        <f>IF(SUMPRODUCT(--(NOT(ISERR(SEARCH({"T","An"},'CDR Project Planner'!$C29))))),'CDR Project Planner'!C29,"")</f>
        <v/>
      </c>
      <c r="D27" s="43" t="str">
        <f>IF(SUMPRODUCT(--(NOT(ISERR(SEARCH({"T","An"},'CDR Project Planner'!$C29))))),'CDR Project Planner'!D29,"")</f>
        <v/>
      </c>
      <c r="E27" s="43" t="str">
        <f>IF(SUMPRODUCT(--(NOT(ISERR(SEARCH({"T","An"},'CDR Project Planner'!$C29))))),'CDR Project Planner'!E29,"")</f>
        <v/>
      </c>
      <c r="F27" s="43" t="str">
        <f>IF(SUMPRODUCT(--(NOT(ISERR(SEARCH({"T","An"},'CDR Project Planner'!$C29))))),'CDR Project Planner'!F29,"")</f>
        <v/>
      </c>
      <c r="G27" s="43" t="str">
        <f>IF(SUMPRODUCT(--(NOT(ISERR(SEARCH({"T","An"},'CDR Project Planner'!$C29))))),'CDR Project Planner'!G29,"")</f>
        <v/>
      </c>
      <c r="H27" s="49" t="str">
        <f>IF(SUMPRODUCT(--(NOT(ISERR(SEARCH({"T","An"},'CDR Project Planner'!$C29))))),'CDR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2" t="str">
        <f>IF(SUMPRODUCT(--(NOT(ISERR(SEARCH({"T","An"},'CDR Project Planner'!#REF!))))),'CDR Project Planner'!#REF!,"")</f>
        <v/>
      </c>
      <c r="C28" s="43" t="str">
        <f>IF(SUMPRODUCT(--(NOT(ISERR(SEARCH({"T","An"},'CDR Project Planner'!#REF!))))),'CDR Project Planner'!#REF!,"")</f>
        <v/>
      </c>
      <c r="D28" s="43" t="str">
        <f>IF(SUMPRODUCT(--(NOT(ISERR(SEARCH({"T","An"},'CDR Project Planner'!#REF!))))),'CDR Project Planner'!#REF!,"")</f>
        <v/>
      </c>
      <c r="E28" s="43" t="str">
        <f>IF(SUMPRODUCT(--(NOT(ISERR(SEARCH({"T","An"},'CDR Project Planner'!#REF!))))),'CDR Project Planner'!#REF!,"")</f>
        <v/>
      </c>
      <c r="F28" s="43" t="str">
        <f>IF(SUMPRODUCT(--(NOT(ISERR(SEARCH({"T","An"},'CDR Project Planner'!#REF!))))),'CDR Project Planner'!#REF!,"")</f>
        <v/>
      </c>
      <c r="G28" s="43" t="str">
        <f>IF(SUMPRODUCT(--(NOT(ISERR(SEARCH({"T","An"},'CDR Project Planner'!#REF!))))),'CDR Project Planner'!#REF!,"")</f>
        <v/>
      </c>
      <c r="H28" s="49" t="str">
        <f>IF(SUMPRODUCT(--(NOT(ISERR(SEARCH({"T","An"},'CDR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42" t="str">
        <f>IF(SUMPRODUCT(--(NOT(ISERR(SEARCH({"T","An"},'CDR Project Planner'!$C30))))),'CDR Project Planner'!B30,"")</f>
        <v/>
      </c>
      <c r="C29" s="43" t="str">
        <f>IF(SUMPRODUCT(--(NOT(ISERR(SEARCH({"T","An"},'CDR Project Planner'!$C30))))),'CDR Project Planner'!C30,"")</f>
        <v/>
      </c>
      <c r="D29" s="43" t="str">
        <f>IF(SUMPRODUCT(--(NOT(ISERR(SEARCH({"T","An"},'CDR Project Planner'!$C30))))),'CDR Project Planner'!D30,"")</f>
        <v/>
      </c>
      <c r="E29" s="43" t="str">
        <f>IF(SUMPRODUCT(--(NOT(ISERR(SEARCH({"T","An"},'CDR Project Planner'!$C30))))),'CDR Project Planner'!E30,"")</f>
        <v/>
      </c>
      <c r="F29" s="43" t="str">
        <f>IF(SUMPRODUCT(--(NOT(ISERR(SEARCH({"T","An"},'CDR Project Planner'!$C30))))),'CDR Project Planner'!F30,"")</f>
        <v/>
      </c>
      <c r="G29" s="43" t="str">
        <f>IF(SUMPRODUCT(--(NOT(ISERR(SEARCH({"T","An"},'CDR Project Planner'!$C30))))),'CDR Project Planner'!G30,"")</f>
        <v/>
      </c>
      <c r="H29" s="49" t="str">
        <f>IF(SUMPRODUCT(--(NOT(ISERR(SEARCH({"T","An"},'CDR Project Planner'!$C30))))),'CDR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50" t="str">
        <f>IF(SUMPRODUCT(--(NOT(ISERR(SEARCH({"T","An"},'CDR Project Planner'!$C35))))),'CDR Project Planner'!B35,"")</f>
        <v>Project Management</v>
      </c>
      <c r="C30" s="43" t="str">
        <f>IF(SUMPRODUCT(--(NOT(ISERR(SEARCH({"T","An"},'CDR Project Planner'!$C35))))),'CDR Project Planner'!C35,"")</f>
        <v>An &amp; T &amp; ?</v>
      </c>
      <c r="D30" s="43"/>
      <c r="E30" s="43"/>
      <c r="F30" s="43"/>
      <c r="G30" s="43"/>
      <c r="H30" s="48">
        <f>IF(SUMPRODUCT(--(NOT(ISERR(SEARCH({"T","An"},'CDR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51" t="str">
        <f>IF(SUMPRODUCT(--(NOT(ISERR(SEARCH({"T","An"},'CDR Project Planner'!$C36))))),'CDR Project Planner'!B36,"")</f>
        <v>Complete CDR Plan</v>
      </c>
      <c r="C31" s="43" t="str">
        <f>IF(SUMPRODUCT(--(NOT(ISERR(SEARCH({"T","An"},'CDR Project Planner'!$C36))))),'CDR Project Planner'!C36,"")</f>
        <v>An</v>
      </c>
      <c r="D31" s="43">
        <f>IF(SUMPRODUCT(--(NOT(ISERR(SEARCH({"T","An"},'CDR Project Planner'!$C36))))),'CDR Project Planner'!D36,"")</f>
        <v>23</v>
      </c>
      <c r="E31" s="43">
        <f>IF(SUMPRODUCT(--(NOT(ISERR(SEARCH({"T","An"},'CDR Project Planner'!$C36))))),'CDR Project Planner'!E36,"")</f>
        <v>7</v>
      </c>
      <c r="F31" s="43">
        <f>IF(SUMPRODUCT(--(NOT(ISERR(SEARCH({"T","An"},'CDR Project Planner'!$C36))))),'CDR Project Planner'!F36,"")</f>
        <v>23</v>
      </c>
      <c r="G31" s="43">
        <f>IF(SUMPRODUCT(--(NOT(ISERR(SEARCH({"T","An"},'CDR Project Planner'!$C36))))),'CDR Project Planner'!G36,"")</f>
        <v>0</v>
      </c>
      <c r="H31" s="48">
        <f>IF(SUMPRODUCT(--(NOT(ISERR(SEARCH({"T","An"},'CDR Project Planner'!$C36))))),'CDR Project Planner'!H36,"")</f>
        <v>0.5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42" t="str">
        <f>IF(SUMPRODUCT(--(NOT(ISERR(SEARCH({"T","An"},'CDR Project Planner'!$C37))))),'CDR Project Planner'!B37,"")</f>
        <v/>
      </c>
      <c r="C32" s="43" t="str">
        <f>IF(SUMPRODUCT(--(NOT(ISERR(SEARCH({"T","An"},'CDR Project Planner'!$C37))))),'CDR Project Planner'!C37,"")</f>
        <v/>
      </c>
      <c r="D32" s="43" t="str">
        <f>IF(SUMPRODUCT(--(NOT(ISERR(SEARCH({"T","An"},'CDR Project Planner'!$C37))))),'CDR Project Planner'!D37,"")</f>
        <v/>
      </c>
      <c r="E32" s="43" t="str">
        <f>IF(SUMPRODUCT(--(NOT(ISERR(SEARCH({"T","An"},'CDR Project Planner'!$C37))))),'CDR Project Planner'!E37,"")</f>
        <v/>
      </c>
      <c r="F32" s="43" t="str">
        <f>IF(SUMPRODUCT(--(NOT(ISERR(SEARCH({"T","An"},'CDR Project Planner'!$C37))))),'CDR Project Planner'!F37,"")</f>
        <v/>
      </c>
      <c r="G32" s="43" t="str">
        <f>IF(SUMPRODUCT(--(NOT(ISERR(SEARCH({"T","An"},'CDR Project Planner'!$C37))))),'CDR Project Planner'!G37,"")</f>
        <v/>
      </c>
      <c r="H32" s="48" t="str">
        <f>IF(SUMPRODUCT(--(NOT(ISERR(SEARCH({"T","An"},'CDR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42" t="str">
        <f>IF(SUMPRODUCT(--(NOT(ISERR(SEARCH({"T","An"},'CDR Project Planner'!$C38))))),'CDR Project Planner'!B38,"")</f>
        <v/>
      </c>
      <c r="C33" s="43" t="str">
        <f>IF(SUMPRODUCT(--(NOT(ISERR(SEARCH({"T","An"},'CDR Project Planner'!$C38))))),'CDR Project Planner'!C38,"")</f>
        <v/>
      </c>
      <c r="D33" s="43" t="str">
        <f>IF(SUMPRODUCT(--(NOT(ISERR(SEARCH({"T","An"},'CDR Project Planner'!$C38))))),'CDR Project Planner'!D38,"")</f>
        <v/>
      </c>
      <c r="E33" s="43" t="str">
        <f>IF(SUMPRODUCT(--(NOT(ISERR(SEARCH({"T","An"},'CDR Project Planner'!$C38))))),'CDR Project Planner'!E38,"")</f>
        <v/>
      </c>
      <c r="F33" s="43" t="str">
        <f>IF(SUMPRODUCT(--(NOT(ISERR(SEARCH({"T","An"},'CDR Project Planner'!$C38))))),'CDR Project Planner'!F38,"")</f>
        <v/>
      </c>
      <c r="G33" s="43" t="str">
        <f>IF(SUMPRODUCT(--(NOT(ISERR(SEARCH({"T","An"},'CDR Project Planner'!$C38))))),'CDR Project Planner'!G38,"")</f>
        <v/>
      </c>
      <c r="H33" s="48" t="str">
        <f>IF(SUMPRODUCT(--(NOT(ISERR(SEARCH({"T","An"},'CDR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51" t="str">
        <f>IF(SUMPRODUCT(--(NOT(ISERR(SEARCH({"T","An"},'CDR Project Planner'!$C39))))),'CDR Project Planner'!B39,"")</f>
        <v>Develop Tech Memo - Rover</v>
      </c>
      <c r="C34" s="43" t="str">
        <f>IF(SUMPRODUCT(--(NOT(ISERR(SEARCH({"T","An"},'CDR Project Planner'!$C39))))),'CDR Project Planner'!C39,"")</f>
        <v>An</v>
      </c>
      <c r="D34" s="43">
        <f>IF(SUMPRODUCT(--(NOT(ISERR(SEARCH({"T","An"},'CDR Project Planner'!$C39))))),'CDR Project Planner'!D39,"")</f>
        <v>41</v>
      </c>
      <c r="E34" s="43">
        <f>IF(SUMPRODUCT(--(NOT(ISERR(SEARCH({"T","An"},'CDR Project Planner'!$C39))))),'CDR Project Planner'!E39,"")</f>
        <v>6</v>
      </c>
      <c r="F34" s="43">
        <f>IF(SUMPRODUCT(--(NOT(ISERR(SEARCH({"T","An"},'CDR Project Planner'!$C39))))),'CDR Project Planner'!F39,"")</f>
        <v>0</v>
      </c>
      <c r="G34" s="43">
        <f>IF(SUMPRODUCT(--(NOT(ISERR(SEARCH({"T","An"},'CDR Project Planner'!$C39))))),'CDR Project Planner'!G39,"")</f>
        <v>0</v>
      </c>
      <c r="H34" s="48">
        <f>IF(SUMPRODUCT(--(NOT(ISERR(SEARCH({"T","An"},'CDR Project Planner'!$C39))))),'CDR Project Planner'!H39,"")</f>
        <v>0</v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51" t="str">
        <f>IF(SUMPRODUCT(--(NOT(ISERR(SEARCH({"T","An"},'CDR Project Planner'!$C40))))),'CDR Project Planner'!B40,"")</f>
        <v>CDR PowerPoint</v>
      </c>
      <c r="C35" s="43" t="str">
        <f>IF(SUMPRODUCT(--(NOT(ISERR(SEARCH({"T","An"},'CDR Project Planner'!$C40))))),'CDR Project Planner'!C40,"")</f>
        <v>T</v>
      </c>
      <c r="D35" s="43">
        <f>IF(SUMPRODUCT(--(NOT(ISERR(SEARCH({"T","An"},'CDR Project Planner'!$C40))))),'CDR Project Planner'!D40,"")</f>
        <v>45</v>
      </c>
      <c r="E35" s="43">
        <f>IF(SUMPRODUCT(--(NOT(ISERR(SEARCH({"T","An"},'CDR Project Planner'!$C40))))),'CDR Project Planner'!E40,"")</f>
        <v>10</v>
      </c>
      <c r="F35" s="43">
        <f>IF(SUMPRODUCT(--(NOT(ISERR(SEARCH({"T","An"},'CDR Project Planner'!$C40))))),'CDR Project Planner'!F40,"")</f>
        <v>0</v>
      </c>
      <c r="G35" s="43">
        <f>IF(SUMPRODUCT(--(NOT(ISERR(SEARCH({"T","An"},'CDR Project Planner'!$C40))))),'CDR Project Planner'!G40,"")</f>
        <v>0</v>
      </c>
      <c r="H35" s="48">
        <f>IF(SUMPRODUCT(--(NOT(ISERR(SEARCH({"T","An"},'CDR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31"/>
      <c r="B36" s="46" t="str">
        <f>IF(SUMPRODUCT(--(NOT(ISERR(SEARCH({"T","An"},'CDR Project Planner'!$C41))))),'CDR Project Planner'!B41,"")</f>
        <v>CDR</v>
      </c>
      <c r="C36" s="47" t="str">
        <f>IF(SUMPRODUCT(--(NOT(ISERR(SEARCH({"T","An"},'CDR Project Planner'!$C41))))),'CDR Project Planner'!C41,"")</f>
        <v>T</v>
      </c>
      <c r="D36" s="47">
        <f>IF(SUMPRODUCT(--(NOT(ISERR(SEARCH({"T","An"},'CDR Project Planner'!$C41))))),'CDR Project Planner'!D41,"")</f>
        <v>55</v>
      </c>
      <c r="E36" s="47">
        <f>IF(SUMPRODUCT(--(NOT(ISERR(SEARCH({"T","An"},'CDR Project Planner'!$C41))))),'CDR Project Planner'!E41,"")</f>
        <v>1</v>
      </c>
      <c r="F36" s="47">
        <f>IF(SUMPRODUCT(--(NOT(ISERR(SEARCH({"T","An"},'CDR Project Planner'!$C41))))),'CDR Project Planner'!F41,"")</f>
        <v>55</v>
      </c>
      <c r="G36" s="47">
        <f>IF(SUMPRODUCT(--(NOT(ISERR(SEARCH({"T","An"},'CDR Project Planner'!$C41))))),'CDR Project Planner'!G41,"")</f>
        <v>1</v>
      </c>
      <c r="H36" s="48">
        <f>IF(SUMPRODUCT(--(NOT(ISERR(SEARCH({"T","An"},'CDR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50" t="str">
        <f>IF(SUMPRODUCT(--(NOT(ISERR(SEARCH({"T","An"},'CDR Project Planner'!$C42))))),'CDR Project Planner'!B42,"")</f>
        <v>After We Finish</v>
      </c>
      <c r="C37" s="43" t="str">
        <f>IF(SUMPRODUCT(--(NOT(ISERR(SEARCH({"T","An"},'CDR Project Planner'!$C42))))),'CDR Project Planner'!C42,"")</f>
        <v>C &amp; An</v>
      </c>
      <c r="D37" s="43"/>
      <c r="E37" s="43"/>
      <c r="F37" s="43"/>
      <c r="G37" s="43"/>
      <c r="H37" s="48">
        <f>IF(SUMPRODUCT(--(NOT(ISERR(SEARCH({"T","An"},'CDR Project Planner'!$C42))))),'CDR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51" t="str">
        <f>IF(SUMPRODUCT(--(NOT(ISERR(SEARCH({"T","An"},'CDR Project Planner'!$C43))))),'CDR Project Planner'!B43,"")</f>
        <v>Create sound board*</v>
      </c>
      <c r="C38" s="43" t="str">
        <f>IF(SUMPRODUCT(--(NOT(ISERR(SEARCH({"T","An"},'CDR Project Planner'!$C43))))),'CDR Project Planner'!C43,"")</f>
        <v>C &amp; An</v>
      </c>
      <c r="D38" s="43" t="str">
        <f>IF(SUMPRODUCT(--(NOT(ISERR(SEARCH({"T","An"},'CDR Project Planner'!$C43))))),'CDR Project Planner'!D43,"")</f>
        <v>TBA</v>
      </c>
      <c r="E38" s="43" t="str">
        <f>IF(SUMPRODUCT(--(NOT(ISERR(SEARCH({"T","An"},'CDR Project Planner'!$C43))))),'CDR Project Planner'!E43,"")</f>
        <v>TBA</v>
      </c>
      <c r="F38" s="43">
        <f>IF(SUMPRODUCT(--(NOT(ISERR(SEARCH({"T","An"},'CDR Project Planner'!$C43))))),'CDR Project Planner'!F43,"")</f>
        <v>0</v>
      </c>
      <c r="G38" s="43">
        <f>IF(SUMPRODUCT(--(NOT(ISERR(SEARCH({"T","An"},'CDR Project Planner'!$C43))))),'CDR Project Planner'!G43,"")</f>
        <v>0</v>
      </c>
      <c r="H38" s="48">
        <f>IF(SUMPRODUCT(--(NOT(ISERR(SEARCH({"T","An"},'CDR Project Planner'!$C43))))),'CDR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51" t="str">
        <f>IF(SUMPRODUCT(--(NOT(ISERR(SEARCH({"T","An"},'CDR Project Planner'!$C44))))),'CDR Project Planner'!B44,"")</f>
        <v>Implement Wireless Speaker</v>
      </c>
      <c r="C39" s="43" t="str">
        <f>IF(SUMPRODUCT(--(NOT(ISERR(SEARCH({"T","An"},'CDR Project Planner'!$C44))))),'CDR Project Planner'!C44,"")</f>
        <v>An</v>
      </c>
      <c r="D39" s="43" t="str">
        <f>IF(SUMPRODUCT(--(NOT(ISERR(SEARCH({"T","An"},'CDR Project Planner'!$C44))))),'CDR Project Planner'!D44,"")</f>
        <v>TBA</v>
      </c>
      <c r="E39" s="43" t="str">
        <f>IF(SUMPRODUCT(--(NOT(ISERR(SEARCH({"T","An"},'CDR Project Planner'!$C44))))),'CDR Project Planner'!E44,"")</f>
        <v>TBA</v>
      </c>
      <c r="F39" s="43">
        <f>IF(SUMPRODUCT(--(NOT(ISERR(SEARCH({"T","An"},'CDR Project Planner'!$C44))))),'CDR Project Planner'!F44,"")</f>
        <v>0</v>
      </c>
      <c r="G39" s="43">
        <f>IF(SUMPRODUCT(--(NOT(ISERR(SEARCH({"T","An"},'CDR Project Planner'!$C44))))),'CDR Project Planner'!G44,"")</f>
        <v>0</v>
      </c>
      <c r="H39" s="48">
        <f>IF(SUMPRODUCT(--(NOT(ISERR(SEARCH({"T","An"},'CDR Project Planner'!$C44))))),'CDR Project Planner'!H44,"")</f>
        <v>0</v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42" t="str">
        <f>IF(SUMPRODUCT(--(NOT(ISERR(SEARCH({"T","An"},'CDR Project Planner'!$C45))))),'CDR Project Planner'!B45,"")</f>
        <v/>
      </c>
      <c r="C40" s="43" t="str">
        <f>IF(SUMPRODUCT(--(NOT(ISERR(SEARCH({"T","An"},'CDR Project Planner'!$C45))))),'CDR Project Planner'!C45,"")</f>
        <v/>
      </c>
      <c r="D40" s="43" t="str">
        <f>IF(SUMPRODUCT(--(NOT(ISERR(SEARCH({"T","An"},'CDR Project Planner'!$C45))))),'CDR Project Planner'!D45,"")</f>
        <v/>
      </c>
      <c r="E40" s="43" t="str">
        <f>IF(SUMPRODUCT(--(NOT(ISERR(SEARCH({"T","An"},'CDR Project Planner'!$C45))))),'CDR Project Planner'!E45,"")</f>
        <v/>
      </c>
      <c r="F40" s="43" t="str">
        <f>IF(SUMPRODUCT(--(NOT(ISERR(SEARCH({"T","An"},'CDR Project Planner'!$C45))))),'CDR Project Planner'!F45,"")</f>
        <v/>
      </c>
      <c r="G40" s="43" t="str">
        <f>IF(SUMPRODUCT(--(NOT(ISERR(SEARCH({"T","An"},'CDR Project Planner'!$C45))))),'CDR Project Planner'!G45,"")</f>
        <v/>
      </c>
      <c r="H40" s="48" t="str">
        <f>IF(SUMPRODUCT(--(NOT(ISERR(SEARCH({"T","An"},'CDR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42" t="str">
        <f>IF(SUMPRODUCT(--(NOT(ISERR(SEARCH({"T","An"},'CDR Project Planner'!$C46))))),'CDR Project Planner'!B46,"")</f>
        <v/>
      </c>
      <c r="C41" s="43" t="str">
        <f>IF(SUMPRODUCT(--(NOT(ISERR(SEARCH({"T","An"},'CDR Project Planner'!$C46))))),'CDR Project Planner'!C46,"")</f>
        <v/>
      </c>
      <c r="D41" s="43" t="str">
        <f>IF(SUMPRODUCT(--(NOT(ISERR(SEARCH({"T","An"},'CDR Project Planner'!$C46))))),'CDR Project Planner'!D46,"")</f>
        <v/>
      </c>
      <c r="E41" s="43" t="str">
        <f>IF(SUMPRODUCT(--(NOT(ISERR(SEARCH({"T","An"},'CDR Project Planner'!$C46))))),'CDR Project Planner'!E46,"")</f>
        <v/>
      </c>
      <c r="F41" s="43" t="str">
        <f>IF(SUMPRODUCT(--(NOT(ISERR(SEARCH({"T","An"},'CDR Project Planner'!$C46))))),'CDR Project Planner'!F46,"")</f>
        <v/>
      </c>
      <c r="G41" s="43" t="str">
        <f>IF(SUMPRODUCT(--(NOT(ISERR(SEARCH({"T","An"},'CDR Project Planner'!$C46))))),'CDR Project Planner'!G46,"")</f>
        <v/>
      </c>
      <c r="H41" s="48" t="str">
        <f>IF(SUMPRODUCT(--(NOT(ISERR(SEARCH({"T","An"},'CDR Project Planner'!$C46))))),'CDR Project Planner'!H46,"")</f>
        <v/>
      </c>
    </row>
    <row r="42" spans="1:68" ht="30" customHeight="1" x14ac:dyDescent="0.25">
      <c r="B42" s="42" t="str">
        <f>IF(SUMPRODUCT(--(NOT(ISERR(SEARCH({"T","An"},'CDR Project Planner'!$C47))))),'CDR Project Planner'!B47,"")</f>
        <v/>
      </c>
      <c r="C42" s="43" t="str">
        <f>IF(SUMPRODUCT(--(NOT(ISERR(SEARCH({"T","An"},'CDR Project Planner'!$C47))))),'CDR Project Planner'!C47,"")</f>
        <v/>
      </c>
      <c r="D42" s="43" t="str">
        <f>IF(SUMPRODUCT(--(NOT(ISERR(SEARCH({"T","An"},'CDR Project Planner'!$C47))))),'CDR Project Planner'!D47,"")</f>
        <v/>
      </c>
      <c r="E42" s="43" t="str">
        <f>IF(SUMPRODUCT(--(NOT(ISERR(SEARCH({"T","An"},'CDR Project Planner'!$C47))))),'CDR Project Planner'!E47,"")</f>
        <v/>
      </c>
      <c r="F42" s="43" t="str">
        <f>IF(SUMPRODUCT(--(NOT(ISERR(SEARCH({"T","An"},'CDR Project Planner'!$C47))))),'CDR Project Planner'!F47,"")</f>
        <v/>
      </c>
      <c r="G42" s="43" t="str">
        <f>IF(SUMPRODUCT(--(NOT(ISERR(SEARCH({"T","An"},'CDR Project Planner'!$C47))))),'CDR Project Planner'!G47,"")</f>
        <v/>
      </c>
      <c r="H42" s="48" t="str">
        <f>IF(SUMPRODUCT(--(NOT(ISERR(SEARCH({"T","An"},'CDR Project Planner'!$C47))))),'CDR Project Planner'!H47,"")</f>
        <v/>
      </c>
    </row>
    <row r="43" spans="1:68" ht="30" customHeight="1" x14ac:dyDescent="0.25">
      <c r="B43" s="42" t="str">
        <f>IF(SUMPRODUCT(--(NOT(ISERR(SEARCH({"T","An"},'CDR Project Planner'!$C48))))),'CDR Project Planner'!B48,"")</f>
        <v/>
      </c>
      <c r="C43" s="43" t="str">
        <f>IF(SUMPRODUCT(--(NOT(ISERR(SEARCH({"T","An"},'CDR Project Planner'!$C48))))),'CDR Project Planner'!C48,"")</f>
        <v/>
      </c>
      <c r="D43" s="43" t="str">
        <f>IF(SUMPRODUCT(--(NOT(ISERR(SEARCH({"T","An"},'CDR Project Planner'!$C48))))),'CDR Project Planner'!D48,"")</f>
        <v/>
      </c>
      <c r="E43" s="43" t="str">
        <f>IF(SUMPRODUCT(--(NOT(ISERR(SEARCH({"T","An"},'CDR Project Planner'!$C48))))),'CDR Project Planner'!E48,"")</f>
        <v/>
      </c>
      <c r="F43" s="43" t="str">
        <f>IF(SUMPRODUCT(--(NOT(ISERR(SEARCH({"T","An"},'CDR Project Planner'!$C48))))),'CDR Project Planner'!F48,"")</f>
        <v/>
      </c>
      <c r="G43" s="43" t="str">
        <f>IF(SUMPRODUCT(--(NOT(ISERR(SEARCH({"T","An"},'CDR Project Planner'!$C48))))),'CDR Project Planner'!G48,"")</f>
        <v/>
      </c>
      <c r="H43" s="48" t="str">
        <f>IF(SUMPRODUCT(--(NOT(ISERR(SEARCH({"T","An"},'CDR Project Planner'!$C48))))),'CDR Project Planner'!H48,"")</f>
        <v/>
      </c>
    </row>
    <row r="44" spans="1:68" s="4" customFormat="1" ht="30" customHeight="1" x14ac:dyDescent="0.25">
      <c r="A44" s="1"/>
      <c r="B44" s="42" t="str">
        <f>IF(SUMPRODUCT(--(NOT(ISERR(SEARCH({"T","An"},'CDR Project Planner'!$C49))))),'CDR Project Planner'!B49,"")</f>
        <v/>
      </c>
      <c r="C44" s="43" t="str">
        <f>IF(SUMPRODUCT(--(NOT(ISERR(SEARCH({"T","An"},'CDR Project Planner'!$C49))))),'CDR Project Planner'!C49,"")</f>
        <v/>
      </c>
      <c r="D44" s="43" t="str">
        <f>IF(SUMPRODUCT(--(NOT(ISERR(SEARCH({"T","An"},'CDR Project Planner'!$C49))))),'CDR Project Planner'!D49,"")</f>
        <v/>
      </c>
      <c r="E44" s="43" t="str">
        <f>IF(SUMPRODUCT(--(NOT(ISERR(SEARCH({"T","An"},'CDR Project Planner'!$C49))))),'CDR Project Planner'!E49,"")</f>
        <v/>
      </c>
      <c r="F44" s="43" t="str">
        <f>IF(SUMPRODUCT(--(NOT(ISERR(SEARCH({"T","An"},'CDR Project Planner'!$C49))))),'CDR Project Planner'!F49,"")</f>
        <v/>
      </c>
      <c r="G44" s="43" t="str">
        <f>IF(SUMPRODUCT(--(NOT(ISERR(SEARCH({"T","An"},'CDR Project Planner'!$C49))))),'CDR Project Planner'!G49,"")</f>
        <v/>
      </c>
      <c r="H44" s="48" t="str">
        <f>IF(SUMPRODUCT(--(NOT(ISERR(SEARCH({"T","An"},'CDR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42" t="str">
        <f>IF(SUMPRODUCT(--(NOT(ISERR(SEARCH({"T","An"},'CDR Project Planner'!$C50))))),'CDR Project Planner'!B50,"")</f>
        <v/>
      </c>
      <c r="C45" s="43" t="str">
        <f>IF(SUMPRODUCT(--(NOT(ISERR(SEARCH({"T","An"},'CDR Project Planner'!$C50))))),'CDR Project Planner'!C50,"")</f>
        <v/>
      </c>
      <c r="D45" s="43" t="str">
        <f>IF(SUMPRODUCT(--(NOT(ISERR(SEARCH({"T","An"},'CDR Project Planner'!$C50))))),'CDR Project Planner'!D50,"")</f>
        <v/>
      </c>
      <c r="E45" s="43" t="str">
        <f>IF(SUMPRODUCT(--(NOT(ISERR(SEARCH({"T","An"},'CDR Project Planner'!$C50))))),'CDR Project Planner'!E50,"")</f>
        <v/>
      </c>
      <c r="F45" s="43" t="str">
        <f>IF(SUMPRODUCT(--(NOT(ISERR(SEARCH({"T","An"},'CDR Project Planner'!$C50))))),'CDR Project Planner'!F50,"")</f>
        <v/>
      </c>
      <c r="G45" s="43" t="str">
        <f>IF(SUMPRODUCT(--(NOT(ISERR(SEARCH({"T","An"},'CDR Project Planner'!$C50))))),'CDR Project Planner'!G50,"")</f>
        <v/>
      </c>
      <c r="H45" s="48" t="str">
        <f>IF(SUMPRODUCT(--(NOT(ISERR(SEARCH({"T","An"},'CDR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42" t="str">
        <f>IF(SUMPRODUCT(--(NOT(ISERR(SEARCH({"T","An"},'CDR Project Planner'!$C51))))),'CDR Project Planner'!B51,"")</f>
        <v/>
      </c>
      <c r="C46" s="43" t="str">
        <f>IF(SUMPRODUCT(--(NOT(ISERR(SEARCH({"T","An"},'CDR Project Planner'!$C51))))),'CDR Project Planner'!C51,"")</f>
        <v/>
      </c>
      <c r="D46" s="43" t="str">
        <f>IF(SUMPRODUCT(--(NOT(ISERR(SEARCH({"T","An"},'CDR Project Planner'!$C51))))),'CDR Project Planner'!D51,"")</f>
        <v/>
      </c>
      <c r="E46" s="43" t="str">
        <f>IF(SUMPRODUCT(--(NOT(ISERR(SEARCH({"T","An"},'CDR Project Planner'!$C51))))),'CDR Project Planner'!E51,"")</f>
        <v/>
      </c>
      <c r="F46" s="43" t="str">
        <f>IF(SUMPRODUCT(--(NOT(ISERR(SEARCH({"T","An"},'CDR Project Planner'!$C51))))),'CDR Project Planner'!F51,"")</f>
        <v/>
      </c>
      <c r="G46" s="43" t="str">
        <f>IF(SUMPRODUCT(--(NOT(ISERR(SEARCH({"T","An"},'CDR Project Planner'!$C51))))),'CDR Project Planner'!G51,"")</f>
        <v/>
      </c>
      <c r="H46" s="48" t="str">
        <f>IF(SUMPRODUCT(--(NOT(ISERR(SEARCH({"T","An"},'CDR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42" t="str">
        <f>IF(SUMPRODUCT(--(NOT(ISERR(SEARCH({"T","An"},'CDR Project Planner'!$C52))))),'CDR Project Planner'!B52,"")</f>
        <v/>
      </c>
      <c r="C47" s="43" t="str">
        <f>IF(SUMPRODUCT(--(NOT(ISERR(SEARCH({"T","An"},'CDR Project Planner'!$C52))))),'CDR Project Planner'!C52,"")</f>
        <v/>
      </c>
      <c r="D47" s="43" t="str">
        <f>IF(SUMPRODUCT(--(NOT(ISERR(SEARCH({"T","An"},'CDR Project Planner'!$C52))))),'CDR Project Planner'!D52,"")</f>
        <v/>
      </c>
      <c r="E47" s="43" t="str">
        <f>IF(SUMPRODUCT(--(NOT(ISERR(SEARCH({"T","An"},'CDR Project Planner'!$C52))))),'CDR Project Planner'!E52,"")</f>
        <v/>
      </c>
      <c r="F47" s="43" t="str">
        <f>IF(SUMPRODUCT(--(NOT(ISERR(SEARCH({"T","An"},'CDR Project Planner'!$C52))))),'CDR Project Planner'!F52,"")</f>
        <v/>
      </c>
      <c r="G47" s="43" t="str">
        <f>IF(SUMPRODUCT(--(NOT(ISERR(SEARCH({"T","An"},'CDR Project Planner'!$C52))))),'CDR Project Planner'!G52,"")</f>
        <v/>
      </c>
      <c r="H47" s="48" t="str">
        <f>IF(SUMPRODUCT(--(NOT(ISERR(SEARCH({"T","An"},'CDR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42" t="str">
        <f>IF(SUMPRODUCT(--(NOT(ISERR(SEARCH({"T","An"},'CDR Project Planner'!$C53))))),'CDR Project Planner'!B53,"")</f>
        <v/>
      </c>
      <c r="C48" s="43" t="str">
        <f>IF(SUMPRODUCT(--(NOT(ISERR(SEARCH({"T","An"},'CDR Project Planner'!$C53))))),'CDR Project Planner'!C53,"")</f>
        <v/>
      </c>
      <c r="D48" s="43" t="str">
        <f>IF(SUMPRODUCT(--(NOT(ISERR(SEARCH({"T","An"},'CDR Project Planner'!$C53))))),'CDR Project Planner'!D53,"")</f>
        <v/>
      </c>
      <c r="E48" s="43" t="str">
        <f>IF(SUMPRODUCT(--(NOT(ISERR(SEARCH({"T","An"},'CDR Project Planner'!$C53))))),'CDR Project Planner'!E53,"")</f>
        <v/>
      </c>
      <c r="F48" s="43" t="str">
        <f>IF(SUMPRODUCT(--(NOT(ISERR(SEARCH({"T","An"},'CDR Project Planner'!$C53))))),'CDR Project Planner'!F53,"")</f>
        <v/>
      </c>
      <c r="G48" s="43" t="str">
        <f>IF(SUMPRODUCT(--(NOT(ISERR(SEARCH({"T","An"},'CDR Project Planner'!$C53))))),'CDR Project Planner'!G53,"")</f>
        <v/>
      </c>
      <c r="H48" s="48" t="str">
        <f>IF(SUMPRODUCT(--(NOT(ISERR(SEARCH({"T","An"},'CDR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42" t="str">
        <f>IF(SUMPRODUCT(--(NOT(ISERR(SEARCH({"T","An"},'CDR Project Planner'!$C54))))),'CDR Project Planner'!B54,"")</f>
        <v/>
      </c>
      <c r="C49" s="43" t="str">
        <f>IF(SUMPRODUCT(--(NOT(ISERR(SEARCH({"T","An"},'CDR Project Planner'!$C54))))),'CDR Project Planner'!C54,"")</f>
        <v/>
      </c>
      <c r="D49" s="43" t="str">
        <f>IF(SUMPRODUCT(--(NOT(ISERR(SEARCH({"T","An"},'CDR Project Planner'!$C54))))),'CDR Project Planner'!D54,"")</f>
        <v/>
      </c>
      <c r="E49" s="43" t="str">
        <f>IF(SUMPRODUCT(--(NOT(ISERR(SEARCH({"T","An"},'CDR Project Planner'!$C54))))),'CDR Project Planner'!E54,"")</f>
        <v/>
      </c>
      <c r="F49" s="43" t="str">
        <f>IF(SUMPRODUCT(--(NOT(ISERR(SEARCH({"T","An"},'CDR Project Planner'!$C54))))),'CDR Project Planner'!F54,"")</f>
        <v/>
      </c>
      <c r="G49" s="43" t="str">
        <f>IF(SUMPRODUCT(--(NOT(ISERR(SEARCH({"T","An"},'CDR Project Planner'!$C54))))),'CDR Project Planner'!G54,"")</f>
        <v/>
      </c>
      <c r="H49" s="48" t="str">
        <f>IF(SUMPRODUCT(--(NOT(ISERR(SEARCH({"T","An"},'CDR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44" t="str">
        <f>IF(SUMPRODUCT(--(NOT(ISERR(SEARCH({"T","Ba"},'CDR Project Planner'!$C55))))),'CDR Project Planner'!B55,"")</f>
        <v/>
      </c>
      <c r="C50" s="44" t="str">
        <f>IF(SUMPRODUCT(--(NOT(ISERR(SEARCH({"T","Ba"},'CDR Project Planner'!$C55))))),'CDR Project Planner'!C55,"")</f>
        <v/>
      </c>
      <c r="D50" s="52" t="str">
        <f>IF(SUMPRODUCT(--(NOT(ISERR(SEARCH({"T","Ba"},'CDR Project Planner'!$C55))))),'CDR Project Planner'!D55,"")</f>
        <v/>
      </c>
      <c r="E50" s="52" t="str">
        <f>IF(SUMPRODUCT(--(NOT(ISERR(SEARCH({"T","Ba"},'CDR Project Planner'!$C55))))),'CDR Project Planner'!E55,"")</f>
        <v/>
      </c>
      <c r="F50" s="52" t="str">
        <f>IF(SUMPRODUCT(--(NOT(ISERR(SEARCH({"T","Ba"},'CDR Project Planner'!$C55))))),'CDR Project Planner'!F55,"")</f>
        <v/>
      </c>
      <c r="G50" s="52" t="str">
        <f>IF(SUMPRODUCT(--(NOT(ISERR(SEARCH({"T","Ba"},'CDR Project Planner'!$C55))))),'CDR Project Planner'!G55,"")</f>
        <v/>
      </c>
      <c r="H50" s="52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44" t="str">
        <f>IF(SUMPRODUCT(--(NOT(ISERR(SEARCH({"T","Ba"},'CDR Project Planner'!$C56))))),'CDR Project Planner'!B56,"")</f>
        <v/>
      </c>
      <c r="C51" s="44" t="str">
        <f>IF(SUMPRODUCT(--(NOT(ISERR(SEARCH({"T","Ba"},'CDR Project Planner'!$C56))))),'CDR Project Planner'!C56,"")</f>
        <v/>
      </c>
      <c r="D51" s="52" t="str">
        <f>IF(SUMPRODUCT(--(NOT(ISERR(SEARCH({"T","Ba"},'CDR Project Planner'!$C56))))),'CDR Project Planner'!D56,"")</f>
        <v/>
      </c>
      <c r="E51" s="52" t="str">
        <f>IF(SUMPRODUCT(--(NOT(ISERR(SEARCH({"T","Ba"},'CDR Project Planner'!$C56))))),'CDR Project Planner'!E56,"")</f>
        <v/>
      </c>
      <c r="F51" s="52" t="str">
        <f>IF(SUMPRODUCT(--(NOT(ISERR(SEARCH({"T","Ba"},'CDR Project Planner'!$C56))))),'CDR Project Planner'!F56,"")</f>
        <v/>
      </c>
      <c r="G51" s="52" t="str">
        <f>IF(SUMPRODUCT(--(NOT(ISERR(SEARCH({"T","Ba"},'CDR Project Planner'!$C56))))),'CDR Project Planner'!G56,"")</f>
        <v/>
      </c>
      <c r="H51" s="52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44" t="str">
        <f>IF(SUMPRODUCT(--(NOT(ISERR(SEARCH({"T","Ba"},'CDR Project Planner'!$C57))))),'CDR Project Planner'!B57,"")</f>
        <v/>
      </c>
      <c r="C52" s="44" t="str">
        <f>IF(SUMPRODUCT(--(NOT(ISERR(SEARCH({"T","Ba"},'CDR Project Planner'!$C57))))),'CDR Project Planner'!C57,"")</f>
        <v/>
      </c>
      <c r="D52" s="52" t="str">
        <f>IF(SUMPRODUCT(--(NOT(ISERR(SEARCH({"T","Ba"},'CDR Project Planner'!$C57))))),'CDR Project Planner'!D57,"")</f>
        <v/>
      </c>
      <c r="E52" s="52" t="str">
        <f>IF(SUMPRODUCT(--(NOT(ISERR(SEARCH({"T","Ba"},'CDR Project Planner'!$C57))))),'CDR Project Planner'!E57,"")</f>
        <v/>
      </c>
      <c r="F52" s="52" t="str">
        <f>IF(SUMPRODUCT(--(NOT(ISERR(SEARCH({"T","Ba"},'CDR Project Planner'!$C57))))),'CDR Project Planner'!F57,"")</f>
        <v/>
      </c>
      <c r="G52" s="52" t="str">
        <f>IF(SUMPRODUCT(--(NOT(ISERR(SEARCH({"T","Ba"},'CDR Project Planner'!$C57))))),'CDR Project Planner'!G57,"")</f>
        <v/>
      </c>
      <c r="H52" s="52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309" priority="2">
      <formula>PercentComplete</formula>
    </cfRule>
    <cfRule type="expression" dxfId="308" priority="3">
      <formula>PercentCompleteBeyond</formula>
    </cfRule>
    <cfRule type="expression" dxfId="307" priority="4">
      <formula>Actual</formula>
    </cfRule>
    <cfRule type="expression" dxfId="306" priority="5">
      <formula>ActualBeyond</formula>
    </cfRule>
    <cfRule type="expression" dxfId="305" priority="6">
      <formula>Plan</formula>
    </cfRule>
    <cfRule type="expression" dxfId="304" priority="7">
      <formula>I$4=period_selected</formula>
    </cfRule>
    <cfRule type="expression" dxfId="303" priority="8">
      <formula>MOD(COLUMN(),2)</formula>
    </cfRule>
    <cfRule type="expression" dxfId="302" priority="9">
      <formula>MOD(COLUMN(),2)=0</formula>
    </cfRule>
  </conditionalFormatting>
  <conditionalFormatting sqref="I4:BP4">
    <cfRule type="expression" dxfId="301" priority="10">
      <formula>I$4=period_selected</formula>
    </cfRule>
  </conditionalFormatting>
  <conditionalFormatting sqref="I5:BP6 I39:BP39 I27:BP28 I42:BP42 I45:BP45 I48:BP48">
    <cfRule type="expression" dxfId="300" priority="11">
      <formula>PercentComplete</formula>
    </cfRule>
    <cfRule type="expression" dxfId="299" priority="12">
      <formula>PercentCompleteBeyond</formula>
    </cfRule>
    <cfRule type="expression" dxfId="298" priority="13">
      <formula>Actual</formula>
    </cfRule>
    <cfRule type="expression" dxfId="297" priority="14">
      <formula>ActualBeyond</formula>
    </cfRule>
    <cfRule type="expression" dxfId="296" priority="15">
      <formula>Plan</formula>
    </cfRule>
    <cfRule type="expression" dxfId="295" priority="16">
      <formula>I$4=period_selected</formula>
    </cfRule>
    <cfRule type="expression" dxfId="294" priority="17">
      <formula>MOD(COLUMN(),2)</formula>
    </cfRule>
    <cfRule type="expression" dxfId="293" priority="18">
      <formula>MOD(COLUMN(),2)=0</formula>
    </cfRule>
  </conditionalFormatting>
  <conditionalFormatting sqref="I38:BP38 I41:BP41 I44:BP44 I47:BP47">
    <cfRule type="expression" dxfId="292" priority="19">
      <formula>PercentComplete</formula>
    </cfRule>
    <cfRule type="expression" dxfId="291" priority="20">
      <formula>PercentCompleteBeyond</formula>
    </cfRule>
    <cfRule type="expression" dxfId="290" priority="21">
      <formula>Actual</formula>
    </cfRule>
    <cfRule type="expression" dxfId="289" priority="22">
      <formula>ActualBeyond</formula>
    </cfRule>
    <cfRule type="expression" dxfId="288" priority="23">
      <formula>Plan</formula>
    </cfRule>
    <cfRule type="expression" dxfId="287" priority="24">
      <formula>I$4=period_selected</formula>
    </cfRule>
    <cfRule type="expression" dxfId="286" priority="25">
      <formula>MOD(COLUMN(),2)</formula>
    </cfRule>
    <cfRule type="expression" dxfId="285" priority="26">
      <formula>MOD(COLUMN(),2)=0</formula>
    </cfRule>
  </conditionalFormatting>
  <conditionalFormatting sqref="I20:BP20">
    <cfRule type="expression" dxfId="284" priority="27">
      <formula>PercentComplete</formula>
    </cfRule>
    <cfRule type="expression" dxfId="283" priority="28">
      <formula>PercentCompleteBeyond</formula>
    </cfRule>
    <cfRule type="expression" dxfId="282" priority="29">
      <formula>Actual</formula>
    </cfRule>
    <cfRule type="expression" dxfId="281" priority="30">
      <formula>ActualBeyond</formula>
    </cfRule>
    <cfRule type="expression" dxfId="280" priority="31">
      <formula>Plan</formula>
    </cfRule>
    <cfRule type="expression" dxfId="279" priority="32">
      <formula>I$4=period_selected</formula>
    </cfRule>
    <cfRule type="expression" dxfId="278" priority="33">
      <formula>MOD(COLUMN(),2)</formula>
    </cfRule>
    <cfRule type="expression" dxfId="277" priority="34">
      <formula>MOD(COLUMN(),2)=0</formula>
    </cfRule>
  </conditionalFormatting>
  <conditionalFormatting sqref="I16:BP16 I18:BP19">
    <cfRule type="expression" dxfId="276" priority="35">
      <formula>PercentComplete</formula>
    </cfRule>
    <cfRule type="expression" dxfId="275" priority="36">
      <formula>PercentCompleteBeyond</formula>
    </cfRule>
    <cfRule type="expression" dxfId="274" priority="37">
      <formula>Actual</formula>
    </cfRule>
    <cfRule type="expression" dxfId="273" priority="38">
      <formula>ActualBeyond</formula>
    </cfRule>
    <cfRule type="expression" dxfId="272" priority="39">
      <formula>Plan</formula>
    </cfRule>
    <cfRule type="expression" dxfId="271" priority="40">
      <formula>I$4=period_selected</formula>
    </cfRule>
    <cfRule type="expression" dxfId="270" priority="41">
      <formula>MOD(COLUMN(),2)</formula>
    </cfRule>
    <cfRule type="expression" dxfId="269" priority="42">
      <formula>MOD(COLUMN(),2)=0</formula>
    </cfRule>
  </conditionalFormatting>
  <conditionalFormatting sqref="I17:BP17">
    <cfRule type="expression" dxfId="268" priority="43">
      <formula>PercentComplete</formula>
    </cfRule>
    <cfRule type="expression" dxfId="267" priority="44">
      <formula>PercentCompleteBeyond</formula>
    </cfRule>
    <cfRule type="expression" dxfId="266" priority="45">
      <formula>Actual</formula>
    </cfRule>
    <cfRule type="expression" dxfId="265" priority="46">
      <formula>ActualBeyond</formula>
    </cfRule>
    <cfRule type="expression" dxfId="264" priority="47">
      <formula>Plan</formula>
    </cfRule>
    <cfRule type="expression" dxfId="263" priority="48">
      <formula>I$4=period_selected</formula>
    </cfRule>
    <cfRule type="expression" dxfId="262" priority="49">
      <formula>MOD(COLUMN(),2)</formula>
    </cfRule>
    <cfRule type="expression" dxfId="261" priority="50">
      <formula>MOD(COLUMN(),2)=0</formula>
    </cfRule>
  </conditionalFormatting>
  <conditionalFormatting sqref="H53:H56">
    <cfRule type="cellIs" dxfId="260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30:H49 H5:H13">
    <cfRule type="expression" dxfId="259" priority="53">
      <formula>LEN(TRIM(H5))=0</formula>
    </cfRule>
  </conditionalFormatting>
  <conditionalFormatting sqref="H5:H49"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26" activePane="bottomLeft" state="frozen"/>
      <selection activeCell="B47" sqref="B47"/>
      <selection pane="bottomLeft" activeCell="B47" sqref="B47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58</v>
      </c>
      <c r="C1" s="7"/>
      <c r="D1" s="8"/>
      <c r="E1" s="8"/>
      <c r="F1" s="8"/>
      <c r="G1" s="8"/>
      <c r="H1" s="8"/>
    </row>
    <row r="2" spans="1:68" ht="21" customHeight="1" x14ac:dyDescent="0.25">
      <c r="B2" s="215">
        <f ca="1">NOW()</f>
        <v>43188.720990972222</v>
      </c>
      <c r="C2" s="215"/>
      <c r="D2" s="215"/>
      <c r="E2" s="215"/>
      <c r="F2" s="215"/>
      <c r="G2" s="215"/>
      <c r="H2" s="10" t="s">
        <v>1</v>
      </c>
      <c r="I2" s="11">
        <f ca="1">DAY(NOW())</f>
        <v>29</v>
      </c>
      <c r="K2" s="12"/>
      <c r="L2" s="216" t="s">
        <v>2</v>
      </c>
      <c r="M2" s="216"/>
      <c r="N2" s="216"/>
      <c r="O2" s="216"/>
      <c r="P2" s="216"/>
      <c r="Q2" s="14"/>
      <c r="R2" s="216" t="s">
        <v>3</v>
      </c>
      <c r="S2" s="216"/>
      <c r="T2" s="216"/>
      <c r="U2" s="216"/>
      <c r="V2" s="15"/>
      <c r="W2" s="216" t="s">
        <v>4</v>
      </c>
      <c r="X2" s="216"/>
      <c r="Y2" s="216"/>
      <c r="Z2" s="216"/>
      <c r="AA2" s="16"/>
      <c r="AB2" s="216" t="s">
        <v>5</v>
      </c>
      <c r="AC2" s="216"/>
      <c r="AD2" s="216"/>
      <c r="AE2" s="216"/>
      <c r="AF2" s="216"/>
      <c r="AG2" s="216"/>
      <c r="AH2" s="216"/>
      <c r="AI2" s="18"/>
      <c r="AJ2" s="210" t="s">
        <v>6</v>
      </c>
      <c r="AK2" s="210"/>
      <c r="AL2" s="210"/>
      <c r="AM2" s="210"/>
      <c r="AN2" s="210"/>
      <c r="AO2" s="210"/>
      <c r="AP2" s="210"/>
      <c r="AQ2" s="210"/>
    </row>
    <row r="3" spans="1:68" s="20" customFormat="1" ht="39.950000000000003" customHeight="1" x14ac:dyDescent="0.25">
      <c r="B3" s="211" t="s">
        <v>7</v>
      </c>
      <c r="C3" s="212" t="s">
        <v>8</v>
      </c>
      <c r="D3" s="213" t="s">
        <v>9</v>
      </c>
      <c r="E3" s="213" t="s">
        <v>10</v>
      </c>
      <c r="F3" s="213" t="s">
        <v>11</v>
      </c>
      <c r="G3" s="213" t="s">
        <v>12</v>
      </c>
      <c r="H3" s="214" t="s">
        <v>13</v>
      </c>
      <c r="I3" s="25" t="s">
        <v>14</v>
      </c>
      <c r="J3" s="26"/>
      <c r="K3" s="27"/>
      <c r="L3" s="27"/>
      <c r="M3" s="27"/>
      <c r="N3" s="27"/>
      <c r="O3" s="27"/>
      <c r="P3" s="27"/>
      <c r="Q3" s="27"/>
      <c r="R3" s="27"/>
      <c r="S3" s="28" t="s">
        <v>15</v>
      </c>
      <c r="T3" s="29">
        <v>2</v>
      </c>
      <c r="U3" s="29">
        <v>3</v>
      </c>
      <c r="V3" s="29">
        <v>4</v>
      </c>
      <c r="W3" s="29">
        <v>5</v>
      </c>
      <c r="X3" s="29">
        <v>6</v>
      </c>
      <c r="Y3" s="29">
        <v>7</v>
      </c>
      <c r="Z3" s="29">
        <v>8</v>
      </c>
      <c r="AA3" s="29">
        <v>9</v>
      </c>
      <c r="AB3" s="29">
        <v>10</v>
      </c>
      <c r="AC3" s="29">
        <v>11</v>
      </c>
      <c r="AD3" s="29">
        <v>12</v>
      </c>
      <c r="AE3" s="29">
        <v>13</v>
      </c>
      <c r="AF3" s="29">
        <v>14</v>
      </c>
      <c r="AG3" s="29">
        <v>15</v>
      </c>
      <c r="AH3" s="29">
        <v>16</v>
      </c>
      <c r="AI3" s="29">
        <v>17</v>
      </c>
      <c r="AJ3" s="29">
        <v>18</v>
      </c>
      <c r="AK3" s="29">
        <v>19</v>
      </c>
      <c r="AL3" s="29">
        <v>20</v>
      </c>
      <c r="AM3" s="29">
        <v>21</v>
      </c>
      <c r="AN3" s="29">
        <v>22</v>
      </c>
      <c r="AO3" s="29">
        <v>23</v>
      </c>
      <c r="AP3" s="29">
        <v>24</v>
      </c>
      <c r="AQ3" s="29">
        <v>25</v>
      </c>
      <c r="AR3" s="29">
        <v>26</v>
      </c>
      <c r="AS3" s="29">
        <v>27</v>
      </c>
      <c r="AT3" s="29">
        <v>28</v>
      </c>
      <c r="AU3" s="29">
        <v>29</v>
      </c>
      <c r="AV3" s="29">
        <v>30</v>
      </c>
      <c r="AW3" s="28" t="s">
        <v>16</v>
      </c>
    </row>
    <row r="4" spans="1:68" ht="15.75" customHeight="1" x14ac:dyDescent="0.25">
      <c r="B4" s="211"/>
      <c r="C4" s="212"/>
      <c r="D4" s="213"/>
      <c r="E4" s="213"/>
      <c r="F4" s="213"/>
      <c r="G4" s="213"/>
      <c r="H4" s="214"/>
      <c r="I4" s="30">
        <v>22</v>
      </c>
      <c r="J4" s="30">
        <v>23</v>
      </c>
      <c r="K4" s="30">
        <v>24</v>
      </c>
      <c r="L4" s="30">
        <v>25</v>
      </c>
      <c r="M4" s="30">
        <v>26</v>
      </c>
      <c r="N4" s="30">
        <v>27</v>
      </c>
      <c r="O4" s="30">
        <v>28</v>
      </c>
      <c r="P4" s="30">
        <v>29</v>
      </c>
      <c r="Q4" s="30">
        <v>30</v>
      </c>
      <c r="R4" s="30">
        <v>31</v>
      </c>
      <c r="S4" s="30">
        <v>32</v>
      </c>
      <c r="T4" s="30">
        <v>33</v>
      </c>
      <c r="U4" s="30">
        <v>34</v>
      </c>
      <c r="V4" s="30">
        <v>35</v>
      </c>
      <c r="W4" s="30">
        <v>36</v>
      </c>
      <c r="X4" s="30">
        <v>37</v>
      </c>
      <c r="Y4" s="30">
        <v>38</v>
      </c>
      <c r="Z4" s="30">
        <v>39</v>
      </c>
      <c r="AA4" s="30">
        <v>40</v>
      </c>
      <c r="AB4" s="30">
        <v>41</v>
      </c>
      <c r="AC4" s="30">
        <v>42</v>
      </c>
      <c r="AD4" s="30">
        <v>43</v>
      </c>
      <c r="AE4" s="30">
        <v>44</v>
      </c>
      <c r="AF4" s="30">
        <v>45</v>
      </c>
      <c r="AG4" s="30">
        <v>46</v>
      </c>
      <c r="AH4" s="30">
        <v>47</v>
      </c>
      <c r="AI4" s="30">
        <v>48</v>
      </c>
      <c r="AJ4" s="30">
        <v>49</v>
      </c>
      <c r="AK4" s="30">
        <v>50</v>
      </c>
      <c r="AL4" s="30">
        <v>51</v>
      </c>
      <c r="AM4" s="30">
        <v>52</v>
      </c>
      <c r="AN4" s="30">
        <v>53</v>
      </c>
      <c r="AO4" s="30">
        <v>54</v>
      </c>
      <c r="AP4" s="30">
        <v>55</v>
      </c>
      <c r="AQ4" s="30">
        <v>56</v>
      </c>
      <c r="AR4" s="30">
        <v>57</v>
      </c>
      <c r="AS4" s="30">
        <v>58</v>
      </c>
      <c r="AT4" s="30">
        <v>59</v>
      </c>
      <c r="AU4" s="30">
        <v>60</v>
      </c>
      <c r="AV4" s="30">
        <v>61</v>
      </c>
      <c r="AW4" s="30">
        <v>62</v>
      </c>
      <c r="AX4" s="30">
        <v>63</v>
      </c>
      <c r="AY4" s="30">
        <v>64</v>
      </c>
      <c r="AZ4" s="30">
        <v>65</v>
      </c>
      <c r="BA4" s="30">
        <v>66</v>
      </c>
      <c r="BB4" s="30">
        <v>67</v>
      </c>
      <c r="BC4" s="30">
        <v>68</v>
      </c>
      <c r="BD4" s="30">
        <v>69</v>
      </c>
      <c r="BE4" s="30">
        <v>70</v>
      </c>
      <c r="BF4" s="30">
        <v>71</v>
      </c>
      <c r="BG4" s="30">
        <v>72</v>
      </c>
      <c r="BH4" s="30">
        <v>73</v>
      </c>
      <c r="BI4" s="30">
        <v>74</v>
      </c>
      <c r="BJ4" s="30">
        <v>75</v>
      </c>
      <c r="BK4" s="30">
        <v>76</v>
      </c>
      <c r="BL4" s="30">
        <v>77</v>
      </c>
      <c r="BM4" s="30">
        <v>78</v>
      </c>
      <c r="BN4" s="30">
        <v>79</v>
      </c>
      <c r="BO4" s="30">
        <v>80</v>
      </c>
      <c r="BP4" s="30">
        <v>81</v>
      </c>
    </row>
    <row r="5" spans="1:68" s="31" customFormat="1" x14ac:dyDescent="0.3">
      <c r="B5" s="46" t="str">
        <f>IF(SUMPRODUCT(--(NOT(ISERR(SEARCH({"T","Ba"},'CDR Project Planner'!$C5))))),'CDR Project Planner'!B5,"")</f>
        <v>PDR</v>
      </c>
      <c r="C5" s="47" t="str">
        <f>IF(SUMPRODUCT(--(NOT(ISERR(SEARCH({"T","Ba"},'CDR Project Planner'!$C5))))),'CDR Project Planner'!C5,"")</f>
        <v>T</v>
      </c>
      <c r="D5" s="47">
        <f>IF(SUMPRODUCT(--(NOT(ISERR(SEARCH({"T","Ba"},'CDR Project Planner'!$C5))))),'CDR Project Planner'!D5,"")</f>
        <v>22</v>
      </c>
      <c r="E5" s="47">
        <f>IF(SUMPRODUCT(--(NOT(ISERR(SEARCH({"T","Ba"},'CDR Project Planner'!$C5))))),'CDR Project Planner'!E5,"")</f>
        <v>1</v>
      </c>
      <c r="F5" s="47">
        <f>IF(SUMPRODUCT(--(NOT(ISERR(SEARCH({"T","Ba"},'CDR Project Planner'!$C5))))),'CDR Project Planner'!F5,"")</f>
        <v>22</v>
      </c>
      <c r="G5" s="47">
        <f>IF(SUMPRODUCT(--(NOT(ISERR(SEARCH({"T","Ba"},'CDR Project Planner'!$C5))))),'CDR Project Planner'!G5,"")</f>
        <v>1</v>
      </c>
      <c r="H5" s="48">
        <f>IF(SUMPRODUCT(--(NOT(ISERR(SEARCH({"T","Ba"},'CDR Project Planner'!$C5))))),'CDR Project Planner'!H5,"")</f>
        <v>1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68" x14ac:dyDescent="0.3">
      <c r="B6" s="50" t="str">
        <f>IF(SUMPRODUCT(--(NOT(ISERR(SEARCH({"T","Ba"},'CDR Project Planner'!$C6))))),'CDR Project Planner'!B6,"")</f>
        <v>System</v>
      </c>
      <c r="C6" s="43" t="str">
        <f>IF(SUMPRODUCT(--(NOT(ISERR(SEARCH({"T","Ba"},'CDR Project Planner'!$C6))))),'CDR Project Planner'!C6,"")</f>
        <v>P &amp; Br &amp; C &amp; Ba</v>
      </c>
      <c r="D6" s="43"/>
      <c r="E6" s="43"/>
      <c r="F6" s="43"/>
      <c r="G6" s="43"/>
      <c r="H6" s="48">
        <f>IF(SUMPRODUCT(--(NOT(ISERR(SEARCH({"T","Ba"},'CDR Project Planner'!$C6))))),'CDR Project Planner'!H6,"")</f>
        <v>0</v>
      </c>
    </row>
    <row r="7" spans="1:68" s="4" customFormat="1" ht="15" outlineLevel="1" x14ac:dyDescent="0.25">
      <c r="A7" s="1"/>
      <c r="B7" s="42" t="str">
        <f>IF(SUMPRODUCT(--(NOT(ISERR(SEARCH({"T","Ba"},'CDR Project Planner'!$C7))))),'CDR Project Planner'!B7,"")</f>
        <v/>
      </c>
      <c r="C7" s="43" t="str">
        <f>IF(SUMPRODUCT(--(NOT(ISERR(SEARCH({"T","Ba"},'CDR Project Planner'!$C7))))),'CDR Project Planner'!C7,"")</f>
        <v/>
      </c>
      <c r="D7" s="43" t="str">
        <f>IF(SUMPRODUCT(--(NOT(ISERR(SEARCH({"T","Ba"},'CDR Project Planner'!$C7))))),'CDR Project Planner'!D7,"")</f>
        <v/>
      </c>
      <c r="E7" s="43" t="str">
        <f>IF(SUMPRODUCT(--(NOT(ISERR(SEARCH({"T","Ba"},'CDR Project Planner'!$C7))))),'CDR Project Planner'!E7,"")</f>
        <v/>
      </c>
      <c r="F7" s="43" t="str">
        <f>IF(SUMPRODUCT(--(NOT(ISERR(SEARCH({"T","Ba"},'CDR Project Planner'!$C7))))),'CDR Project Planner'!F7,"")</f>
        <v/>
      </c>
      <c r="G7" s="43" t="str">
        <f>IF(SUMPRODUCT(--(NOT(ISERR(SEARCH({"T","Ba"},'CDR Project Planner'!$C7))))),'CDR Project Planner'!G7,"")</f>
        <v/>
      </c>
      <c r="H7" s="48" t="str">
        <f>IF(SUMPRODUCT(--(NOT(ISERR(SEARCH({"T","Ba"},'CDR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42" t="str">
        <f>IF(SUMPRODUCT(--(NOT(ISERR(SEARCH({"T","Ba"},'CDR Project Planner'!$C8))))),'CDR Project Planner'!B8,"")</f>
        <v/>
      </c>
      <c r="C8" s="43" t="str">
        <f>IF(SUMPRODUCT(--(NOT(ISERR(SEARCH({"T","Ba"},'CDR Project Planner'!$C8))))),'CDR Project Planner'!C8,"")</f>
        <v/>
      </c>
      <c r="D8" s="43" t="str">
        <f>IF(SUMPRODUCT(--(NOT(ISERR(SEARCH({"T","Ba"},'CDR Project Planner'!$C8))))),'CDR Project Planner'!D8,"")</f>
        <v/>
      </c>
      <c r="E8" s="43" t="str">
        <f>IF(SUMPRODUCT(--(NOT(ISERR(SEARCH({"T","Ba"},'CDR Project Planner'!$C8))))),'CDR Project Planner'!E8,"")</f>
        <v/>
      </c>
      <c r="F8" s="43" t="str">
        <f>IF(SUMPRODUCT(--(NOT(ISERR(SEARCH({"T","Ba"},'CDR Project Planner'!$C8))))),'CDR Project Planner'!F8,"")</f>
        <v/>
      </c>
      <c r="G8" s="43" t="str">
        <f>IF(SUMPRODUCT(--(NOT(ISERR(SEARCH({"T","Ba"},'CDR Project Planner'!$C8))))),'CDR Project Planner'!G8,"")</f>
        <v/>
      </c>
      <c r="H8" s="48" t="str">
        <f>IF(SUMPRODUCT(--(NOT(ISERR(SEARCH({"T","Ba"},'CDR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2" t="str">
        <f>IF(SUMPRODUCT(--(NOT(ISERR(SEARCH({"T","Ba"},'CDR Project Planner'!$C9))))),'CDR Project Planner'!B9,"")</f>
        <v/>
      </c>
      <c r="C9" s="43" t="str">
        <f>IF(SUMPRODUCT(--(NOT(ISERR(SEARCH({"T","Ba"},'CDR Project Planner'!$C9))))),'CDR Project Planner'!C9,"")</f>
        <v/>
      </c>
      <c r="D9" s="43" t="str">
        <f>IF(SUMPRODUCT(--(NOT(ISERR(SEARCH({"T","Ba"},'CDR Project Planner'!$C9))))),'CDR Project Planner'!D9,"")</f>
        <v/>
      </c>
      <c r="E9" s="43" t="str">
        <f>IF(SUMPRODUCT(--(NOT(ISERR(SEARCH({"T","Ba"},'CDR Project Planner'!$C9))))),'CDR Project Planner'!E9,"")</f>
        <v/>
      </c>
      <c r="F9" s="43" t="str">
        <f>IF(SUMPRODUCT(--(NOT(ISERR(SEARCH({"T","Ba"},'CDR Project Planner'!$C9))))),'CDR Project Planner'!F9,"")</f>
        <v/>
      </c>
      <c r="G9" s="43" t="str">
        <f>IF(SUMPRODUCT(--(NOT(ISERR(SEARCH({"T","Ba"},'CDR Project Planner'!$C9))))),'CDR Project Planner'!G9,"")</f>
        <v/>
      </c>
      <c r="H9" s="48" t="str">
        <f>IF(SUMPRODUCT(--(NOT(ISERR(SEARCH({"T","Ba"},'CDR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53" t="str">
        <f>IF(SUMPRODUCT(--(NOT(ISERR(SEARCH({"T","Ba"},'CDR Project Planner'!$C10))))),'CDR Project Planner'!B10,"")</f>
        <v>Unit Tests - GUI mapping</v>
      </c>
      <c r="C10" s="43" t="str">
        <f>IF(SUMPRODUCT(--(NOT(ISERR(SEARCH({"T","Ba"},'CDR Project Planner'!$C10))))),'CDR Project Planner'!C10,"")</f>
        <v>Ba</v>
      </c>
      <c r="D10" s="43">
        <f>IF(SUMPRODUCT(--(NOT(ISERR(SEARCH({"T","Ba"},'CDR Project Planner'!$C10))))),'CDR Project Planner'!D10,"")</f>
        <v>23</v>
      </c>
      <c r="E10" s="43">
        <f>IF(SUMPRODUCT(--(NOT(ISERR(SEARCH({"T","Ba"},'CDR Project Planner'!$C10))))),'CDR Project Planner'!E10,"")</f>
        <v>5</v>
      </c>
      <c r="F10" s="43">
        <f>IF(SUMPRODUCT(--(NOT(ISERR(SEARCH({"T","Ba"},'CDR Project Planner'!$C10))))),'CDR Project Planner'!F10,"")</f>
        <v>0</v>
      </c>
      <c r="G10" s="43">
        <f>IF(SUMPRODUCT(--(NOT(ISERR(SEARCH({"T","Ba"},'CDR Project Planner'!$C10))))),'CDR Project Planner'!G10,"")</f>
        <v>0</v>
      </c>
      <c r="H10" s="48">
        <f>IF(SUMPRODUCT(--(NOT(ISERR(SEARCH({"T","Ba"},'CDR Project Planner'!$C10))))),'CDR Project Planner'!H10,"")</f>
        <v>0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53" t="str">
        <f>IF(SUMPRODUCT(--(NOT(ISERR(SEARCH({"T","Ba"},'CDR Project Planner'!#REF!))))),'CDR Project Planner'!#REF!,"")</f>
        <v/>
      </c>
      <c r="C11" s="43" t="str">
        <f>IF(SUMPRODUCT(--(NOT(ISERR(SEARCH({"T","Ba"},'CDR Project Planner'!#REF!))))),'CDR Project Planner'!#REF!,"")</f>
        <v/>
      </c>
      <c r="D11" s="43" t="str">
        <f>IF(SUMPRODUCT(--(NOT(ISERR(SEARCH({"T","Ba"},'CDR Project Planner'!#REF!))))),'CDR Project Planner'!#REF!,"")</f>
        <v/>
      </c>
      <c r="E11" s="43" t="str">
        <f>IF(SUMPRODUCT(--(NOT(ISERR(SEARCH({"T","Ba"},'CDR Project Planner'!#REF!))))),'CDR Project Planner'!#REF!,"")</f>
        <v/>
      </c>
      <c r="F11" s="43" t="str">
        <f>IF(SUMPRODUCT(--(NOT(ISERR(SEARCH({"T","Ba"},'CDR Project Planner'!#REF!))))),'CDR Project Planner'!#REF!,"")</f>
        <v/>
      </c>
      <c r="G11" s="43" t="str">
        <f>IF(SUMPRODUCT(--(NOT(ISERR(SEARCH({"T","Ba"},'CDR Project Planner'!#REF!))))),'CDR Project Planner'!#REF!,"")</f>
        <v/>
      </c>
      <c r="H11" s="48" t="str">
        <f>IF(SUMPRODUCT(--(NOT(ISERR(SEARCH({"T","Ba"},'CDR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53" t="str">
        <f>IF(SUMPRODUCT(--(NOT(ISERR(SEARCH({"T","Ba"},'CDR Project Planner'!$C11))))),'CDR Project Planner'!B11,"")</f>
        <v>Unit Tests - Motors</v>
      </c>
      <c r="C12" s="43" t="str">
        <f>IF(SUMPRODUCT(--(NOT(ISERR(SEARCH({"T","Ba"},'CDR Project Planner'!$C11))))),'CDR Project Planner'!C11,"")</f>
        <v>Ba</v>
      </c>
      <c r="D12" s="43">
        <f>IF(SUMPRODUCT(--(NOT(ISERR(SEARCH({"T","Ba"},'CDR Project Planner'!$C11))))),'CDR Project Planner'!D11,"")</f>
        <v>23</v>
      </c>
      <c r="E12" s="43">
        <f>IF(SUMPRODUCT(--(NOT(ISERR(SEARCH({"T","Ba"},'CDR Project Planner'!$C11))))),'CDR Project Planner'!E11,"")</f>
        <v>10</v>
      </c>
      <c r="F12" s="43">
        <f>IF(SUMPRODUCT(--(NOT(ISERR(SEARCH({"T","Ba"},'CDR Project Planner'!$C11))))),'CDR Project Planner'!F11,"")</f>
        <v>0</v>
      </c>
      <c r="G12" s="43">
        <f>IF(SUMPRODUCT(--(NOT(ISERR(SEARCH({"T","Ba"},'CDR Project Planner'!$C11))))),'CDR Project Planner'!G11,"")</f>
        <v>0</v>
      </c>
      <c r="H12" s="48">
        <f>IF(SUMPRODUCT(--(NOT(ISERR(SEARCH({"T","Ba"},'CDR Project Planner'!$C11))))),'CDR Project Planner'!H11,"")</f>
        <v>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51" t="str">
        <f>IF(SUMPRODUCT(--(NOT(ISERR(SEARCH({"T","Ba"},'CDR Project Planner'!$C14))))),'CDR Project Planner'!B14,"")</f>
        <v/>
      </c>
      <c r="C13" s="43" t="str">
        <f>IF(SUMPRODUCT(--(NOT(ISERR(SEARCH({"T","Ba"},'CDR Project Planner'!$C14))))),'CDR Project Planner'!C14,"")</f>
        <v/>
      </c>
      <c r="D13" s="43" t="str">
        <f>IF(SUMPRODUCT(--(NOT(ISERR(SEARCH({"T","Ba"},'CDR Project Planner'!$C14))))),'CDR Project Planner'!D14,"")</f>
        <v/>
      </c>
      <c r="E13" s="43" t="str">
        <f>IF(SUMPRODUCT(--(NOT(ISERR(SEARCH({"T","Ba"},'CDR Project Planner'!$C14))))),'CDR Project Planner'!E14,"")</f>
        <v/>
      </c>
      <c r="F13" s="43" t="str">
        <f>IF(SUMPRODUCT(--(NOT(ISERR(SEARCH({"T","Ba"},'CDR Project Planner'!$C14))))),'CDR Project Planner'!F14,"")</f>
        <v/>
      </c>
      <c r="G13" s="43" t="str">
        <f>IF(SUMPRODUCT(--(NOT(ISERR(SEARCH({"T","Ba"},'CDR Project Planner'!$C14))))),'CDR Project Planner'!G14,"")</f>
        <v/>
      </c>
      <c r="H13" s="48" t="str">
        <f>IF(SUMPRODUCT(--(NOT(ISERR(SEARCH({"T","Ba"},'CDR Project Planner'!$C14))))),'CDR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51" t="str">
        <f>IF(SUMPRODUCT(--(NOT(ISERR(SEARCH({"T","Ba"},'CDR Project Planner'!$C16))))),'CDR Project Planner'!B16,"")</f>
        <v xml:space="preserve">   Calibration - Ultrasonic sensors</v>
      </c>
      <c r="C14" s="43" t="str">
        <f>IF(SUMPRODUCT(--(NOT(ISERR(SEARCH({"T","Ba"},'CDR Project Planner'!$C16))))),'CDR Project Planner'!C16,"")</f>
        <v>Ba &amp; Br &amp; P</v>
      </c>
      <c r="D14" s="43">
        <f>IF(SUMPRODUCT(--(NOT(ISERR(SEARCH({"T","Ba"},'CDR Project Planner'!$C16))))),'CDR Project Planner'!D16,"")</f>
        <v>31</v>
      </c>
      <c r="E14" s="43">
        <f>IF(SUMPRODUCT(--(NOT(ISERR(SEARCH({"T","Ba"},'CDR Project Planner'!$C16))))),'CDR Project Planner'!E16,"")</f>
        <v>7</v>
      </c>
      <c r="F14" s="43">
        <f>IF(SUMPRODUCT(--(NOT(ISERR(SEARCH({"T","Ba"},'CDR Project Planner'!$C16))))),'CDR Project Planner'!F16,"")</f>
        <v>0</v>
      </c>
      <c r="G14" s="43">
        <f>IF(SUMPRODUCT(--(NOT(ISERR(SEARCH({"T","Ba"},'CDR Project Planner'!$C16))))),'CDR Project Planner'!G16,"")</f>
        <v>0</v>
      </c>
      <c r="H14" s="48">
        <f>IF(SUMPRODUCT(--(NOT(ISERR(SEARCH({"T","Ba"},'CDR Project Planner'!$C16))))),'CDR Project Planner'!H16,"")</f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42" t="str">
        <f>IF(SUMPRODUCT(--(NOT(ISERR(SEARCH({"T","Ba"},'CDR Project Planner'!$C17))))),'CDR Project Planner'!B17,"")</f>
        <v/>
      </c>
      <c r="C15" s="43" t="str">
        <f>IF(SUMPRODUCT(--(NOT(ISERR(SEARCH({"T","Ba"},'CDR Project Planner'!$C17))))),'CDR Project Planner'!C17,"")</f>
        <v/>
      </c>
      <c r="D15" s="43" t="str">
        <f>IF(SUMPRODUCT(--(NOT(ISERR(SEARCH({"T","Ba"},'CDR Project Planner'!$C17))))),'CDR Project Planner'!D17,"")</f>
        <v/>
      </c>
      <c r="E15" s="43" t="str">
        <f>IF(SUMPRODUCT(--(NOT(ISERR(SEARCH({"T","Ba"},'CDR Project Planner'!$C17))))),'CDR Project Planner'!E17,"")</f>
        <v/>
      </c>
      <c r="F15" s="43" t="str">
        <f>IF(SUMPRODUCT(--(NOT(ISERR(SEARCH({"T","Ba"},'CDR Project Planner'!$C17))))),'CDR Project Planner'!F17,"")</f>
        <v/>
      </c>
      <c r="G15" s="43" t="str">
        <f>IF(SUMPRODUCT(--(NOT(ISERR(SEARCH({"T","Ba"},'CDR Project Planner'!$C17))))),'CDR Project Planner'!G17,"")</f>
        <v/>
      </c>
      <c r="H15" s="48" t="str">
        <f>IF(SUMPRODUCT(--(NOT(ISERR(SEARCH({"T","Ba"},'CDR Project Planner'!$C17))))),'CDR Project Planner'!H17,"")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42" t="str">
        <f>IF(SUMPRODUCT(--(NOT(ISERR(SEARCH({"T","Ba"},'CDR Project Planner'!$C18))))),'CDR Project Planner'!B18,"")</f>
        <v/>
      </c>
      <c r="C16" s="43" t="str">
        <f>IF(SUMPRODUCT(--(NOT(ISERR(SEARCH({"T","Ba"},'CDR Project Planner'!$C18))))),'CDR Project Planner'!C18,"")</f>
        <v/>
      </c>
      <c r="D16" s="43" t="str">
        <f>IF(SUMPRODUCT(--(NOT(ISERR(SEARCH({"T","Ba"},'CDR Project Planner'!$C18))))),'CDR Project Planner'!D18,"")</f>
        <v/>
      </c>
      <c r="E16" s="43" t="str">
        <f>IF(SUMPRODUCT(--(NOT(ISERR(SEARCH({"T","Ba"},'CDR Project Planner'!$C18))))),'CDR Project Planner'!E18,"")</f>
        <v/>
      </c>
      <c r="F16" s="43" t="str">
        <f>IF(SUMPRODUCT(--(NOT(ISERR(SEARCH({"T","Ba"},'CDR Project Planner'!$C18))))),'CDR Project Planner'!F18,"")</f>
        <v/>
      </c>
      <c r="G16" s="43" t="str">
        <f>IF(SUMPRODUCT(--(NOT(ISERR(SEARCH({"T","Ba"},'CDR Project Planner'!$C18))))),'CDR Project Planner'!G18,"")</f>
        <v/>
      </c>
      <c r="H16" s="48" t="str">
        <f>IF(SUMPRODUCT(--(NOT(ISERR(SEARCH({"T","Ba"},'CDR Project Planner'!$C18))))),'CDR Project Planner'!H18,"")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2" t="str">
        <f>IF(SUMPRODUCT(--(NOT(ISERR(SEARCH({"T","Ba"},'CDR Project Planner'!$C19))))),'CDR Project Planner'!B19,"")</f>
        <v/>
      </c>
      <c r="C17" s="43" t="str">
        <f>IF(SUMPRODUCT(--(NOT(ISERR(SEARCH({"T","Ba"},'CDR Project Planner'!$C19))))),'CDR Project Planner'!C19,"")</f>
        <v/>
      </c>
      <c r="D17" s="43" t="str">
        <f>IF(SUMPRODUCT(--(NOT(ISERR(SEARCH({"T","Ba"},'CDR Project Planner'!$C19))))),'CDR Project Planner'!D19,"")</f>
        <v/>
      </c>
      <c r="E17" s="43" t="str">
        <f>IF(SUMPRODUCT(--(NOT(ISERR(SEARCH({"T","Ba"},'CDR Project Planner'!$C19))))),'CDR Project Planner'!E19,"")</f>
        <v/>
      </c>
      <c r="F17" s="43" t="str">
        <f>IF(SUMPRODUCT(--(NOT(ISERR(SEARCH({"T","Ba"},'CDR Project Planner'!$C19))))),'CDR Project Planner'!F19,"")</f>
        <v/>
      </c>
      <c r="G17" s="43" t="str">
        <f>IF(SUMPRODUCT(--(NOT(ISERR(SEARCH({"T","Ba"},'CDR Project Planner'!$C19))))),'CDR Project Planner'!G19,"")</f>
        <v/>
      </c>
      <c r="H17" s="48" t="str">
        <f>IF(SUMPRODUCT(--(NOT(ISERR(SEARCH({"T","Ba"},'CDR Project Planner'!$C19))))),'CDR Project Planner'!H19,"")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2" t="str">
        <f>IF(SUMPRODUCT(--(NOT(ISERR(SEARCH({"T","Ba"},'CDR Project Planner'!#REF!))))),'CDR Project Planner'!#REF!,"")</f>
        <v/>
      </c>
      <c r="C18" s="43" t="str">
        <f>IF(SUMPRODUCT(--(NOT(ISERR(SEARCH({"T","Ba"},'CDR Project Planner'!#REF!))))),'CDR Project Planner'!#REF!,"")</f>
        <v/>
      </c>
      <c r="D18" s="43" t="str">
        <f>IF(SUMPRODUCT(--(NOT(ISERR(SEARCH({"T","Ba"},'CDR Project Planner'!#REF!))))),'CDR Project Planner'!#REF!,"")</f>
        <v/>
      </c>
      <c r="E18" s="43" t="str">
        <f>IF(SUMPRODUCT(--(NOT(ISERR(SEARCH({"T","Ba"},'CDR Project Planner'!#REF!))))),'CDR Project Planner'!#REF!,"")</f>
        <v/>
      </c>
      <c r="F18" s="43" t="str">
        <f>IF(SUMPRODUCT(--(NOT(ISERR(SEARCH({"T","Ba"},'CDR Project Planner'!#REF!))))),'CDR Project Planner'!#REF!,"")</f>
        <v/>
      </c>
      <c r="G18" s="43" t="str">
        <f>IF(SUMPRODUCT(--(NOT(ISERR(SEARCH({"T","Ba"},'CDR Project Planner'!#REF!))))),'CDR Project Planner'!#REF!,"")</f>
        <v/>
      </c>
      <c r="H18" s="48" t="str">
        <f>IF(SUMPRODUCT(--(NOT(ISERR(SEARCH({"T","Ba"},'CDR Project Planner'!#REF!))))),'CDR Project Planner'!#REF!,"")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2" t="str">
        <f>IF(SUMPRODUCT(--(NOT(ISERR(SEARCH({"T","Ba"},'CDR Project Planner'!#REF!))))),'CDR Project Planner'!#REF!,"")</f>
        <v/>
      </c>
      <c r="C19" s="43" t="str">
        <f>IF(SUMPRODUCT(--(NOT(ISERR(SEARCH({"T","Ba"},'CDR Project Planner'!#REF!))))),'CDR Project Planner'!#REF!,"")</f>
        <v/>
      </c>
      <c r="D19" s="43" t="str">
        <f>IF(SUMPRODUCT(--(NOT(ISERR(SEARCH({"T","Ba"},'CDR Project Planner'!#REF!))))),'CDR Project Planner'!#REF!,"")</f>
        <v/>
      </c>
      <c r="E19" s="43" t="str">
        <f>IF(SUMPRODUCT(--(NOT(ISERR(SEARCH({"T","Ba"},'CDR Project Planner'!#REF!))))),'CDR Project Planner'!#REF!,"")</f>
        <v/>
      </c>
      <c r="F19" s="43" t="str">
        <f>IF(SUMPRODUCT(--(NOT(ISERR(SEARCH({"T","Ba"},'CDR Project Planner'!#REF!))))),'CDR Project Planner'!#REF!,"")</f>
        <v/>
      </c>
      <c r="G19" s="43" t="str">
        <f>IF(SUMPRODUCT(--(NOT(ISERR(SEARCH({"T","Ba"},'CDR Project Planner'!#REF!))))),'CDR Project Planner'!#REF!,"")</f>
        <v/>
      </c>
      <c r="H19" s="54" t="str">
        <f>IF(SUMPRODUCT(--(NOT(ISERR(SEARCH({"T","Ba"},'CDR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2" t="str">
        <f>IF(SUMPRODUCT(--(NOT(ISERR(SEARCH({"T","Ba"},'CDR Project Planner'!#REF!))))),'CDR Project Planner'!#REF!,"")</f>
        <v/>
      </c>
      <c r="C20" s="43" t="str">
        <f>IF(SUMPRODUCT(--(NOT(ISERR(SEARCH({"T","Ba"},'CDR Project Planner'!#REF!))))),'CDR Project Planner'!#REF!,"")</f>
        <v/>
      </c>
      <c r="D20" s="43" t="str">
        <f>IF(SUMPRODUCT(--(NOT(ISERR(SEARCH({"T","Ba"},'CDR Project Planner'!#REF!))))),'CDR Project Planner'!#REF!,"")</f>
        <v/>
      </c>
      <c r="E20" s="43" t="str">
        <f>IF(SUMPRODUCT(--(NOT(ISERR(SEARCH({"T","Ba"},'CDR Project Planner'!#REF!))))),'CDR Project Planner'!#REF!,"")</f>
        <v/>
      </c>
      <c r="F20" s="43" t="str">
        <f>IF(SUMPRODUCT(--(NOT(ISERR(SEARCH({"T","Ba"},'CDR Project Planner'!#REF!))))),'CDR Project Planner'!#REF!,"")</f>
        <v/>
      </c>
      <c r="G20" s="43" t="str">
        <f>IF(SUMPRODUCT(--(NOT(ISERR(SEARCH({"T","Ba"},'CDR Project Planner'!#REF!))))),'CDR Project Planner'!#REF!,"")</f>
        <v/>
      </c>
      <c r="H20" s="54" t="str">
        <f>IF(SUMPRODUCT(--(NOT(ISERR(SEARCH({"T","Ba"},'CDR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42" t="str">
        <f>IF(SUMPRODUCT(--(NOT(ISERR(SEARCH({"T","Ba"},'CDR Project Planner'!$C21))))),'CDR Project Planner'!B21,"")</f>
        <v/>
      </c>
      <c r="C21" s="43" t="str">
        <f>IF(SUMPRODUCT(--(NOT(ISERR(SEARCH({"T","Ba"},'CDR Project Planner'!$C21))))),'CDR Project Planner'!C21,"")</f>
        <v/>
      </c>
      <c r="D21" s="43" t="str">
        <f>IF(SUMPRODUCT(--(NOT(ISERR(SEARCH({"T","Ba"},'CDR Project Planner'!$C21))))),'CDR Project Planner'!D21,"")</f>
        <v/>
      </c>
      <c r="E21" s="43" t="str">
        <f>IF(SUMPRODUCT(--(NOT(ISERR(SEARCH({"T","Ba"},'CDR Project Planner'!$C21))))),'CDR Project Planner'!E21,"")</f>
        <v/>
      </c>
      <c r="F21" s="43" t="str">
        <f>IF(SUMPRODUCT(--(NOT(ISERR(SEARCH({"T","Ba"},'CDR Project Planner'!$C21))))),'CDR Project Planner'!F21,"")</f>
        <v/>
      </c>
      <c r="G21" s="43" t="str">
        <f>IF(SUMPRODUCT(--(NOT(ISERR(SEARCH({"T","Ba"},'CDR Project Planner'!$C21))))),'CDR Project Planner'!G21,"")</f>
        <v/>
      </c>
      <c r="H21" s="54" t="str">
        <f>IF(SUMPRODUCT(--(NOT(ISERR(SEARCH({"T","Ba"},'CDR Project Planner'!$C21))))),'CDR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2" t="str">
        <f>IF(SUMPRODUCT(--(NOT(ISERR(SEARCH({"T","Ba"},'CDR Project Planner'!$C22))))),'CDR Project Planner'!B22,"")</f>
        <v/>
      </c>
      <c r="C22" s="43" t="str">
        <f>IF(SUMPRODUCT(--(NOT(ISERR(SEARCH({"T","Ba"},'CDR Project Planner'!$C22))))),'CDR Project Planner'!C22,"")</f>
        <v/>
      </c>
      <c r="D22" s="43" t="str">
        <f>IF(SUMPRODUCT(--(NOT(ISERR(SEARCH({"T","Ba"},'CDR Project Planner'!$C22))))),'CDR Project Planner'!D22,"")</f>
        <v/>
      </c>
      <c r="E22" s="43" t="str">
        <f>IF(SUMPRODUCT(--(NOT(ISERR(SEARCH({"T","Ba"},'CDR Project Planner'!$C22))))),'CDR Project Planner'!E22,"")</f>
        <v/>
      </c>
      <c r="F22" s="43" t="str">
        <f>IF(SUMPRODUCT(--(NOT(ISERR(SEARCH({"T","Ba"},'CDR Project Planner'!$C22))))),'CDR Project Planner'!F22,"")</f>
        <v/>
      </c>
      <c r="G22" s="43" t="str">
        <f>IF(SUMPRODUCT(--(NOT(ISERR(SEARCH({"T","Ba"},'CDR Project Planner'!$C22))))),'CDR Project Planner'!G22,"")</f>
        <v/>
      </c>
      <c r="H22" s="54" t="str">
        <f>IF(SUMPRODUCT(--(NOT(ISERR(SEARCH({"T","Ba"},'CDR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2" t="str">
        <f>IF(SUMPRODUCT(--(NOT(ISERR(SEARCH({"T","Ba"},'CDR Project Planner'!$C23))))),'CDR Project Planner'!B23,"")</f>
        <v/>
      </c>
      <c r="C23" s="43" t="str">
        <f>IF(SUMPRODUCT(--(NOT(ISERR(SEARCH({"T","Ba"},'CDR Project Planner'!$C23))))),'CDR Project Planner'!C23,"")</f>
        <v/>
      </c>
      <c r="D23" s="43" t="str">
        <f>IF(SUMPRODUCT(--(NOT(ISERR(SEARCH({"T","Ba"},'CDR Project Planner'!$C23))))),'CDR Project Planner'!D23,"")</f>
        <v/>
      </c>
      <c r="E23" s="43" t="str">
        <f>IF(SUMPRODUCT(--(NOT(ISERR(SEARCH({"T","Ba"},'CDR Project Planner'!$C23))))),'CDR Project Planner'!E23,"")</f>
        <v/>
      </c>
      <c r="F23" s="43" t="str">
        <f>IF(SUMPRODUCT(--(NOT(ISERR(SEARCH({"T","Ba"},'CDR Project Planner'!$C23))))),'CDR Project Planner'!F23,"")</f>
        <v/>
      </c>
      <c r="G23" s="43" t="str">
        <f>IF(SUMPRODUCT(--(NOT(ISERR(SEARCH({"T","Ba"},'CDR Project Planner'!$C23))))),'CDR Project Planner'!G23,"")</f>
        <v/>
      </c>
      <c r="H23" s="54" t="str">
        <f>IF(SUMPRODUCT(--(NOT(ISERR(SEARCH({"T","Ba"},'CDR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2" t="str">
        <f>IF(SUMPRODUCT(--(NOT(ISERR(SEARCH({"T","Ba"},'CDR Project Planner'!$C24))))),'CDR Project Planner'!B24,"")</f>
        <v/>
      </c>
      <c r="C24" s="43" t="str">
        <f>IF(SUMPRODUCT(--(NOT(ISERR(SEARCH({"T","Ba"},'CDR Project Planner'!$C24))))),'CDR Project Planner'!C24,"")</f>
        <v/>
      </c>
      <c r="D24" s="43" t="str">
        <f>IF(SUMPRODUCT(--(NOT(ISERR(SEARCH({"T","Ba"},'CDR Project Planner'!$C24))))),'CDR Project Planner'!D24,"")</f>
        <v/>
      </c>
      <c r="E24" s="43" t="str">
        <f>IF(SUMPRODUCT(--(NOT(ISERR(SEARCH({"T","Ba"},'CDR Project Planner'!$C24))))),'CDR Project Planner'!E24,"")</f>
        <v/>
      </c>
      <c r="F24" s="43" t="str">
        <f>IF(SUMPRODUCT(--(NOT(ISERR(SEARCH({"T","Ba"},'CDR Project Planner'!$C24))))),'CDR Project Planner'!F24,"")</f>
        <v/>
      </c>
      <c r="G24" s="43" t="str">
        <f>IF(SUMPRODUCT(--(NOT(ISERR(SEARCH({"T","Ba"},'CDR Project Planner'!$C24))))),'CDR Project Planner'!G24,"")</f>
        <v/>
      </c>
      <c r="H24" s="54" t="str">
        <f>IF(SUMPRODUCT(--(NOT(ISERR(SEARCH({"T","Ba"},'CDR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2" t="str">
        <f>IF(SUMPRODUCT(--(NOT(ISERR(SEARCH({"T","Ba"},'CDR Project Planner'!#REF!))))),'CDR Project Planner'!#REF!,"")</f>
        <v/>
      </c>
      <c r="C25" s="43" t="str">
        <f>IF(SUMPRODUCT(--(NOT(ISERR(SEARCH({"T","Ba"},'CDR Project Planner'!#REF!))))),'CDR Project Planner'!#REF!,"")</f>
        <v/>
      </c>
      <c r="D25" s="43" t="str">
        <f>IF(SUMPRODUCT(--(NOT(ISERR(SEARCH({"T","Ba"},'CDR Project Planner'!#REF!))))),'CDR Project Planner'!#REF!,"")</f>
        <v/>
      </c>
      <c r="E25" s="43" t="str">
        <f>IF(SUMPRODUCT(--(NOT(ISERR(SEARCH({"T","Ba"},'CDR Project Planner'!#REF!))))),'CDR Project Planner'!#REF!,"")</f>
        <v/>
      </c>
      <c r="F25" s="43" t="str">
        <f>IF(SUMPRODUCT(--(NOT(ISERR(SEARCH({"T","Ba"},'CDR Project Planner'!#REF!))))),'CDR Project Planner'!#REF!,"")</f>
        <v/>
      </c>
      <c r="G25" s="43" t="str">
        <f>IF(SUMPRODUCT(--(NOT(ISERR(SEARCH({"T","Ba"},'CDR Project Planner'!#REF!))))),'CDR Project Planner'!#REF!,"")</f>
        <v/>
      </c>
      <c r="H25" s="54" t="str">
        <f>IF(SUMPRODUCT(--(NOT(ISERR(SEARCH({"T","Ba"},'CDR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42" t="str">
        <f>IF(SUMPRODUCT(--(NOT(ISERR(SEARCH({"T","Ba"},'CDR Project Planner'!$C28))))),'CDR Project Planner'!B28,"")</f>
        <v/>
      </c>
      <c r="C26" s="43" t="str">
        <f>IF(SUMPRODUCT(--(NOT(ISERR(SEARCH({"T","Ba"},'CDR Project Planner'!$C28))))),'CDR Project Planner'!C28,"")</f>
        <v/>
      </c>
      <c r="D26" s="43" t="str">
        <f>IF(SUMPRODUCT(--(NOT(ISERR(SEARCH({"T","Ba"},'CDR Project Planner'!$C28))))),'CDR Project Planner'!D28,"")</f>
        <v/>
      </c>
      <c r="E26" s="43" t="str">
        <f>IF(SUMPRODUCT(--(NOT(ISERR(SEARCH({"T","Ba"},'CDR Project Planner'!$C28))))),'CDR Project Planner'!E28,"")</f>
        <v/>
      </c>
      <c r="F26" s="43" t="str">
        <f>IF(SUMPRODUCT(--(NOT(ISERR(SEARCH({"T","Ba"},'CDR Project Planner'!$C28))))),'CDR Project Planner'!F28,"")</f>
        <v/>
      </c>
      <c r="G26" s="43" t="str">
        <f>IF(SUMPRODUCT(--(NOT(ISERR(SEARCH({"T","Ba"},'CDR Project Planner'!$C28))))),'CDR Project Planner'!G28,"")</f>
        <v/>
      </c>
      <c r="H26" s="54" t="str">
        <f>IF(SUMPRODUCT(--(NOT(ISERR(SEARCH({"T","Ba"},'CDR Project Planner'!$C28))))),'CDR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outlineLevel="1" x14ac:dyDescent="0.25">
      <c r="A27" s="1"/>
      <c r="B27" s="42" t="str">
        <f>IF(SUMPRODUCT(--(NOT(ISERR(SEARCH({"T","Ba"},'CDR Project Planner'!$C29))))),'CDR Project Planner'!B29,"")</f>
        <v/>
      </c>
      <c r="C27" s="43" t="str">
        <f>IF(SUMPRODUCT(--(NOT(ISERR(SEARCH({"T","Ba"},'CDR Project Planner'!$C29))))),'CDR Project Planner'!C29,"")</f>
        <v/>
      </c>
      <c r="D27" s="43" t="str">
        <f>IF(SUMPRODUCT(--(NOT(ISERR(SEARCH({"T","Ba"},'CDR Project Planner'!$C29))))),'CDR Project Planner'!D29,"")</f>
        <v/>
      </c>
      <c r="E27" s="43" t="str">
        <f>IF(SUMPRODUCT(--(NOT(ISERR(SEARCH({"T","Ba"},'CDR Project Planner'!$C29))))),'CDR Project Planner'!E29,"")</f>
        <v/>
      </c>
      <c r="F27" s="43" t="str">
        <f>IF(SUMPRODUCT(--(NOT(ISERR(SEARCH({"T","Ba"},'CDR Project Planner'!$C29))))),'CDR Project Planner'!F29,"")</f>
        <v/>
      </c>
      <c r="G27" s="43" t="str">
        <f>IF(SUMPRODUCT(--(NOT(ISERR(SEARCH({"T","Ba"},'CDR Project Planner'!$C29))))),'CDR Project Planner'!G29,"")</f>
        <v/>
      </c>
      <c r="H27" s="54" t="str">
        <f>IF(SUMPRODUCT(--(NOT(ISERR(SEARCH({"T","Ba"},'CDR Project Planner'!$C29))))),'CDR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2" t="str">
        <f>IF(SUMPRODUCT(--(NOT(ISERR(SEARCH({"T","Ba"},'CDR Project Planner'!#REF!))))),'CDR Project Planner'!#REF!,"")</f>
        <v/>
      </c>
      <c r="C28" s="43" t="str">
        <f>IF(SUMPRODUCT(--(NOT(ISERR(SEARCH({"T","Ba"},'CDR Project Planner'!#REF!))))),'CDR Project Planner'!#REF!,"")</f>
        <v/>
      </c>
      <c r="D28" s="43" t="str">
        <f>IF(SUMPRODUCT(--(NOT(ISERR(SEARCH({"T","Ba"},'CDR Project Planner'!#REF!))))),'CDR Project Planner'!#REF!,"")</f>
        <v/>
      </c>
      <c r="E28" s="43" t="str">
        <f>IF(SUMPRODUCT(--(NOT(ISERR(SEARCH({"T","Ba"},'CDR Project Planner'!#REF!))))),'CDR Project Planner'!#REF!,"")</f>
        <v/>
      </c>
      <c r="F28" s="43" t="str">
        <f>IF(SUMPRODUCT(--(NOT(ISERR(SEARCH({"T","Ba"},'CDR Project Planner'!#REF!))))),'CDR Project Planner'!#REF!,"")</f>
        <v/>
      </c>
      <c r="G28" s="43" t="str">
        <f>IF(SUMPRODUCT(--(NOT(ISERR(SEARCH({"T","Ba"},'CDR Project Planner'!#REF!))))),'CDR Project Planner'!#REF!,"")</f>
        <v/>
      </c>
      <c r="H28" s="54" t="str">
        <f>IF(SUMPRODUCT(--(NOT(ISERR(SEARCH({"T","Ba"},'CDR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x14ac:dyDescent="0.25">
      <c r="A29" s="1"/>
      <c r="B29" s="42" t="str">
        <f>IF(SUMPRODUCT(--(NOT(ISERR(SEARCH({"T","Ba"},'CDR Project Planner'!$C30))))),'CDR Project Planner'!B30,"")</f>
        <v/>
      </c>
      <c r="C29" s="43" t="str">
        <f>IF(SUMPRODUCT(--(NOT(ISERR(SEARCH({"T","Ba"},'CDR Project Planner'!$C30))))),'CDR Project Planner'!C30,"")</f>
        <v/>
      </c>
      <c r="D29" s="43" t="str">
        <f>IF(SUMPRODUCT(--(NOT(ISERR(SEARCH({"T","Ba"},'CDR Project Planner'!$C30))))),'CDR Project Planner'!D30,"")</f>
        <v/>
      </c>
      <c r="E29" s="43" t="str">
        <f>IF(SUMPRODUCT(--(NOT(ISERR(SEARCH({"T","Ba"},'CDR Project Planner'!$C30))))),'CDR Project Planner'!E30,"")</f>
        <v/>
      </c>
      <c r="F29" s="43" t="str">
        <f>IF(SUMPRODUCT(--(NOT(ISERR(SEARCH({"T","Ba"},'CDR Project Planner'!$C30))))),'CDR Project Planner'!F30,"")</f>
        <v/>
      </c>
      <c r="G29" s="43" t="str">
        <f>IF(SUMPRODUCT(--(NOT(ISERR(SEARCH({"T","Ba"},'CDR Project Planner'!$C30))))),'CDR Project Planner'!G30,"")</f>
        <v/>
      </c>
      <c r="H29" s="54" t="str">
        <f>IF(SUMPRODUCT(--(NOT(ISERR(SEARCH({"T","Ba"},'CDR Project Planner'!$C30))))),'CDR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50" t="str">
        <f>IF(SUMPRODUCT(--(NOT(ISERR(SEARCH({"T","Ba"},'CDR Project Planner'!$C35))))),'CDR Project Planner'!B35,"")</f>
        <v>Project Management</v>
      </c>
      <c r="C30" s="43" t="str">
        <f>IF(SUMPRODUCT(--(NOT(ISERR(SEARCH({"T","Ba"},'CDR Project Planner'!$C35))))),'CDR Project Planner'!C35,"")</f>
        <v>An &amp; T &amp; ?</v>
      </c>
      <c r="D30" s="43"/>
      <c r="E30" s="43"/>
      <c r="F30" s="43"/>
      <c r="G30" s="43"/>
      <c r="H30" s="48">
        <f>IF(SUMPRODUCT(--(NOT(ISERR(SEARCH({"T","Ba"},'CDR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42" t="str">
        <f>IF(SUMPRODUCT(--(NOT(ISERR(SEARCH({"T","Ba"},'CDR Project Planner'!$C36))))),'CDR Project Planner'!B36,"")</f>
        <v/>
      </c>
      <c r="C31" s="43" t="str">
        <f>IF(SUMPRODUCT(--(NOT(ISERR(SEARCH({"T","Ba"},'CDR Project Planner'!$C36))))),'CDR Project Planner'!C36,"")</f>
        <v/>
      </c>
      <c r="D31" s="43" t="str">
        <f>IF(SUMPRODUCT(--(NOT(ISERR(SEARCH({"T","Ba"},'CDR Project Planner'!$C36))))),'CDR Project Planner'!D36,"")</f>
        <v/>
      </c>
      <c r="E31" s="43" t="str">
        <f>IF(SUMPRODUCT(--(NOT(ISERR(SEARCH({"T","Ba"},'CDR Project Planner'!$C36))))),'CDR Project Planner'!E36,"")</f>
        <v/>
      </c>
      <c r="F31" s="43" t="str">
        <f>IF(SUMPRODUCT(--(NOT(ISERR(SEARCH({"T","Ba"},'CDR Project Planner'!$C36))))),'CDR Project Planner'!F36,"")</f>
        <v/>
      </c>
      <c r="G31" s="43" t="str">
        <f>IF(SUMPRODUCT(--(NOT(ISERR(SEARCH({"T","Ba"},'CDR Project Planner'!$C36))))),'CDR Project Planner'!G36,"")</f>
        <v/>
      </c>
      <c r="H31" s="48" t="str">
        <f>IF(SUMPRODUCT(--(NOT(ISERR(SEARCH({"T","Ba"},'CDR Project Planner'!$C36))))),'CDR Project Planner'!H36,"")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42" t="str">
        <f>IF(SUMPRODUCT(--(NOT(ISERR(SEARCH({"T","Ba"},'CDR Project Planner'!$C37))))),'CDR Project Planner'!B37,"")</f>
        <v/>
      </c>
      <c r="C32" s="43" t="str">
        <f>IF(SUMPRODUCT(--(NOT(ISERR(SEARCH({"T","Ba"},'CDR Project Planner'!$C37))))),'CDR Project Planner'!C37,"")</f>
        <v/>
      </c>
      <c r="D32" s="43" t="str">
        <f>IF(SUMPRODUCT(--(NOT(ISERR(SEARCH({"T","Ba"},'CDR Project Planner'!$C37))))),'CDR Project Planner'!D37,"")</f>
        <v/>
      </c>
      <c r="E32" s="43" t="str">
        <f>IF(SUMPRODUCT(--(NOT(ISERR(SEARCH({"T","Ba"},'CDR Project Planner'!$C37))))),'CDR Project Planner'!E37,"")</f>
        <v/>
      </c>
      <c r="F32" s="43" t="str">
        <f>IF(SUMPRODUCT(--(NOT(ISERR(SEARCH({"T","Ba"},'CDR Project Planner'!$C37))))),'CDR Project Planner'!F37,"")</f>
        <v/>
      </c>
      <c r="G32" s="43" t="str">
        <f>IF(SUMPRODUCT(--(NOT(ISERR(SEARCH({"T","Ba"},'CDR Project Planner'!$C37))))),'CDR Project Planner'!G37,"")</f>
        <v/>
      </c>
      <c r="H32" s="48" t="str">
        <f>IF(SUMPRODUCT(--(NOT(ISERR(SEARCH({"T","Ba"},'CDR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42" t="str">
        <f>IF(SUMPRODUCT(--(NOT(ISERR(SEARCH({"T","Ba"},'CDR Project Planner'!$C38))))),'CDR Project Planner'!B38,"")</f>
        <v/>
      </c>
      <c r="C33" s="43" t="str">
        <f>IF(SUMPRODUCT(--(NOT(ISERR(SEARCH({"T","Ba"},'CDR Project Planner'!$C38))))),'CDR Project Planner'!C38,"")</f>
        <v/>
      </c>
      <c r="D33" s="43" t="str">
        <f>IF(SUMPRODUCT(--(NOT(ISERR(SEARCH({"T","Ba"},'CDR Project Planner'!$C38))))),'CDR Project Planner'!D38,"")</f>
        <v/>
      </c>
      <c r="E33" s="43" t="str">
        <f>IF(SUMPRODUCT(--(NOT(ISERR(SEARCH({"T","Ba"},'CDR Project Planner'!$C38))))),'CDR Project Planner'!E38,"")</f>
        <v/>
      </c>
      <c r="F33" s="43" t="str">
        <f>IF(SUMPRODUCT(--(NOT(ISERR(SEARCH({"T","Ba"},'CDR Project Planner'!$C38))))),'CDR Project Planner'!F38,"")</f>
        <v/>
      </c>
      <c r="G33" s="43" t="str">
        <f>IF(SUMPRODUCT(--(NOT(ISERR(SEARCH({"T","Ba"},'CDR Project Planner'!$C38))))),'CDR Project Planner'!G38,"")</f>
        <v/>
      </c>
      <c r="H33" s="48" t="str">
        <f>IF(SUMPRODUCT(--(NOT(ISERR(SEARCH({"T","Ba"},'CDR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42" t="str">
        <f>IF(SUMPRODUCT(--(NOT(ISERR(SEARCH({"T","Ba"},'CDR Project Planner'!$C39))))),'CDR Project Planner'!B39,"")</f>
        <v/>
      </c>
      <c r="C34" s="43" t="str">
        <f>IF(SUMPRODUCT(--(NOT(ISERR(SEARCH({"T","Ba"},'CDR Project Planner'!$C39))))),'CDR Project Planner'!C39,"")</f>
        <v/>
      </c>
      <c r="D34" s="43" t="str">
        <f>IF(SUMPRODUCT(--(NOT(ISERR(SEARCH({"T","Ba"},'CDR Project Planner'!$C39))))),'CDR Project Planner'!D39,"")</f>
        <v/>
      </c>
      <c r="E34" s="43" t="str">
        <f>IF(SUMPRODUCT(--(NOT(ISERR(SEARCH({"T","Ba"},'CDR Project Planner'!$C39))))),'CDR Project Planner'!E39,"")</f>
        <v/>
      </c>
      <c r="F34" s="43" t="str">
        <f>IF(SUMPRODUCT(--(NOT(ISERR(SEARCH({"T","Ba"},'CDR Project Planner'!$C39))))),'CDR Project Planner'!F39,"")</f>
        <v/>
      </c>
      <c r="G34" s="43" t="str">
        <f>IF(SUMPRODUCT(--(NOT(ISERR(SEARCH({"T","Ba"},'CDR Project Planner'!$C39))))),'CDR Project Planner'!G39,"")</f>
        <v/>
      </c>
      <c r="H34" s="48" t="str">
        <f>IF(SUMPRODUCT(--(NOT(ISERR(SEARCH({"T","Ba"},'CDR Project Planner'!$C39))))),'CDR Project Planner'!H39,"")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51" t="str">
        <f>IF(SUMPRODUCT(--(NOT(ISERR(SEARCH({"T","Ba"},'CDR Project Planner'!$C40))))),'CDR Project Planner'!B40,"")</f>
        <v>CDR PowerPoint</v>
      </c>
      <c r="C35" s="43" t="str">
        <f>IF(SUMPRODUCT(--(NOT(ISERR(SEARCH({"T","Ba"},'CDR Project Planner'!$C40))))),'CDR Project Planner'!C40,"")</f>
        <v>T</v>
      </c>
      <c r="D35" s="43">
        <f>IF(SUMPRODUCT(--(NOT(ISERR(SEARCH({"T","Ba"},'CDR Project Planner'!$C40))))),'CDR Project Planner'!D40,"")</f>
        <v>45</v>
      </c>
      <c r="E35" s="43">
        <f>IF(SUMPRODUCT(--(NOT(ISERR(SEARCH({"T","Ba"},'CDR Project Planner'!$C40))))),'CDR Project Planner'!E40,"")</f>
        <v>10</v>
      </c>
      <c r="F35" s="43">
        <f>IF(SUMPRODUCT(--(NOT(ISERR(SEARCH({"T","Ba"},'CDR Project Planner'!$C40))))),'CDR Project Planner'!F40,"")</f>
        <v>0</v>
      </c>
      <c r="G35" s="43">
        <f>IF(SUMPRODUCT(--(NOT(ISERR(SEARCH({"T","Ba"},'CDR Project Planner'!$C40))))),'CDR Project Planner'!G40,"")</f>
        <v>0</v>
      </c>
      <c r="H35" s="48">
        <f>IF(SUMPRODUCT(--(NOT(ISERR(SEARCH({"T","Ba"},'CDR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31"/>
      <c r="B36" s="46" t="str">
        <f>IF(SUMPRODUCT(--(NOT(ISERR(SEARCH({"T","Ba"},'CDR Project Planner'!$C41))))),'CDR Project Planner'!B41,"")</f>
        <v>CDR</v>
      </c>
      <c r="C36" s="47" t="str">
        <f>IF(SUMPRODUCT(--(NOT(ISERR(SEARCH({"T","Ba"},'CDR Project Planner'!$C41))))),'CDR Project Planner'!C41,"")</f>
        <v>T</v>
      </c>
      <c r="D36" s="47">
        <f>IF(SUMPRODUCT(--(NOT(ISERR(SEARCH({"T","Ba"},'CDR Project Planner'!$C41))))),'CDR Project Planner'!D41,"")</f>
        <v>55</v>
      </c>
      <c r="E36" s="47">
        <f>IF(SUMPRODUCT(--(NOT(ISERR(SEARCH({"T","Ba"},'CDR Project Planner'!$C41))))),'CDR Project Planner'!E41,"")</f>
        <v>1</v>
      </c>
      <c r="F36" s="47">
        <f>IF(SUMPRODUCT(--(NOT(ISERR(SEARCH({"T","Ba"},'CDR Project Planner'!$C41))))),'CDR Project Planner'!F41,"")</f>
        <v>55</v>
      </c>
      <c r="G36" s="47">
        <f>IF(SUMPRODUCT(--(NOT(ISERR(SEARCH({"T","Ba"},'CDR Project Planner'!$C41))))),'CDR Project Planner'!G41,"")</f>
        <v>1</v>
      </c>
      <c r="H36" s="48">
        <f>IF(SUMPRODUCT(--(NOT(ISERR(SEARCH({"T","Ba"},'CDR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42" t="str">
        <f>IF(SUMPRODUCT(--(NOT(ISERR(SEARCH({"T","Ba"},'CDR Project Planner'!$C42))))),'CDR Project Planner'!B42,"")</f>
        <v/>
      </c>
      <c r="C37" s="43" t="str">
        <f>IF(SUMPRODUCT(--(NOT(ISERR(SEARCH({"T","Ba"},'CDR Project Planner'!$C42))))),'CDR Project Planner'!C42,"")</f>
        <v/>
      </c>
      <c r="D37" s="43" t="str">
        <f>IF(SUMPRODUCT(--(NOT(ISERR(SEARCH({"T","Ba"},'CDR Project Planner'!$C42))))),'CDR Project Planner'!D42,"")</f>
        <v/>
      </c>
      <c r="E37" s="43" t="str">
        <f>IF(SUMPRODUCT(--(NOT(ISERR(SEARCH({"T","Ba"},'CDR Project Planner'!$C42))))),'CDR Project Planner'!E42,"")</f>
        <v/>
      </c>
      <c r="F37" s="43" t="str">
        <f>IF(SUMPRODUCT(--(NOT(ISERR(SEARCH({"T","Ba"},'CDR Project Planner'!$C42))))),'CDR Project Planner'!F42,"")</f>
        <v/>
      </c>
      <c r="G37" s="43" t="str">
        <f>IF(SUMPRODUCT(--(NOT(ISERR(SEARCH({"T","Ba"},'CDR Project Planner'!$C42))))),'CDR Project Planner'!G42,"")</f>
        <v/>
      </c>
      <c r="H37" s="48" t="str">
        <f>IF(SUMPRODUCT(--(NOT(ISERR(SEARCH({"T","Ba"},'CDR Project Planner'!$C42))))),'CDR Project Planner'!H42,"")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2" t="str">
        <f>IF(SUMPRODUCT(--(NOT(ISERR(SEARCH({"T","Ba"},'CDR Project Planner'!$C43))))),'CDR Project Planner'!B43,"")</f>
        <v/>
      </c>
      <c r="C38" s="43" t="str">
        <f>IF(SUMPRODUCT(--(NOT(ISERR(SEARCH({"T","Ba"},'CDR Project Planner'!$C43))))),'CDR Project Planner'!C43,"")</f>
        <v/>
      </c>
      <c r="D38" s="43" t="str">
        <f>IF(SUMPRODUCT(--(NOT(ISERR(SEARCH({"T","Ba"},'CDR Project Planner'!$C43))))),'CDR Project Planner'!D43,"")</f>
        <v/>
      </c>
      <c r="E38" s="43" t="str">
        <f>IF(SUMPRODUCT(--(NOT(ISERR(SEARCH({"T","Ba"},'CDR Project Planner'!$C43))))),'CDR Project Planner'!E43,"")</f>
        <v/>
      </c>
      <c r="F38" s="43" t="str">
        <f>IF(SUMPRODUCT(--(NOT(ISERR(SEARCH({"T","Ba"},'CDR Project Planner'!$C43))))),'CDR Project Planner'!F43,"")</f>
        <v/>
      </c>
      <c r="G38" s="43" t="str">
        <f>IF(SUMPRODUCT(--(NOT(ISERR(SEARCH({"T","Ba"},'CDR Project Planner'!$C43))))),'CDR Project Planner'!G43,"")</f>
        <v/>
      </c>
      <c r="H38" s="48" t="str">
        <f>IF(SUMPRODUCT(--(NOT(ISERR(SEARCH({"T","Ba"},'CDR Project Planner'!$C43))))),'CDR Project Planner'!H43,"")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42" t="str">
        <f>IF(SUMPRODUCT(--(NOT(ISERR(SEARCH({"T","Ba"},'CDR Project Planner'!$C44))))),'CDR Project Planner'!B44,"")</f>
        <v/>
      </c>
      <c r="C39" s="43" t="str">
        <f>IF(SUMPRODUCT(--(NOT(ISERR(SEARCH({"T","Ba"},'CDR Project Planner'!$C44))))),'CDR Project Planner'!C44,"")</f>
        <v/>
      </c>
      <c r="D39" s="43" t="str">
        <f>IF(SUMPRODUCT(--(NOT(ISERR(SEARCH({"T","Ba"},'CDR Project Planner'!$C44))))),'CDR Project Planner'!D44,"")</f>
        <v/>
      </c>
      <c r="E39" s="43" t="str">
        <f>IF(SUMPRODUCT(--(NOT(ISERR(SEARCH({"T","Ba"},'CDR Project Planner'!$C44))))),'CDR Project Planner'!E44,"")</f>
        <v/>
      </c>
      <c r="F39" s="43" t="str">
        <f>IF(SUMPRODUCT(--(NOT(ISERR(SEARCH({"T","Ba"},'CDR Project Planner'!$C44))))),'CDR Project Planner'!F44,"")</f>
        <v/>
      </c>
      <c r="G39" s="43" t="str">
        <f>IF(SUMPRODUCT(--(NOT(ISERR(SEARCH({"T","Ba"},'CDR Project Planner'!$C44))))),'CDR Project Planner'!G44,"")</f>
        <v/>
      </c>
      <c r="H39" s="48" t="str">
        <f>IF(SUMPRODUCT(--(NOT(ISERR(SEARCH({"T","Ba"},'CDR Project Planner'!$C44))))),'CDR Project Planner'!H44,"")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42" t="str">
        <f>IF(SUMPRODUCT(--(NOT(ISERR(SEARCH({"T","Ba"},'CDR Project Planner'!$C45))))),'CDR Project Planner'!B45,"")</f>
        <v/>
      </c>
      <c r="C40" s="43" t="str">
        <f>IF(SUMPRODUCT(--(NOT(ISERR(SEARCH({"T","Ba"},'CDR Project Planner'!$C45))))),'CDR Project Planner'!C45,"")</f>
        <v/>
      </c>
      <c r="D40" s="43" t="str">
        <f>IF(SUMPRODUCT(--(NOT(ISERR(SEARCH({"T","Ba"},'CDR Project Planner'!$C45))))),'CDR Project Planner'!D45,"")</f>
        <v/>
      </c>
      <c r="E40" s="43" t="str">
        <f>IF(SUMPRODUCT(--(NOT(ISERR(SEARCH({"T","Ba"},'CDR Project Planner'!$C45))))),'CDR Project Planner'!E45,"")</f>
        <v/>
      </c>
      <c r="F40" s="43" t="str">
        <f>IF(SUMPRODUCT(--(NOT(ISERR(SEARCH({"T","Ba"},'CDR Project Planner'!$C45))))),'CDR Project Planner'!F45,"")</f>
        <v/>
      </c>
      <c r="G40" s="43" t="str">
        <f>IF(SUMPRODUCT(--(NOT(ISERR(SEARCH({"T","Ba"},'CDR Project Planner'!$C45))))),'CDR Project Planner'!G45,"")</f>
        <v/>
      </c>
      <c r="H40" s="48" t="str">
        <f>IF(SUMPRODUCT(--(NOT(ISERR(SEARCH({"T","Ba"},'CDR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42" t="str">
        <f>IF(SUMPRODUCT(--(NOT(ISERR(SEARCH({"T","Ba"},'CDR Project Planner'!$C46))))),'CDR Project Planner'!B46,"")</f>
        <v/>
      </c>
      <c r="C41" s="43" t="str">
        <f>IF(SUMPRODUCT(--(NOT(ISERR(SEARCH({"T","Ba"},'CDR Project Planner'!$C46))))),'CDR Project Planner'!C46,"")</f>
        <v/>
      </c>
      <c r="D41" s="43" t="str">
        <f>IF(SUMPRODUCT(--(NOT(ISERR(SEARCH({"T","Ba"},'CDR Project Planner'!$C46))))),'CDR Project Planner'!D46,"")</f>
        <v/>
      </c>
      <c r="E41" s="43" t="str">
        <f>IF(SUMPRODUCT(--(NOT(ISERR(SEARCH({"T","Ba"},'CDR Project Planner'!$C46))))),'CDR Project Planner'!E46,"")</f>
        <v/>
      </c>
      <c r="F41" s="43" t="str">
        <f>IF(SUMPRODUCT(--(NOT(ISERR(SEARCH({"T","Ba"},'CDR Project Planner'!$C46))))),'CDR Project Planner'!F46,"")</f>
        <v/>
      </c>
      <c r="G41" s="43" t="str">
        <f>IF(SUMPRODUCT(--(NOT(ISERR(SEARCH({"T","Ba"},'CDR Project Planner'!$C46))))),'CDR Project Planner'!G46,"")</f>
        <v/>
      </c>
      <c r="H41" s="48" t="str">
        <f>IF(SUMPRODUCT(--(NOT(ISERR(SEARCH({"T","Ba"},'CDR Project Planner'!$C46))))),'CDR Project Planner'!H46,"")</f>
        <v/>
      </c>
    </row>
    <row r="42" spans="1:68" ht="30" customHeight="1" x14ac:dyDescent="0.25">
      <c r="B42" s="42" t="str">
        <f>IF(SUMPRODUCT(--(NOT(ISERR(SEARCH({"T","Ba"},'CDR Project Planner'!$C47))))),'CDR Project Planner'!B47,"")</f>
        <v/>
      </c>
      <c r="C42" s="43" t="str">
        <f>IF(SUMPRODUCT(--(NOT(ISERR(SEARCH({"T","Ba"},'CDR Project Planner'!$C47))))),'CDR Project Planner'!C47,"")</f>
        <v/>
      </c>
      <c r="D42" s="43" t="str">
        <f>IF(SUMPRODUCT(--(NOT(ISERR(SEARCH({"T","Ba"},'CDR Project Planner'!$C47))))),'CDR Project Planner'!D47,"")</f>
        <v/>
      </c>
      <c r="E42" s="43" t="str">
        <f>IF(SUMPRODUCT(--(NOT(ISERR(SEARCH({"T","Ba"},'CDR Project Planner'!$C47))))),'CDR Project Planner'!E47,"")</f>
        <v/>
      </c>
      <c r="F42" s="43" t="str">
        <f>IF(SUMPRODUCT(--(NOT(ISERR(SEARCH({"T","Ba"},'CDR Project Planner'!$C47))))),'CDR Project Planner'!F47,"")</f>
        <v/>
      </c>
      <c r="G42" s="43" t="str">
        <f>IF(SUMPRODUCT(--(NOT(ISERR(SEARCH({"T","Ba"},'CDR Project Planner'!$C47))))),'CDR Project Planner'!G47,"")</f>
        <v/>
      </c>
      <c r="H42" s="48" t="str">
        <f>IF(SUMPRODUCT(--(NOT(ISERR(SEARCH({"T","Ba"},'CDR Project Planner'!$C47))))),'CDR Project Planner'!H47,"")</f>
        <v/>
      </c>
    </row>
    <row r="43" spans="1:68" ht="30" customHeight="1" x14ac:dyDescent="0.25">
      <c r="B43" s="42" t="str">
        <f>IF(SUMPRODUCT(--(NOT(ISERR(SEARCH({"T","Ba"},'CDR Project Planner'!$C48))))),'CDR Project Planner'!B48,"")</f>
        <v/>
      </c>
      <c r="C43" s="43" t="str">
        <f>IF(SUMPRODUCT(--(NOT(ISERR(SEARCH({"T","Ba"},'CDR Project Planner'!$C48))))),'CDR Project Planner'!C48,"")</f>
        <v/>
      </c>
      <c r="D43" s="43" t="str">
        <f>IF(SUMPRODUCT(--(NOT(ISERR(SEARCH({"T","Ba"},'CDR Project Planner'!$C48))))),'CDR Project Planner'!D48,"")</f>
        <v/>
      </c>
      <c r="E43" s="43" t="str">
        <f>IF(SUMPRODUCT(--(NOT(ISERR(SEARCH({"T","Ba"},'CDR Project Planner'!$C48))))),'CDR Project Planner'!E48,"")</f>
        <v/>
      </c>
      <c r="F43" s="43" t="str">
        <f>IF(SUMPRODUCT(--(NOT(ISERR(SEARCH({"T","Ba"},'CDR Project Planner'!$C48))))),'CDR Project Planner'!F48,"")</f>
        <v/>
      </c>
      <c r="G43" s="43" t="str">
        <f>IF(SUMPRODUCT(--(NOT(ISERR(SEARCH({"T","Ba"},'CDR Project Planner'!$C48))))),'CDR Project Planner'!G48,"")</f>
        <v/>
      </c>
      <c r="H43" s="48" t="str">
        <f>IF(SUMPRODUCT(--(NOT(ISERR(SEARCH({"T","Ba"},'CDR Project Planner'!$C48))))),'CDR Project Planner'!H48,"")</f>
        <v/>
      </c>
    </row>
    <row r="44" spans="1:68" s="4" customFormat="1" ht="30" customHeight="1" x14ac:dyDescent="0.25">
      <c r="A44" s="1"/>
      <c r="B44" s="42" t="str">
        <f>IF(SUMPRODUCT(--(NOT(ISERR(SEARCH({"T","Ba"},'CDR Project Planner'!$C49))))),'CDR Project Planner'!B49,"")</f>
        <v/>
      </c>
      <c r="C44" s="43" t="str">
        <f>IF(SUMPRODUCT(--(NOT(ISERR(SEARCH({"T","Ba"},'CDR Project Planner'!$C49))))),'CDR Project Planner'!C49,"")</f>
        <v/>
      </c>
      <c r="D44" s="43" t="str">
        <f>IF(SUMPRODUCT(--(NOT(ISERR(SEARCH({"T","Ba"},'CDR Project Planner'!$C49))))),'CDR Project Planner'!D49,"")</f>
        <v/>
      </c>
      <c r="E44" s="43" t="str">
        <f>IF(SUMPRODUCT(--(NOT(ISERR(SEARCH({"T","Ba"},'CDR Project Planner'!$C49))))),'CDR Project Planner'!E49,"")</f>
        <v/>
      </c>
      <c r="F44" s="43" t="str">
        <f>IF(SUMPRODUCT(--(NOT(ISERR(SEARCH({"T","Ba"},'CDR Project Planner'!$C49))))),'CDR Project Planner'!F49,"")</f>
        <v/>
      </c>
      <c r="G44" s="43" t="str">
        <f>IF(SUMPRODUCT(--(NOT(ISERR(SEARCH({"T","Ba"},'CDR Project Planner'!$C49))))),'CDR Project Planner'!G49,"")</f>
        <v/>
      </c>
      <c r="H44" s="48" t="str">
        <f>IF(SUMPRODUCT(--(NOT(ISERR(SEARCH({"T","Ba"},'CDR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42" t="str">
        <f>IF(SUMPRODUCT(--(NOT(ISERR(SEARCH({"T","Ba"},'CDR Project Planner'!$C50))))),'CDR Project Planner'!B50,"")</f>
        <v/>
      </c>
      <c r="C45" s="43" t="str">
        <f>IF(SUMPRODUCT(--(NOT(ISERR(SEARCH({"T","Ba"},'CDR Project Planner'!$C50))))),'CDR Project Planner'!C50,"")</f>
        <v/>
      </c>
      <c r="D45" s="43" t="str">
        <f>IF(SUMPRODUCT(--(NOT(ISERR(SEARCH({"T","Ba"},'CDR Project Planner'!$C50))))),'CDR Project Planner'!D50,"")</f>
        <v/>
      </c>
      <c r="E45" s="43" t="str">
        <f>IF(SUMPRODUCT(--(NOT(ISERR(SEARCH({"T","Ba"},'CDR Project Planner'!$C50))))),'CDR Project Planner'!E50,"")</f>
        <v/>
      </c>
      <c r="F45" s="43" t="str">
        <f>IF(SUMPRODUCT(--(NOT(ISERR(SEARCH({"T","Ba"},'CDR Project Planner'!$C50))))),'CDR Project Planner'!F50,"")</f>
        <v/>
      </c>
      <c r="G45" s="43" t="str">
        <f>IF(SUMPRODUCT(--(NOT(ISERR(SEARCH({"T","Ba"},'CDR Project Planner'!$C50))))),'CDR Project Planner'!G50,"")</f>
        <v/>
      </c>
      <c r="H45" s="48" t="str">
        <f>IF(SUMPRODUCT(--(NOT(ISERR(SEARCH({"T","Ba"},'CDR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42" t="str">
        <f>IF(SUMPRODUCT(--(NOT(ISERR(SEARCH({"T","Ba"},'CDR Project Planner'!$C51))))),'CDR Project Planner'!B51,"")</f>
        <v/>
      </c>
      <c r="C46" s="43" t="str">
        <f>IF(SUMPRODUCT(--(NOT(ISERR(SEARCH({"T","Ba"},'CDR Project Planner'!$C51))))),'CDR Project Planner'!C51,"")</f>
        <v/>
      </c>
      <c r="D46" s="43" t="str">
        <f>IF(SUMPRODUCT(--(NOT(ISERR(SEARCH({"T","Ba"},'CDR Project Planner'!$C51))))),'CDR Project Planner'!D51,"")</f>
        <v/>
      </c>
      <c r="E46" s="43" t="str">
        <f>IF(SUMPRODUCT(--(NOT(ISERR(SEARCH({"T","Ba"},'CDR Project Planner'!$C51))))),'CDR Project Planner'!E51,"")</f>
        <v/>
      </c>
      <c r="F46" s="43" t="str">
        <f>IF(SUMPRODUCT(--(NOT(ISERR(SEARCH({"T","Ba"},'CDR Project Planner'!$C51))))),'CDR Project Planner'!F51,"")</f>
        <v/>
      </c>
      <c r="G46" s="43" t="str">
        <f>IF(SUMPRODUCT(--(NOT(ISERR(SEARCH({"T","Ba"},'CDR Project Planner'!$C51))))),'CDR Project Planner'!G51,"")</f>
        <v/>
      </c>
      <c r="H46" s="48" t="str">
        <f>IF(SUMPRODUCT(--(NOT(ISERR(SEARCH({"T","Ba"},'CDR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42" t="str">
        <f>IF(SUMPRODUCT(--(NOT(ISERR(SEARCH({"T","Ba"},'CDR Project Planner'!$C52))))),'CDR Project Planner'!B52,"")</f>
        <v/>
      </c>
      <c r="C47" s="43" t="str">
        <f>IF(SUMPRODUCT(--(NOT(ISERR(SEARCH({"T","Ba"},'CDR Project Planner'!$C52))))),'CDR Project Planner'!C52,"")</f>
        <v/>
      </c>
      <c r="D47" s="43" t="str">
        <f>IF(SUMPRODUCT(--(NOT(ISERR(SEARCH({"T","Ba"},'CDR Project Planner'!$C52))))),'CDR Project Planner'!D52,"")</f>
        <v/>
      </c>
      <c r="E47" s="43" t="str">
        <f>IF(SUMPRODUCT(--(NOT(ISERR(SEARCH({"T","Ba"},'CDR Project Planner'!$C52))))),'CDR Project Planner'!E52,"")</f>
        <v/>
      </c>
      <c r="F47" s="43" t="str">
        <f>IF(SUMPRODUCT(--(NOT(ISERR(SEARCH({"T","Ba"},'CDR Project Planner'!$C52))))),'CDR Project Planner'!F52,"")</f>
        <v/>
      </c>
      <c r="G47" s="43" t="str">
        <f>IF(SUMPRODUCT(--(NOT(ISERR(SEARCH({"T","Ba"},'CDR Project Planner'!$C52))))),'CDR Project Planner'!G52,"")</f>
        <v/>
      </c>
      <c r="H47" s="48" t="str">
        <f>IF(SUMPRODUCT(--(NOT(ISERR(SEARCH({"T","Ba"},'CDR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42" t="str">
        <f>IF(SUMPRODUCT(--(NOT(ISERR(SEARCH({"T","Ba"},'CDR Project Planner'!$C53))))),'CDR Project Planner'!B53,"")</f>
        <v/>
      </c>
      <c r="C48" s="43" t="str">
        <f>IF(SUMPRODUCT(--(NOT(ISERR(SEARCH({"T","Ba"},'CDR Project Planner'!$C53))))),'CDR Project Planner'!C53,"")</f>
        <v/>
      </c>
      <c r="D48" s="43" t="str">
        <f>IF(SUMPRODUCT(--(NOT(ISERR(SEARCH({"T","Ba"},'CDR Project Planner'!$C53))))),'CDR Project Planner'!D53,"")</f>
        <v/>
      </c>
      <c r="E48" s="43" t="str">
        <f>IF(SUMPRODUCT(--(NOT(ISERR(SEARCH({"T","Ba"},'CDR Project Planner'!$C53))))),'CDR Project Planner'!E53,"")</f>
        <v/>
      </c>
      <c r="F48" s="43" t="str">
        <f>IF(SUMPRODUCT(--(NOT(ISERR(SEARCH({"T","Ba"},'CDR Project Planner'!$C53))))),'CDR Project Planner'!F53,"")</f>
        <v/>
      </c>
      <c r="G48" s="43" t="str">
        <f>IF(SUMPRODUCT(--(NOT(ISERR(SEARCH({"T","Ba"},'CDR Project Planner'!$C53))))),'CDR Project Planner'!G53,"")</f>
        <v/>
      </c>
      <c r="H48" s="48" t="str">
        <f>IF(SUMPRODUCT(--(NOT(ISERR(SEARCH({"T","Ba"},'CDR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42" t="str">
        <f>IF(SUMPRODUCT(--(NOT(ISERR(SEARCH({"T","Ba"},'CDR Project Planner'!$C54))))),'CDR Project Planner'!B54,"")</f>
        <v/>
      </c>
      <c r="C49" s="43" t="str">
        <f>IF(SUMPRODUCT(--(NOT(ISERR(SEARCH({"T","Ba"},'CDR Project Planner'!$C54))))),'CDR Project Planner'!C54,"")</f>
        <v/>
      </c>
      <c r="D49" s="43" t="str">
        <f>IF(SUMPRODUCT(--(NOT(ISERR(SEARCH({"T","Ba"},'CDR Project Planner'!$C54))))),'CDR Project Planner'!D54,"")</f>
        <v/>
      </c>
      <c r="E49" s="43" t="str">
        <f>IF(SUMPRODUCT(--(NOT(ISERR(SEARCH({"T","Ba"},'CDR Project Planner'!$C54))))),'CDR Project Planner'!E54,"")</f>
        <v/>
      </c>
      <c r="F49" s="43" t="str">
        <f>IF(SUMPRODUCT(--(NOT(ISERR(SEARCH({"T","Ba"},'CDR Project Planner'!$C54))))),'CDR Project Planner'!F54,"")</f>
        <v/>
      </c>
      <c r="G49" s="43" t="str">
        <f>IF(SUMPRODUCT(--(NOT(ISERR(SEARCH({"T","Ba"},'CDR Project Planner'!$C54))))),'CDR Project Planner'!G54,"")</f>
        <v/>
      </c>
      <c r="H49" s="48" t="str">
        <f>IF(SUMPRODUCT(--(NOT(ISERR(SEARCH({"T","Ba"},'CDR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44" t="str">
        <f>IF(SUMPRODUCT(--(NOT(ISERR(SEARCH({"T","Ba"},'CDR Project Planner'!$C55))))),'CDR Project Planner'!B55,"")</f>
        <v/>
      </c>
      <c r="C50" s="44" t="str">
        <f>IF(SUMPRODUCT(--(NOT(ISERR(SEARCH({"T","Ba"},'CDR Project Planner'!$C55))))),'CDR Project Planner'!C55,"")</f>
        <v/>
      </c>
      <c r="D50" s="52" t="str">
        <f>IF(SUMPRODUCT(--(NOT(ISERR(SEARCH({"T","Ba"},'CDR Project Planner'!$C55))))),'CDR Project Planner'!D55,"")</f>
        <v/>
      </c>
      <c r="E50" s="52" t="str">
        <f>IF(SUMPRODUCT(--(NOT(ISERR(SEARCH({"T","Ba"},'CDR Project Planner'!$C55))))),'CDR Project Planner'!E55,"")</f>
        <v/>
      </c>
      <c r="F50" s="52" t="str">
        <f>IF(SUMPRODUCT(--(NOT(ISERR(SEARCH({"T","Ba"},'CDR Project Planner'!$C55))))),'CDR Project Planner'!F55,"")</f>
        <v/>
      </c>
      <c r="G50" s="52" t="str">
        <f>IF(SUMPRODUCT(--(NOT(ISERR(SEARCH({"T","Ba"},'CDR Project Planner'!$C55))))),'CDR Project Planner'!G55,"")</f>
        <v/>
      </c>
      <c r="H50" s="52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44" t="str">
        <f>IF(SUMPRODUCT(--(NOT(ISERR(SEARCH({"T","Ba"},'CDR Project Planner'!$C56))))),'CDR Project Planner'!B56,"")</f>
        <v/>
      </c>
      <c r="C51" s="44" t="str">
        <f>IF(SUMPRODUCT(--(NOT(ISERR(SEARCH({"T","Ba"},'CDR Project Planner'!$C56))))),'CDR Project Planner'!C56,"")</f>
        <v/>
      </c>
      <c r="D51" s="52" t="str">
        <f>IF(SUMPRODUCT(--(NOT(ISERR(SEARCH({"T","Ba"},'CDR Project Planner'!$C56))))),'CDR Project Planner'!D56,"")</f>
        <v/>
      </c>
      <c r="E51" s="52" t="str">
        <f>IF(SUMPRODUCT(--(NOT(ISERR(SEARCH({"T","Ba"},'CDR Project Planner'!$C56))))),'CDR Project Planner'!E56,"")</f>
        <v/>
      </c>
      <c r="F51" s="52" t="str">
        <f>IF(SUMPRODUCT(--(NOT(ISERR(SEARCH({"T","Ba"},'CDR Project Planner'!$C56))))),'CDR Project Planner'!F56,"")</f>
        <v/>
      </c>
      <c r="G51" s="52" t="str">
        <f>IF(SUMPRODUCT(--(NOT(ISERR(SEARCH({"T","Ba"},'CDR Project Planner'!$C56))))),'CDR Project Planner'!G56,"")</f>
        <v/>
      </c>
      <c r="H51" s="52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44" t="str">
        <f>IF(SUMPRODUCT(--(NOT(ISERR(SEARCH({"T","Ba"},'CDR Project Planner'!$C57))))),'CDR Project Planner'!B57,"")</f>
        <v/>
      </c>
      <c r="C52" s="44" t="str">
        <f>IF(SUMPRODUCT(--(NOT(ISERR(SEARCH({"T","Ba"},'CDR Project Planner'!$C57))))),'CDR Project Planner'!C57,"")</f>
        <v/>
      </c>
      <c r="D52" s="52" t="str">
        <f>IF(SUMPRODUCT(--(NOT(ISERR(SEARCH({"T","Ba"},'CDR Project Planner'!$C57))))),'CDR Project Planner'!D57,"")</f>
        <v/>
      </c>
      <c r="E52" s="52" t="str">
        <f>IF(SUMPRODUCT(--(NOT(ISERR(SEARCH({"T","Ba"},'CDR Project Planner'!$C57))))),'CDR Project Planner'!E57,"")</f>
        <v/>
      </c>
      <c r="F52" s="52" t="str">
        <f>IF(SUMPRODUCT(--(NOT(ISERR(SEARCH({"T","Ba"},'CDR Project Planner'!$C57))))),'CDR Project Planner'!F57,"")</f>
        <v/>
      </c>
      <c r="G52" s="52" t="str">
        <f>IF(SUMPRODUCT(--(NOT(ISERR(SEARCH({"T","Ba"},'CDR Project Planner'!$C57))))),'CDR Project Planner'!G57,"")</f>
        <v/>
      </c>
      <c r="H52" s="52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27:BP27 I43:BP43 I46:BP46 I49:BP49 I7:BP15 I30:BP37">
    <cfRule type="expression" dxfId="258" priority="2">
      <formula>PercentComplete</formula>
    </cfRule>
    <cfRule type="expression" dxfId="257" priority="3">
      <formula>PercentCompleteBeyond</formula>
    </cfRule>
    <cfRule type="expression" dxfId="256" priority="4">
      <formula>Actual</formula>
    </cfRule>
    <cfRule type="expression" dxfId="255" priority="5">
      <formula>ActualBeyond</formula>
    </cfRule>
    <cfRule type="expression" dxfId="254" priority="6">
      <formula>Plan</formula>
    </cfRule>
    <cfRule type="expression" dxfId="253" priority="7">
      <formula>I$4=period_selected</formula>
    </cfRule>
    <cfRule type="expression" dxfId="252" priority="8">
      <formula>MOD(COLUMN(),2)</formula>
    </cfRule>
    <cfRule type="expression" dxfId="251" priority="9">
      <formula>MOD(COLUMN(),2)=0</formula>
    </cfRule>
  </conditionalFormatting>
  <conditionalFormatting sqref="I4:BP4">
    <cfRule type="expression" dxfId="250" priority="10">
      <formula>I$4=period_selected</formula>
    </cfRule>
  </conditionalFormatting>
  <conditionalFormatting sqref="I5:BP6 I39:BP39 I21:BP26 I28:BP29 I42:BP42 I45:BP45 I48:BP48">
    <cfRule type="expression" dxfId="249" priority="11">
      <formula>PercentComplete</formula>
    </cfRule>
    <cfRule type="expression" dxfId="248" priority="12">
      <formula>PercentCompleteBeyond</formula>
    </cfRule>
    <cfRule type="expression" dxfId="247" priority="13">
      <formula>Actual</formula>
    </cfRule>
    <cfRule type="expression" dxfId="246" priority="14">
      <formula>ActualBeyond</formula>
    </cfRule>
    <cfRule type="expression" dxfId="245" priority="15">
      <formula>Plan</formula>
    </cfRule>
    <cfRule type="expression" dxfId="244" priority="16">
      <formula>I$4=period_selected</formula>
    </cfRule>
    <cfRule type="expression" dxfId="243" priority="17">
      <formula>MOD(COLUMN(),2)</formula>
    </cfRule>
    <cfRule type="expression" dxfId="242" priority="18">
      <formula>MOD(COLUMN(),2)=0</formula>
    </cfRule>
  </conditionalFormatting>
  <conditionalFormatting sqref="I38:BP38 I41:BP41 I44:BP44 I47:BP47">
    <cfRule type="expression" dxfId="241" priority="19">
      <formula>PercentComplete</formula>
    </cfRule>
    <cfRule type="expression" dxfId="240" priority="20">
      <formula>PercentCompleteBeyond</formula>
    </cfRule>
    <cfRule type="expression" dxfId="239" priority="21">
      <formula>Actual</formula>
    </cfRule>
    <cfRule type="expression" dxfId="238" priority="22">
      <formula>ActualBeyond</formula>
    </cfRule>
    <cfRule type="expression" dxfId="237" priority="23">
      <formula>Plan</formula>
    </cfRule>
    <cfRule type="expression" dxfId="236" priority="24">
      <formula>I$4=period_selected</formula>
    </cfRule>
    <cfRule type="expression" dxfId="235" priority="25">
      <formula>MOD(COLUMN(),2)</formula>
    </cfRule>
    <cfRule type="expression" dxfId="234" priority="26">
      <formula>MOD(COLUMN(),2)=0</formula>
    </cfRule>
  </conditionalFormatting>
  <conditionalFormatting sqref="I20:BP20">
    <cfRule type="expression" dxfId="233" priority="27">
      <formula>PercentComplete</formula>
    </cfRule>
    <cfRule type="expression" dxfId="232" priority="28">
      <formula>PercentCompleteBeyond</formula>
    </cfRule>
    <cfRule type="expression" dxfId="231" priority="29">
      <formula>Actual</formula>
    </cfRule>
    <cfRule type="expression" dxfId="230" priority="30">
      <formula>ActualBeyond</formula>
    </cfRule>
    <cfRule type="expression" dxfId="229" priority="31">
      <formula>Plan</formula>
    </cfRule>
    <cfRule type="expression" dxfId="228" priority="32">
      <formula>I$4=period_selected</formula>
    </cfRule>
    <cfRule type="expression" dxfId="227" priority="33">
      <formula>MOD(COLUMN(),2)</formula>
    </cfRule>
    <cfRule type="expression" dxfId="226" priority="34">
      <formula>MOD(COLUMN(),2)=0</formula>
    </cfRule>
  </conditionalFormatting>
  <conditionalFormatting sqref="I16:BP16 I18:BP19">
    <cfRule type="expression" dxfId="225" priority="35">
      <formula>PercentComplete</formula>
    </cfRule>
    <cfRule type="expression" dxfId="224" priority="36">
      <formula>PercentCompleteBeyond</formula>
    </cfRule>
    <cfRule type="expression" dxfId="223" priority="37">
      <formula>Actual</formula>
    </cfRule>
    <cfRule type="expression" dxfId="222" priority="38">
      <formula>ActualBeyond</formula>
    </cfRule>
    <cfRule type="expression" dxfId="221" priority="39">
      <formula>Plan</formula>
    </cfRule>
    <cfRule type="expression" dxfId="220" priority="40">
      <formula>I$4=period_selected</formula>
    </cfRule>
    <cfRule type="expression" dxfId="219" priority="41">
      <formula>MOD(COLUMN(),2)</formula>
    </cfRule>
    <cfRule type="expression" dxfId="218" priority="42">
      <formula>MOD(COLUMN(),2)=0</formula>
    </cfRule>
  </conditionalFormatting>
  <conditionalFormatting sqref="I17:BP17">
    <cfRule type="expression" dxfId="217" priority="43">
      <formula>PercentComplete</formula>
    </cfRule>
    <cfRule type="expression" dxfId="216" priority="44">
      <formula>PercentCompleteBeyond</formula>
    </cfRule>
    <cfRule type="expression" dxfId="215" priority="45">
      <formula>Actual</formula>
    </cfRule>
    <cfRule type="expression" dxfId="214" priority="46">
      <formula>ActualBeyond</formula>
    </cfRule>
    <cfRule type="expression" dxfId="213" priority="47">
      <formula>Plan</formula>
    </cfRule>
    <cfRule type="expression" dxfId="212" priority="48">
      <formula>I$4=period_selected</formula>
    </cfRule>
    <cfRule type="expression" dxfId="211" priority="49">
      <formula>MOD(COLUMN(),2)</formula>
    </cfRule>
    <cfRule type="expression" dxfId="210" priority="50">
      <formula>MOD(COLUMN(),2)=0</formula>
    </cfRule>
  </conditionalFormatting>
  <conditionalFormatting sqref="H53:H56">
    <cfRule type="cellIs" dxfId="209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208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B47" sqref="B47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59</v>
      </c>
      <c r="C1" s="7"/>
      <c r="D1" s="8"/>
      <c r="E1" s="8"/>
      <c r="F1" s="8"/>
      <c r="G1" s="8"/>
      <c r="H1" s="8"/>
    </row>
    <row r="2" spans="1:68" ht="21" customHeight="1" x14ac:dyDescent="0.25">
      <c r="B2" s="215">
        <f ca="1">NOW()</f>
        <v>43188.720990972222</v>
      </c>
      <c r="C2" s="215"/>
      <c r="D2" s="215"/>
      <c r="E2" s="215"/>
      <c r="F2" s="215"/>
      <c r="G2" s="215"/>
      <c r="H2" s="10" t="s">
        <v>1</v>
      </c>
      <c r="I2" s="11">
        <f ca="1">DAY(NOW())</f>
        <v>29</v>
      </c>
      <c r="K2" s="12"/>
      <c r="L2" s="216" t="s">
        <v>2</v>
      </c>
      <c r="M2" s="216"/>
      <c r="N2" s="216"/>
      <c r="O2" s="216"/>
      <c r="P2" s="216"/>
      <c r="Q2" s="14"/>
      <c r="R2" s="216" t="s">
        <v>3</v>
      </c>
      <c r="S2" s="216"/>
      <c r="T2" s="216"/>
      <c r="U2" s="216"/>
      <c r="V2" s="15"/>
      <c r="W2" s="216" t="s">
        <v>4</v>
      </c>
      <c r="X2" s="216"/>
      <c r="Y2" s="216"/>
      <c r="Z2" s="216"/>
      <c r="AA2" s="16"/>
      <c r="AB2" s="216" t="s">
        <v>5</v>
      </c>
      <c r="AC2" s="216"/>
      <c r="AD2" s="216"/>
      <c r="AE2" s="216"/>
      <c r="AF2" s="216"/>
      <c r="AG2" s="216"/>
      <c r="AH2" s="216"/>
      <c r="AI2" s="18"/>
      <c r="AJ2" s="210" t="s">
        <v>6</v>
      </c>
      <c r="AK2" s="210"/>
      <c r="AL2" s="210"/>
      <c r="AM2" s="210"/>
      <c r="AN2" s="210"/>
      <c r="AO2" s="210"/>
      <c r="AP2" s="210"/>
      <c r="AQ2" s="210"/>
    </row>
    <row r="3" spans="1:68" s="20" customFormat="1" ht="39.950000000000003" customHeight="1" x14ac:dyDescent="0.25">
      <c r="B3" s="211" t="s">
        <v>7</v>
      </c>
      <c r="C3" s="212" t="s">
        <v>8</v>
      </c>
      <c r="D3" s="213" t="s">
        <v>9</v>
      </c>
      <c r="E3" s="213" t="s">
        <v>10</v>
      </c>
      <c r="F3" s="213" t="s">
        <v>11</v>
      </c>
      <c r="G3" s="213" t="s">
        <v>12</v>
      </c>
      <c r="H3" s="214" t="s">
        <v>13</v>
      </c>
      <c r="I3" s="25" t="s">
        <v>14</v>
      </c>
      <c r="J3" s="26"/>
      <c r="K3" s="27"/>
      <c r="L3" s="27"/>
      <c r="M3" s="27"/>
      <c r="N3" s="27"/>
      <c r="O3" s="27"/>
      <c r="P3" s="27"/>
      <c r="Q3" s="27"/>
      <c r="R3" s="27"/>
      <c r="S3" s="28" t="s">
        <v>15</v>
      </c>
      <c r="T3" s="29">
        <v>2</v>
      </c>
      <c r="U3" s="29">
        <v>3</v>
      </c>
      <c r="V3" s="29">
        <v>4</v>
      </c>
      <c r="W3" s="29">
        <v>5</v>
      </c>
      <c r="X3" s="29">
        <v>6</v>
      </c>
      <c r="Y3" s="29">
        <v>7</v>
      </c>
      <c r="Z3" s="29">
        <v>8</v>
      </c>
      <c r="AA3" s="29">
        <v>9</v>
      </c>
      <c r="AB3" s="29">
        <v>10</v>
      </c>
      <c r="AC3" s="29">
        <v>11</v>
      </c>
      <c r="AD3" s="29">
        <v>12</v>
      </c>
      <c r="AE3" s="29">
        <v>13</v>
      </c>
      <c r="AF3" s="29">
        <v>14</v>
      </c>
      <c r="AG3" s="29">
        <v>15</v>
      </c>
      <c r="AH3" s="29">
        <v>16</v>
      </c>
      <c r="AI3" s="29">
        <v>17</v>
      </c>
      <c r="AJ3" s="29">
        <v>18</v>
      </c>
      <c r="AK3" s="29">
        <v>19</v>
      </c>
      <c r="AL3" s="29">
        <v>20</v>
      </c>
      <c r="AM3" s="29">
        <v>21</v>
      </c>
      <c r="AN3" s="29">
        <v>22</v>
      </c>
      <c r="AO3" s="29">
        <v>23</v>
      </c>
      <c r="AP3" s="29">
        <v>24</v>
      </c>
      <c r="AQ3" s="29">
        <v>25</v>
      </c>
      <c r="AR3" s="29">
        <v>26</v>
      </c>
      <c r="AS3" s="29">
        <v>27</v>
      </c>
      <c r="AT3" s="29">
        <v>28</v>
      </c>
      <c r="AU3" s="29">
        <v>29</v>
      </c>
      <c r="AV3" s="29">
        <v>30</v>
      </c>
      <c r="AW3" s="28" t="s">
        <v>16</v>
      </c>
    </row>
    <row r="4" spans="1:68" ht="15.75" customHeight="1" x14ac:dyDescent="0.25">
      <c r="B4" s="211"/>
      <c r="C4" s="212"/>
      <c r="D4" s="213"/>
      <c r="E4" s="213"/>
      <c r="F4" s="213"/>
      <c r="G4" s="213"/>
      <c r="H4" s="214"/>
      <c r="I4" s="30">
        <v>22</v>
      </c>
      <c r="J4" s="30">
        <v>23</v>
      </c>
      <c r="K4" s="30">
        <v>24</v>
      </c>
      <c r="L4" s="30">
        <v>25</v>
      </c>
      <c r="M4" s="30">
        <v>26</v>
      </c>
      <c r="N4" s="30">
        <v>27</v>
      </c>
      <c r="O4" s="30">
        <v>28</v>
      </c>
      <c r="P4" s="30">
        <v>29</v>
      </c>
      <c r="Q4" s="30">
        <v>30</v>
      </c>
      <c r="R4" s="30">
        <v>31</v>
      </c>
      <c r="S4" s="30">
        <v>32</v>
      </c>
      <c r="T4" s="30">
        <v>33</v>
      </c>
      <c r="U4" s="30">
        <v>34</v>
      </c>
      <c r="V4" s="30">
        <v>35</v>
      </c>
      <c r="W4" s="30">
        <v>36</v>
      </c>
      <c r="X4" s="30">
        <v>37</v>
      </c>
      <c r="Y4" s="30">
        <v>38</v>
      </c>
      <c r="Z4" s="30">
        <v>39</v>
      </c>
      <c r="AA4" s="30">
        <v>40</v>
      </c>
      <c r="AB4" s="30">
        <v>41</v>
      </c>
      <c r="AC4" s="30">
        <v>42</v>
      </c>
      <c r="AD4" s="30">
        <v>43</v>
      </c>
      <c r="AE4" s="30">
        <v>44</v>
      </c>
      <c r="AF4" s="30">
        <v>45</v>
      </c>
      <c r="AG4" s="30">
        <v>46</v>
      </c>
      <c r="AH4" s="30">
        <v>47</v>
      </c>
      <c r="AI4" s="30">
        <v>48</v>
      </c>
      <c r="AJ4" s="30">
        <v>49</v>
      </c>
      <c r="AK4" s="30">
        <v>50</v>
      </c>
      <c r="AL4" s="30">
        <v>51</v>
      </c>
      <c r="AM4" s="30">
        <v>52</v>
      </c>
      <c r="AN4" s="30">
        <v>53</v>
      </c>
      <c r="AO4" s="30">
        <v>54</v>
      </c>
      <c r="AP4" s="30">
        <v>55</v>
      </c>
      <c r="AQ4" s="30">
        <v>56</v>
      </c>
      <c r="AR4" s="30">
        <v>57</v>
      </c>
      <c r="AS4" s="30">
        <v>58</v>
      </c>
      <c r="AT4" s="30">
        <v>59</v>
      </c>
      <c r="AU4" s="30">
        <v>60</v>
      </c>
      <c r="AV4" s="30">
        <v>61</v>
      </c>
      <c r="AW4" s="30">
        <v>62</v>
      </c>
      <c r="AX4" s="30">
        <v>63</v>
      </c>
      <c r="AY4" s="30">
        <v>64</v>
      </c>
      <c r="AZ4" s="30">
        <v>65</v>
      </c>
      <c r="BA4" s="30">
        <v>66</v>
      </c>
      <c r="BB4" s="30">
        <v>67</v>
      </c>
      <c r="BC4" s="30">
        <v>68</v>
      </c>
      <c r="BD4" s="30">
        <v>69</v>
      </c>
      <c r="BE4" s="30">
        <v>70</v>
      </c>
      <c r="BF4" s="30">
        <v>71</v>
      </c>
      <c r="BG4" s="30">
        <v>72</v>
      </c>
      <c r="BH4" s="30">
        <v>73</v>
      </c>
      <c r="BI4" s="30">
        <v>74</v>
      </c>
      <c r="BJ4" s="30">
        <v>75</v>
      </c>
      <c r="BK4" s="30">
        <v>76</v>
      </c>
      <c r="BL4" s="30">
        <v>77</v>
      </c>
      <c r="BM4" s="30">
        <v>78</v>
      </c>
      <c r="BN4" s="30">
        <v>79</v>
      </c>
      <c r="BO4" s="30">
        <v>80</v>
      </c>
      <c r="BP4" s="30">
        <v>81</v>
      </c>
    </row>
    <row r="5" spans="1:68" s="31" customFormat="1" x14ac:dyDescent="0.3">
      <c r="B5" s="46" t="str">
        <f>IF(SUMPRODUCT(--(NOT(ISERR(SEARCH({"T","Br"},'CDR Project Planner'!$C5))))),'CDR Project Planner'!B5,"")</f>
        <v>PDR</v>
      </c>
      <c r="C5" s="55" t="str">
        <f>IF(SUMPRODUCT(--(NOT(ISERR(SEARCH({"T","Br"},'CDR Project Planner'!$C5))))),'CDR Project Planner'!C5,"")</f>
        <v>T</v>
      </c>
      <c r="D5" s="55">
        <f>IF(SUMPRODUCT(--(NOT(ISERR(SEARCH({"T","Br"},'CDR Project Planner'!$C5))))),'CDR Project Planner'!D5,"")</f>
        <v>22</v>
      </c>
      <c r="E5" s="55">
        <f>IF(SUMPRODUCT(--(NOT(ISERR(SEARCH({"T","Br"},'CDR Project Planner'!$C5))))),'CDR Project Planner'!E5,"")</f>
        <v>1</v>
      </c>
      <c r="F5" s="55">
        <f>IF(SUMPRODUCT(--(NOT(ISERR(SEARCH({"T","Br"},'CDR Project Planner'!$C5))))),'CDR Project Planner'!F5,"")</f>
        <v>22</v>
      </c>
      <c r="G5" s="55">
        <f>IF(SUMPRODUCT(--(NOT(ISERR(SEARCH({"T","Br"},'CDR Project Planner'!$C5))))),'CDR Project Planner'!G5,"")</f>
        <v>1</v>
      </c>
      <c r="H5" s="48">
        <f>IF(SUMPRODUCT(--(NOT(ISERR(SEARCH({"T","Br"},'CDR Project Planner'!$C5))))),'CDR Project Planner'!H5,"")</f>
        <v>1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68" x14ac:dyDescent="0.3">
      <c r="B6" s="50" t="str">
        <f>IF(SUMPRODUCT(--(NOT(ISERR(SEARCH({"T","Br"},'CDR Project Planner'!$C6))))),'CDR Project Planner'!B6,"")</f>
        <v>System</v>
      </c>
      <c r="C6" s="43" t="str">
        <f>IF(SUMPRODUCT(--(NOT(ISERR(SEARCH({"T","Br"},'CDR Project Planner'!$C6))))),'CDR Project Planner'!C6,"")</f>
        <v>P &amp; Br &amp; C &amp; Ba</v>
      </c>
      <c r="D6" s="43"/>
      <c r="E6" s="43"/>
      <c r="F6" s="43"/>
      <c r="G6" s="43"/>
      <c r="H6" s="48">
        <f>IF(SUMPRODUCT(--(NOT(ISERR(SEARCH({"T","Br"},'CDR Project Planner'!$C6))))),'CDR Project Planner'!H6,"")</f>
        <v>0</v>
      </c>
    </row>
    <row r="7" spans="1:68" s="4" customFormat="1" ht="15" outlineLevel="1" x14ac:dyDescent="0.25">
      <c r="A7" s="1"/>
      <c r="B7" s="53" t="str">
        <f>IF(SUMPRODUCT(--(NOT(ISERR(SEARCH({"T","Br"},'CDR Project Planner'!$C7))))),'CDR Project Planner'!B7,"")</f>
        <v>Unit Tests - VHDL - PWM (Duty Cycle)</v>
      </c>
      <c r="C7" s="43" t="str">
        <f>IF(SUMPRODUCT(--(NOT(ISERR(SEARCH({"T","Br"},'CDR Project Planner'!$C7))))),'CDR Project Planner'!C7,"")</f>
        <v>P &amp; Br</v>
      </c>
      <c r="D7" s="43">
        <f>IF(SUMPRODUCT(--(NOT(ISERR(SEARCH({"T","Br"},'CDR Project Planner'!$C7))))),'CDR Project Planner'!D7,"")</f>
        <v>23</v>
      </c>
      <c r="E7" s="43">
        <f>IF(SUMPRODUCT(--(NOT(ISERR(SEARCH({"T","Br"},'CDR Project Planner'!$C7))))),'CDR Project Planner'!E7,"")</f>
        <v>1</v>
      </c>
      <c r="F7" s="43">
        <f>IF(SUMPRODUCT(--(NOT(ISERR(SEARCH({"T","Br"},'CDR Project Planner'!$C7))))),'CDR Project Planner'!F7,"")</f>
        <v>0</v>
      </c>
      <c r="G7" s="43">
        <f>IF(SUMPRODUCT(--(NOT(ISERR(SEARCH({"T","Br"},'CDR Project Planner'!$C7))))),'CDR Project Planner'!G7,"")</f>
        <v>0</v>
      </c>
      <c r="H7" s="48">
        <f>IF(SUMPRODUCT(--(NOT(ISERR(SEARCH({"T","Br"},'CDR Project Planner'!$C7))))),'CDR Project Planner'!H7,"")</f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53" t="str">
        <f>IF(SUMPRODUCT(--(NOT(ISERR(SEARCH({"T","Br"},'CDR Project Planner'!$C8))))),'CDR Project Planner'!B8,"")</f>
        <v/>
      </c>
      <c r="C8" s="43" t="str">
        <f>IF(SUMPRODUCT(--(NOT(ISERR(SEARCH({"T","Br"},'CDR Project Planner'!$C8))))),'CDR Project Planner'!C8,"")</f>
        <v/>
      </c>
      <c r="D8" s="43" t="str">
        <f>IF(SUMPRODUCT(--(NOT(ISERR(SEARCH({"T","Br"},'CDR Project Planner'!$C8))))),'CDR Project Planner'!D8,"")</f>
        <v/>
      </c>
      <c r="E8" s="43" t="str">
        <f>IF(SUMPRODUCT(--(NOT(ISERR(SEARCH({"T","Br"},'CDR Project Planner'!$C8))))),'CDR Project Planner'!E8,"")</f>
        <v/>
      </c>
      <c r="F8" s="43" t="str">
        <f>IF(SUMPRODUCT(--(NOT(ISERR(SEARCH({"T","Br"},'CDR Project Planner'!$C8))))),'CDR Project Planner'!F8,"")</f>
        <v/>
      </c>
      <c r="G8" s="43" t="str">
        <f>IF(SUMPRODUCT(--(NOT(ISERR(SEARCH({"T","Br"},'CDR Project Planner'!$C8))))),'CDR Project Planner'!G8,"")</f>
        <v/>
      </c>
      <c r="H8" s="48" t="str">
        <f>IF(SUMPRODUCT(--(NOT(ISERR(SEARCH({"T","Br"},'CDR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53" t="str">
        <f>IF(SUMPRODUCT(--(NOT(ISERR(SEARCH({"T","Br"},'CDR Project Planner'!$C9))))),'CDR Project Planner'!B9,"")</f>
        <v>Unit Tests - VHDL &amp; C - Ultrasonic Interrupts</v>
      </c>
      <c r="C9" s="43" t="str">
        <f>IF(SUMPRODUCT(--(NOT(ISERR(SEARCH({"T","Br"},'CDR Project Planner'!$C9))))),'CDR Project Planner'!C9,"")</f>
        <v>P &amp; Br</v>
      </c>
      <c r="D9" s="43">
        <f>IF(SUMPRODUCT(--(NOT(ISERR(SEARCH({"T","Br"},'CDR Project Planner'!$C9))))),'CDR Project Planner'!D9,"")</f>
        <v>23</v>
      </c>
      <c r="E9" s="43">
        <f>IF(SUMPRODUCT(--(NOT(ISERR(SEARCH({"T","Br"},'CDR Project Planner'!$C9))))),'CDR Project Planner'!E9,"")</f>
        <v>2</v>
      </c>
      <c r="F9" s="43">
        <f>IF(SUMPRODUCT(--(NOT(ISERR(SEARCH({"T","Br"},'CDR Project Planner'!$C9))))),'CDR Project Planner'!F9,"")</f>
        <v>0</v>
      </c>
      <c r="G9" s="43">
        <f>IF(SUMPRODUCT(--(NOT(ISERR(SEARCH({"T","Br"},'CDR Project Planner'!$C9))))),'CDR Project Planner'!G9,"")</f>
        <v>0</v>
      </c>
      <c r="H9" s="48">
        <f>IF(SUMPRODUCT(--(NOT(ISERR(SEARCH({"T","Br"},'CDR Project Planner'!$C9))))),'CDR Project Planner'!H9,"")</f>
        <v>0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42" t="str">
        <f>IF(SUMPRODUCT(--(NOT(ISERR(SEARCH({"T","Br"},'CDR Project Planner'!$C10))))),'CDR Project Planner'!B10,"")</f>
        <v/>
      </c>
      <c r="C10" s="43" t="str">
        <f>IF(SUMPRODUCT(--(NOT(ISERR(SEARCH({"T","Br"},'CDR Project Planner'!$C10))))),'CDR Project Planner'!C10,"")</f>
        <v/>
      </c>
      <c r="D10" s="43" t="str">
        <f>IF(SUMPRODUCT(--(NOT(ISERR(SEARCH({"T","Br"},'CDR Project Planner'!$C10))))),'CDR Project Planner'!D10,"")</f>
        <v/>
      </c>
      <c r="E10" s="43" t="str">
        <f>IF(SUMPRODUCT(--(NOT(ISERR(SEARCH({"T","Br"},'CDR Project Planner'!$C10))))),'CDR Project Planner'!E10,"")</f>
        <v/>
      </c>
      <c r="F10" s="43" t="str">
        <f>IF(SUMPRODUCT(--(NOT(ISERR(SEARCH({"T","Br"},'CDR Project Planner'!$C10))))),'CDR Project Planner'!F10,"")</f>
        <v/>
      </c>
      <c r="G10" s="43" t="str">
        <f>IF(SUMPRODUCT(--(NOT(ISERR(SEARCH({"T","Br"},'CDR Project Planner'!$C10))))),'CDR Project Planner'!G10,"")</f>
        <v/>
      </c>
      <c r="H10" s="48" t="str">
        <f>IF(SUMPRODUCT(--(NOT(ISERR(SEARCH({"T","Br"},'CDR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42" t="str">
        <f>IF(SUMPRODUCT(--(NOT(ISERR(SEARCH({"T","Br"},'CDR Project Planner'!#REF!))))),'CDR Project Planner'!#REF!,"")</f>
        <v/>
      </c>
      <c r="C11" s="43" t="str">
        <f>IF(SUMPRODUCT(--(NOT(ISERR(SEARCH({"T","Br"},'CDR Project Planner'!#REF!))))),'CDR Project Planner'!#REF!,"")</f>
        <v/>
      </c>
      <c r="D11" s="43" t="str">
        <f>IF(SUMPRODUCT(--(NOT(ISERR(SEARCH({"T","Br"},'CDR Project Planner'!#REF!))))),'CDR Project Planner'!#REF!,"")</f>
        <v/>
      </c>
      <c r="E11" s="43" t="str">
        <f>IF(SUMPRODUCT(--(NOT(ISERR(SEARCH({"T","Br"},'CDR Project Planner'!#REF!))))),'CDR Project Planner'!#REF!,"")</f>
        <v/>
      </c>
      <c r="F11" s="43" t="str">
        <f>IF(SUMPRODUCT(--(NOT(ISERR(SEARCH({"T","Br"},'CDR Project Planner'!#REF!))))),'CDR Project Planner'!#REF!,"")</f>
        <v/>
      </c>
      <c r="G11" s="43" t="str">
        <f>IF(SUMPRODUCT(--(NOT(ISERR(SEARCH({"T","Br"},'CDR Project Planner'!#REF!))))),'CDR Project Planner'!#REF!,"")</f>
        <v/>
      </c>
      <c r="H11" s="48" t="str">
        <f>IF(SUMPRODUCT(--(NOT(ISERR(SEARCH({"T","Br"},'CDR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42" t="str">
        <f>IF(SUMPRODUCT(--(NOT(ISERR(SEARCH({"T","Br"},'CDR Project Planner'!$C11))))),'CDR Project Planner'!B11,"")</f>
        <v/>
      </c>
      <c r="C12" s="43" t="str">
        <f>IF(SUMPRODUCT(--(NOT(ISERR(SEARCH({"T","Br"},'CDR Project Planner'!$C11))))),'CDR Project Planner'!C11,"")</f>
        <v/>
      </c>
      <c r="D12" s="43" t="str">
        <f>IF(SUMPRODUCT(--(NOT(ISERR(SEARCH({"T","Br"},'CDR Project Planner'!$C11))))),'CDR Project Planner'!D11,"")</f>
        <v/>
      </c>
      <c r="E12" s="43" t="str">
        <f>IF(SUMPRODUCT(--(NOT(ISERR(SEARCH({"T","Br"},'CDR Project Planner'!$C11))))),'CDR Project Planner'!E11,"")</f>
        <v/>
      </c>
      <c r="F12" s="43" t="str">
        <f>IF(SUMPRODUCT(--(NOT(ISERR(SEARCH({"T","Br"},'CDR Project Planner'!$C11))))),'CDR Project Planner'!F11,"")</f>
        <v/>
      </c>
      <c r="G12" s="43" t="str">
        <f>IF(SUMPRODUCT(--(NOT(ISERR(SEARCH({"T","Br"},'CDR Project Planner'!$C11))))),'CDR Project Planner'!G11,"")</f>
        <v/>
      </c>
      <c r="H12" s="48" t="str">
        <f>IF(SUMPRODUCT(--(NOT(ISERR(SEARCH({"T","Br"},'CDR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42" t="str">
        <f>IF(SUMPRODUCT(--(NOT(ISERR(SEARCH({"T","Br"},'CDR Project Planner'!$C14))))),'CDR Project Planner'!B14,"")</f>
        <v/>
      </c>
      <c r="C13" s="43" t="str">
        <f>IF(SUMPRODUCT(--(NOT(ISERR(SEARCH({"T","Br"},'CDR Project Planner'!$C14))))),'CDR Project Planner'!C14,"")</f>
        <v/>
      </c>
      <c r="D13" s="43" t="str">
        <f>IF(SUMPRODUCT(--(NOT(ISERR(SEARCH({"T","Br"},'CDR Project Planner'!$C14))))),'CDR Project Planner'!D14,"")</f>
        <v/>
      </c>
      <c r="E13" s="43" t="str">
        <f>IF(SUMPRODUCT(--(NOT(ISERR(SEARCH({"T","Br"},'CDR Project Planner'!$C14))))),'CDR Project Planner'!E14,"")</f>
        <v/>
      </c>
      <c r="F13" s="43" t="str">
        <f>IF(SUMPRODUCT(--(NOT(ISERR(SEARCH({"T","Br"},'CDR Project Planner'!$C14))))),'CDR Project Planner'!F14,"")</f>
        <v/>
      </c>
      <c r="G13" s="43" t="str">
        <f>IF(SUMPRODUCT(--(NOT(ISERR(SEARCH({"T","Br"},'CDR Project Planner'!$C14))))),'CDR Project Planner'!G14,"")</f>
        <v/>
      </c>
      <c r="H13" s="48" t="str">
        <f>IF(SUMPRODUCT(--(NOT(ISERR(SEARCH({"T","Br"},'CDR Project Planner'!$C14))))),'CDR Project Planner'!H14,"")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53" t="str">
        <f>IF(SUMPRODUCT(--(NOT(ISERR(SEARCH({"T","Br"},'CDR Project Planner'!$C15))))),'CDR Project Planner'!B15,"")</f>
        <v>Calibration - VHDL side</v>
      </c>
      <c r="C14" s="43" t="str">
        <f>IF(SUMPRODUCT(--(NOT(ISERR(SEARCH({"T","Br"},'CDR Project Planner'!$C15))))),'CDR Project Planner'!C15,"")</f>
        <v>P &amp; Br</v>
      </c>
      <c r="D14" s="43">
        <f>IF(SUMPRODUCT(--(NOT(ISERR(SEARCH({"T","Br"},'CDR Project Planner'!$C15))))),'CDR Project Planner'!D15,"")</f>
        <v>25</v>
      </c>
      <c r="E14" s="43">
        <f>IF(SUMPRODUCT(--(NOT(ISERR(SEARCH({"T","Br"},'CDR Project Planner'!$C15))))),'CDR Project Planner'!E15,"")</f>
        <v>10</v>
      </c>
      <c r="F14" s="43">
        <f>IF(SUMPRODUCT(--(NOT(ISERR(SEARCH({"T","Br"},'CDR Project Planner'!$C15))))),'CDR Project Planner'!F15,"")</f>
        <v>0</v>
      </c>
      <c r="G14" s="43">
        <f>IF(SUMPRODUCT(--(NOT(ISERR(SEARCH({"T","Br"},'CDR Project Planner'!$C15))))),'CDR Project Planner'!G15,"")</f>
        <v>0</v>
      </c>
      <c r="H14" s="56">
        <f>IF(SUMPRODUCT(--(NOT(ISERR(SEARCH({"T","Br"},'CDR Project Planner'!$C15))))),'CDR Project Planner'!H15,"")</f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51" t="str">
        <f>IF(SUMPRODUCT(--(NOT(ISERR(SEARCH({"T","Br"},'CDR Project Planner'!$C16))))),'CDR Project Planner'!B16,"")</f>
        <v xml:space="preserve">   Calibration - Ultrasonic sensors</v>
      </c>
      <c r="C15" s="43" t="str">
        <f>IF(SUMPRODUCT(--(NOT(ISERR(SEARCH({"T","Br"},'CDR Project Planner'!$C16))))),'CDR Project Planner'!C16,"")</f>
        <v>Ba &amp; Br &amp; P</v>
      </c>
      <c r="D15" s="43">
        <f>IF(SUMPRODUCT(--(NOT(ISERR(SEARCH({"T","Br"},'CDR Project Planner'!$C16))))),'CDR Project Planner'!D16,"")</f>
        <v>31</v>
      </c>
      <c r="E15" s="43">
        <f>IF(SUMPRODUCT(--(NOT(ISERR(SEARCH({"T","Br"},'CDR Project Planner'!$C16))))),'CDR Project Planner'!E16,"")</f>
        <v>7</v>
      </c>
      <c r="F15" s="43">
        <f>IF(SUMPRODUCT(--(NOT(ISERR(SEARCH({"T","Br"},'CDR Project Planner'!$C16))))),'CDR Project Planner'!F16,"")</f>
        <v>0</v>
      </c>
      <c r="G15" s="43">
        <f>IF(SUMPRODUCT(--(NOT(ISERR(SEARCH({"T","Br"},'CDR Project Planner'!$C16))))),'CDR Project Planner'!G16,"")</f>
        <v>0</v>
      </c>
      <c r="H15" s="56">
        <f>IF(SUMPRODUCT(--(NOT(ISERR(SEARCH({"T","Br"},'CDR Project Planner'!$C16))))),'CDR Project Planner'!H16,"")</f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57" t="str">
        <f>IF(SUMPRODUCT(--(NOT(ISERR(SEARCH({"T","Br"},'CDR Project Planner'!$C17))))),'CDR Project Planner'!B17,"")</f>
        <v>VHDL</v>
      </c>
      <c r="C16" s="43" t="str">
        <f>IF(SUMPRODUCT(--(NOT(ISERR(SEARCH({"T","Br"},'CDR Project Planner'!$C17))))),'CDR Project Planner'!C17,"")</f>
        <v>P &amp; Br</v>
      </c>
      <c r="D16" s="43"/>
      <c r="E16" s="43"/>
      <c r="F16" s="43"/>
      <c r="G16" s="43"/>
      <c r="H16" s="56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53" t="str">
        <f>IF(SUMPRODUCT(--(NOT(ISERR(SEARCH({"T","Br"},'CDR Project Planner'!$C18))))),'CDR Project Planner'!B18,"")</f>
        <v/>
      </c>
      <c r="C17" s="43" t="str">
        <f>IF(SUMPRODUCT(--(NOT(ISERR(SEARCH({"T","Br"},'CDR Project Planner'!$C18))))),'CDR Project Planner'!C18,"")</f>
        <v/>
      </c>
      <c r="D17" s="43" t="str">
        <f>IF(SUMPRODUCT(--(NOT(ISERR(SEARCH({"T","Br"},'CDR Project Planner'!$C18))))),'CDR Project Planner'!D18,"")</f>
        <v/>
      </c>
      <c r="E17" s="43" t="str">
        <f>IF(SUMPRODUCT(--(NOT(ISERR(SEARCH({"T","Br"},'CDR Project Planner'!$C18))))),'CDR Project Planner'!E18,"")</f>
        <v/>
      </c>
      <c r="F17" s="43" t="str">
        <f>IF(SUMPRODUCT(--(NOT(ISERR(SEARCH({"T","Br"},'CDR Project Planner'!$C18))))),'CDR Project Planner'!F18,"")</f>
        <v/>
      </c>
      <c r="G17" s="43" t="str">
        <f>IF(SUMPRODUCT(--(NOT(ISERR(SEARCH({"T","Br"},'CDR Project Planner'!$C18))))),'CDR Project Planner'!G18,"")</f>
        <v/>
      </c>
      <c r="H17" s="56" t="str">
        <f>IF(SUMPRODUCT(--(NOT(ISERR(SEARCH({"T","Br"},'CDR Project Planner'!$C18))))),'CDR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53" t="str">
        <f>IF(SUMPRODUCT(--(NOT(ISERR(SEARCH({"T","Br"},'CDR Project Planner'!$C19))))),'CDR Project Planner'!B19,"")</f>
        <v/>
      </c>
      <c r="C18" s="43" t="str">
        <f>IF(SUMPRODUCT(--(NOT(ISERR(SEARCH({"T","Br"},'CDR Project Planner'!$C19))))),'CDR Project Planner'!C19,"")</f>
        <v/>
      </c>
      <c r="D18" s="43" t="str">
        <f>IF(SUMPRODUCT(--(NOT(ISERR(SEARCH({"T","Br"},'CDR Project Planner'!$C19))))),'CDR Project Planner'!D19,"")</f>
        <v/>
      </c>
      <c r="E18" s="43" t="str">
        <f>IF(SUMPRODUCT(--(NOT(ISERR(SEARCH({"T","Br"},'CDR Project Planner'!$C19))))),'CDR Project Planner'!E19,"")</f>
        <v/>
      </c>
      <c r="F18" s="43" t="str">
        <f>IF(SUMPRODUCT(--(NOT(ISERR(SEARCH({"T","Br"},'CDR Project Planner'!$C19))))),'CDR Project Planner'!F19,"")</f>
        <v/>
      </c>
      <c r="G18" s="43" t="str">
        <f>IF(SUMPRODUCT(--(NOT(ISERR(SEARCH({"T","Br"},'CDR Project Planner'!$C19))))),'CDR Project Planner'!G19,"")</f>
        <v/>
      </c>
      <c r="H18" s="56" t="str">
        <f>IF(SUMPRODUCT(--(NOT(ISERR(SEARCH({"T","Br"},'CDR Project Planner'!$C19))))),'CDR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53" t="str">
        <f>IF(SUMPRODUCT(--(NOT(ISERR(SEARCH({"T","Br"},'CDR Project Planner'!#REF!))))),'CDR Project Planner'!#REF!,"")</f>
        <v/>
      </c>
      <c r="C19" s="43" t="str">
        <f>IF(SUMPRODUCT(--(NOT(ISERR(SEARCH({"T","Br"},'CDR Project Planner'!#REF!))))),'CDR Project Planner'!#REF!,"")</f>
        <v/>
      </c>
      <c r="D19" s="43" t="str">
        <f>IF(SUMPRODUCT(--(NOT(ISERR(SEARCH({"T","Br"},'CDR Project Planner'!#REF!))))),'CDR Project Planner'!#REF!,"")</f>
        <v/>
      </c>
      <c r="E19" s="43" t="str">
        <f>IF(SUMPRODUCT(--(NOT(ISERR(SEARCH({"T","Br"},'CDR Project Planner'!#REF!))))),'CDR Project Planner'!#REF!,"")</f>
        <v/>
      </c>
      <c r="F19" s="43" t="str">
        <f>IF(SUMPRODUCT(--(NOT(ISERR(SEARCH({"T","Br"},'CDR Project Planner'!#REF!))))),'CDR Project Planner'!#REF!,"")</f>
        <v/>
      </c>
      <c r="G19" s="43" t="str">
        <f>IF(SUMPRODUCT(--(NOT(ISERR(SEARCH({"T","Br"},'CDR Project Planner'!#REF!))))),'CDR Project Planner'!#REF!,"")</f>
        <v/>
      </c>
      <c r="H19" s="56" t="str">
        <f>IF(SUMPRODUCT(--(NOT(ISERR(SEARCH({"T","Br"},'CDR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53" t="str">
        <f>IF(SUMPRODUCT(--(NOT(ISERR(SEARCH({"T","Br"},'CDR Project Planner'!#REF!))))),'CDR Project Planner'!#REF!,"")</f>
        <v/>
      </c>
      <c r="C20" s="43" t="str">
        <f>IF(SUMPRODUCT(--(NOT(ISERR(SEARCH({"T","Br"},'CDR Project Planner'!#REF!))))),'CDR Project Planner'!#REF!,"")</f>
        <v/>
      </c>
      <c r="D20" s="43" t="str">
        <f>IF(SUMPRODUCT(--(NOT(ISERR(SEARCH({"T","Br"},'CDR Project Planner'!#REF!))))),'CDR Project Planner'!#REF!,"")</f>
        <v/>
      </c>
      <c r="E20" s="43" t="str">
        <f>IF(SUMPRODUCT(--(NOT(ISERR(SEARCH({"T","Br"},'CDR Project Planner'!#REF!))))),'CDR Project Planner'!#REF!,"")</f>
        <v/>
      </c>
      <c r="F20" s="43" t="str">
        <f>IF(SUMPRODUCT(--(NOT(ISERR(SEARCH({"T","Br"},'CDR Project Planner'!#REF!))))),'CDR Project Planner'!#REF!,"")</f>
        <v/>
      </c>
      <c r="G20" s="43" t="str">
        <f>IF(SUMPRODUCT(--(NOT(ISERR(SEARCH({"T","Br"},'CDR Project Planner'!#REF!))))),'CDR Project Planner'!#REF!,"")</f>
        <v/>
      </c>
      <c r="H20" s="56" t="str">
        <f>IF(SUMPRODUCT(--(NOT(ISERR(SEARCH({"T","Br"},'CDR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51" t="str">
        <f>IF(SUMPRODUCT(--(NOT(ISERR(SEARCH({"T","Br"},'CDR Project Planner'!$C21))))),'CDR Project Planner'!B21,"")</f>
        <v/>
      </c>
      <c r="C21" s="43" t="str">
        <f>IF(SUMPRODUCT(--(NOT(ISERR(SEARCH({"T","Br"},'CDR Project Planner'!$C21))))),'CDR Project Planner'!C21,"")</f>
        <v/>
      </c>
      <c r="D21" s="43" t="str">
        <f>IF(SUMPRODUCT(--(NOT(ISERR(SEARCH({"T","Br"},'CDR Project Planner'!$C21))))),'CDR Project Planner'!D21,"")</f>
        <v/>
      </c>
      <c r="E21" s="43" t="str">
        <f>IF(SUMPRODUCT(--(NOT(ISERR(SEARCH({"T","Br"},'CDR Project Planner'!$C21))))),'CDR Project Planner'!E21,"")</f>
        <v/>
      </c>
      <c r="F21" s="43" t="str">
        <f>IF(SUMPRODUCT(--(NOT(ISERR(SEARCH({"T","Br"},'CDR Project Planner'!$C21))))),'CDR Project Planner'!F21,"")</f>
        <v/>
      </c>
      <c r="G21" s="43" t="str">
        <f>IF(SUMPRODUCT(--(NOT(ISERR(SEARCH({"T","Br"},'CDR Project Planner'!$C21))))),'CDR Project Planner'!G21,"")</f>
        <v/>
      </c>
      <c r="H21" s="56" t="str">
        <f>IF(SUMPRODUCT(--(NOT(ISERR(SEARCH({"T","Br"},'CDR Project Planner'!$C21))))),'CDR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51" t="str">
        <f>IF(SUMPRODUCT(--(NOT(ISERR(SEARCH({"T","Br"},'CDR Project Planner'!$C22))))),'CDR Project Planner'!B22,"")</f>
        <v/>
      </c>
      <c r="C22" s="43" t="str">
        <f>IF(SUMPRODUCT(--(NOT(ISERR(SEARCH({"T","Br"},'CDR Project Planner'!$C22))))),'CDR Project Planner'!C22,"")</f>
        <v/>
      </c>
      <c r="D22" s="43" t="str">
        <f>IF(SUMPRODUCT(--(NOT(ISERR(SEARCH({"T","Br"},'CDR Project Planner'!$C22))))),'CDR Project Planner'!D22,"")</f>
        <v/>
      </c>
      <c r="E22" s="43" t="str">
        <f>IF(SUMPRODUCT(--(NOT(ISERR(SEARCH({"T","Br"},'CDR Project Planner'!$C22))))),'CDR Project Planner'!E22,"")</f>
        <v/>
      </c>
      <c r="F22" s="43" t="str">
        <f>IF(SUMPRODUCT(--(NOT(ISERR(SEARCH({"T","Br"},'CDR Project Planner'!$C22))))),'CDR Project Planner'!F22,"")</f>
        <v/>
      </c>
      <c r="G22" s="43" t="str">
        <f>IF(SUMPRODUCT(--(NOT(ISERR(SEARCH({"T","Br"},'CDR Project Planner'!$C22))))),'CDR Project Planner'!G22,"")</f>
        <v/>
      </c>
      <c r="H22" s="56" t="str">
        <f>IF(SUMPRODUCT(--(NOT(ISERR(SEARCH({"T","Br"},'CDR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51" t="str">
        <f>IF(SUMPRODUCT(--(NOT(ISERR(SEARCH({"T","Br"},'CDR Project Planner'!$C23))))),'CDR Project Planner'!B23,"")</f>
        <v/>
      </c>
      <c r="C23" s="43" t="str">
        <f>IF(SUMPRODUCT(--(NOT(ISERR(SEARCH({"T","Br"},'CDR Project Planner'!$C23))))),'CDR Project Planner'!C23,"")</f>
        <v/>
      </c>
      <c r="D23" s="43" t="str">
        <f>IF(SUMPRODUCT(--(NOT(ISERR(SEARCH({"T","Br"},'CDR Project Planner'!$C23))))),'CDR Project Planner'!D23,"")</f>
        <v/>
      </c>
      <c r="E23" s="43" t="str">
        <f>IF(SUMPRODUCT(--(NOT(ISERR(SEARCH({"T","Br"},'CDR Project Planner'!$C23))))),'CDR Project Planner'!E23,"")</f>
        <v/>
      </c>
      <c r="F23" s="43" t="str">
        <f>IF(SUMPRODUCT(--(NOT(ISERR(SEARCH({"T","Br"},'CDR Project Planner'!$C23))))),'CDR Project Planner'!F23,"")</f>
        <v/>
      </c>
      <c r="G23" s="43" t="str">
        <f>IF(SUMPRODUCT(--(NOT(ISERR(SEARCH({"T","Br"},'CDR Project Planner'!$C23))))),'CDR Project Planner'!G23,"")</f>
        <v/>
      </c>
      <c r="H23" s="56" t="str">
        <f>IF(SUMPRODUCT(--(NOT(ISERR(SEARCH({"T","Br"},'CDR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51" t="str">
        <f>IF(SUMPRODUCT(--(NOT(ISERR(SEARCH({"T","Br"},'CDR Project Planner'!$C24))))),'CDR Project Planner'!B24,"")</f>
        <v/>
      </c>
      <c r="C24" s="43" t="str">
        <f>IF(SUMPRODUCT(--(NOT(ISERR(SEARCH({"T","Br"},'CDR Project Planner'!$C24))))),'CDR Project Planner'!C24,"")</f>
        <v/>
      </c>
      <c r="D24" s="43" t="str">
        <f>IF(SUMPRODUCT(--(NOT(ISERR(SEARCH({"T","Br"},'CDR Project Planner'!$C24))))),'CDR Project Planner'!D24,"")</f>
        <v/>
      </c>
      <c r="E24" s="43" t="str">
        <f>IF(SUMPRODUCT(--(NOT(ISERR(SEARCH({"T","Br"},'CDR Project Planner'!$C24))))),'CDR Project Planner'!E24,"")</f>
        <v/>
      </c>
      <c r="F24" s="43" t="str">
        <f>IF(SUMPRODUCT(--(NOT(ISERR(SEARCH({"T","Br"},'CDR Project Planner'!$C24))))),'CDR Project Planner'!F24,"")</f>
        <v/>
      </c>
      <c r="G24" s="43" t="str">
        <f>IF(SUMPRODUCT(--(NOT(ISERR(SEARCH({"T","Br"},'CDR Project Planner'!$C24))))),'CDR Project Planner'!G24,"")</f>
        <v/>
      </c>
      <c r="H24" s="56" t="str">
        <f>IF(SUMPRODUCT(--(NOT(ISERR(SEARCH({"T","Br"},'CDR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51" t="str">
        <f>IF(SUMPRODUCT(--(NOT(ISERR(SEARCH({"T","Br"},'CDR Project Planner'!#REF!))))),'CDR Project Planner'!#REF!,"")</f>
        <v/>
      </c>
      <c r="C25" s="43" t="str">
        <f>IF(SUMPRODUCT(--(NOT(ISERR(SEARCH({"T","Br"},'CDR Project Planner'!#REF!))))),'CDR Project Planner'!#REF!,"")</f>
        <v/>
      </c>
      <c r="D25" s="43" t="str">
        <f>IF(SUMPRODUCT(--(NOT(ISERR(SEARCH({"T","Br"},'CDR Project Planner'!#REF!))))),'CDR Project Planner'!#REF!,"")</f>
        <v/>
      </c>
      <c r="E25" s="43" t="str">
        <f>IF(SUMPRODUCT(--(NOT(ISERR(SEARCH({"T","Br"},'CDR Project Planner'!#REF!))))),'CDR Project Planner'!#REF!,"")</f>
        <v/>
      </c>
      <c r="F25" s="43" t="str">
        <f>IF(SUMPRODUCT(--(NOT(ISERR(SEARCH({"T","Br"},'CDR Project Planner'!#REF!))))),'CDR Project Planner'!#REF!,"")</f>
        <v/>
      </c>
      <c r="G25" s="43" t="str">
        <f>IF(SUMPRODUCT(--(NOT(ISERR(SEARCH({"T","Br"},'CDR Project Planner'!#REF!))))),'CDR Project Planner'!#REF!,"")</f>
        <v/>
      </c>
      <c r="H25" s="56" t="str">
        <f>IF(SUMPRODUCT(--(NOT(ISERR(SEARCH({"T","Br"},'CDR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51" t="str">
        <f>IF(SUMPRODUCT(--(NOT(ISERR(SEARCH({"T","Br"},'CDR Project Planner'!$C28))))),'CDR Project Planner'!B28,"")</f>
        <v/>
      </c>
      <c r="C26" s="43" t="str">
        <f>IF(SUMPRODUCT(--(NOT(ISERR(SEARCH({"T","Br"},'CDR Project Planner'!$C28))))),'CDR Project Planner'!C28,"")</f>
        <v/>
      </c>
      <c r="D26" s="43" t="str">
        <f>IF(SUMPRODUCT(--(NOT(ISERR(SEARCH({"T","Br"},'CDR Project Planner'!$C28))))),'CDR Project Planner'!D28,"")</f>
        <v/>
      </c>
      <c r="E26" s="43" t="str">
        <f>IF(SUMPRODUCT(--(NOT(ISERR(SEARCH({"T","Br"},'CDR Project Planner'!$C28))))),'CDR Project Planner'!E28,"")</f>
        <v/>
      </c>
      <c r="F26" s="43" t="str">
        <f>IF(SUMPRODUCT(--(NOT(ISERR(SEARCH({"T","Br"},'CDR Project Planner'!$C28))))),'CDR Project Planner'!F28,"")</f>
        <v/>
      </c>
      <c r="G26" s="43" t="str">
        <f>IF(SUMPRODUCT(--(NOT(ISERR(SEARCH({"T","Br"},'CDR Project Planner'!$C28))))),'CDR Project Planner'!G28,"")</f>
        <v/>
      </c>
      <c r="H26" s="56" t="str">
        <f>IF(SUMPRODUCT(--(NOT(ISERR(SEARCH({"T","Br"},'CDR Project Planner'!$C28))))),'CDR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50" t="str">
        <f>IF(SUMPRODUCT(--(NOT(ISERR(SEARCH({"T","Br"},'CDR Project Planner'!$C29))))),'CDR Project Planner'!B29,"")</f>
        <v>C Development</v>
      </c>
      <c r="C27" s="43" t="str">
        <f>IF(SUMPRODUCT(--(NOT(ISERR(SEARCH({"T","Br"},'CDR Project Planner'!$C29))))),'CDR Project Planner'!C29,"")</f>
        <v>Br</v>
      </c>
      <c r="D27" s="43"/>
      <c r="E27" s="43"/>
      <c r="F27" s="43"/>
      <c r="G27" s="43"/>
      <c r="H27" s="48">
        <f>IF(SUMPRODUCT(--(NOT(ISERR(SEARCH({"T","Br"},'CDR Project Planner'!$C29))))),'CDR Project Planner'!H29,"")</f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51" t="str">
        <f>IF(SUMPRODUCT(--(NOT(ISERR(SEARCH({"T","Br"},'CDR Project Planner'!#REF!))))),'CDR Project Planner'!#REF!,"")</f>
        <v/>
      </c>
      <c r="C28" s="43" t="str">
        <f>IF(SUMPRODUCT(--(NOT(ISERR(SEARCH({"T","Br"},'CDR Project Planner'!#REF!))))),'CDR Project Planner'!#REF!,"")</f>
        <v/>
      </c>
      <c r="D28" s="43" t="str">
        <f>IF(SUMPRODUCT(--(NOT(ISERR(SEARCH({"T","Br"},'CDR Project Planner'!#REF!))))),'CDR Project Planner'!#REF!,"")</f>
        <v/>
      </c>
      <c r="E28" s="43" t="str">
        <f>IF(SUMPRODUCT(--(NOT(ISERR(SEARCH({"T","Br"},'CDR Project Planner'!#REF!))))),'CDR Project Planner'!#REF!,"")</f>
        <v/>
      </c>
      <c r="F28" s="43" t="str">
        <f>IF(SUMPRODUCT(--(NOT(ISERR(SEARCH({"T","Br"},'CDR Project Planner'!#REF!))))),'CDR Project Planner'!#REF!,"")</f>
        <v/>
      </c>
      <c r="G28" s="43" t="str">
        <f>IF(SUMPRODUCT(--(NOT(ISERR(SEARCH({"T","Br"},'CDR Project Planner'!#REF!))))),'CDR Project Planner'!#REF!,"")</f>
        <v/>
      </c>
      <c r="H28" s="48" t="str">
        <f>IF(SUMPRODUCT(--(NOT(ISERR(SEARCH({"T","Br"},'CDR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51" t="str">
        <f>IF(SUMPRODUCT(--(NOT(ISERR(SEARCH({"T","Br"},'CDR Project Planner'!$C30))))),'CDR Project Planner'!B30,"")</f>
        <v>Write code for Ultrasonic Sensors</v>
      </c>
      <c r="C29" s="43" t="str">
        <f>IF(SUMPRODUCT(--(NOT(ISERR(SEARCH({"T","Br"},'CDR Project Planner'!$C30))))),'CDR Project Planner'!C30,"")</f>
        <v>Br</v>
      </c>
      <c r="D29" s="43">
        <f>IF(SUMPRODUCT(--(NOT(ISERR(SEARCH({"T","Br"},'CDR Project Planner'!$C30))))),'CDR Project Planner'!D30,"")</f>
        <v>29</v>
      </c>
      <c r="E29" s="43">
        <f>IF(SUMPRODUCT(--(NOT(ISERR(SEARCH({"T","Br"},'CDR Project Planner'!$C30))))),'CDR Project Planner'!E30,"")</f>
        <v>7</v>
      </c>
      <c r="F29" s="43">
        <f>IF(SUMPRODUCT(--(NOT(ISERR(SEARCH({"T","Br"},'CDR Project Planner'!$C30))))),'CDR Project Planner'!F30,"")</f>
        <v>0</v>
      </c>
      <c r="G29" s="43">
        <f>IF(SUMPRODUCT(--(NOT(ISERR(SEARCH({"T","Br"},'CDR Project Planner'!$C30))))),'CDR Project Planner'!G30,"")</f>
        <v>0</v>
      </c>
      <c r="H29" s="48">
        <f>IF(SUMPRODUCT(--(NOT(ISERR(SEARCH({"T","Br"},'CDR Project Planner'!$C30))))),'CDR Project Planner'!H30,"")</f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50" t="str">
        <f>IF(SUMPRODUCT(--(NOT(ISERR(SEARCH({"T","Br"},'CDR Project Planner'!$C35))))),'CDR Project Planner'!B35,"")</f>
        <v>Project Management</v>
      </c>
      <c r="C30" s="43" t="str">
        <f>IF(SUMPRODUCT(--(NOT(ISERR(SEARCH({"T","Br"},'CDR Project Planner'!$C35))))),'CDR Project Planner'!C35,"")</f>
        <v>An &amp; T &amp; ?</v>
      </c>
      <c r="D30" s="43"/>
      <c r="E30" s="43"/>
      <c r="F30" s="43"/>
      <c r="G30" s="43"/>
      <c r="H30" s="48">
        <f>IF(SUMPRODUCT(--(NOT(ISERR(SEARCH({"T","Br"},'CDR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42" t="str">
        <f>IF(SUMPRODUCT(--(NOT(ISERR(SEARCH({"T","Br"},'CDR Project Planner'!$C36))))),'CDR Project Planner'!B36,"")</f>
        <v/>
      </c>
      <c r="C31" s="43" t="str">
        <f>IF(SUMPRODUCT(--(NOT(ISERR(SEARCH({"T","Br"},'CDR Project Planner'!$C36))))),'CDR Project Planner'!C36,"")</f>
        <v/>
      </c>
      <c r="D31" s="43" t="str">
        <f>IF(SUMPRODUCT(--(NOT(ISERR(SEARCH({"T","Br"},'CDR Project Planner'!$C36))))),'CDR Project Planner'!D36,"")</f>
        <v/>
      </c>
      <c r="E31" s="43" t="str">
        <f>IF(SUMPRODUCT(--(NOT(ISERR(SEARCH({"T","Br"},'CDR Project Planner'!$C36))))),'CDR Project Planner'!E36,"")</f>
        <v/>
      </c>
      <c r="F31" s="43" t="str">
        <f>IF(SUMPRODUCT(--(NOT(ISERR(SEARCH({"T","Br"},'CDR Project Planner'!$C36))))),'CDR Project Planner'!F36,"")</f>
        <v/>
      </c>
      <c r="G31" s="43" t="str">
        <f>IF(SUMPRODUCT(--(NOT(ISERR(SEARCH({"T","Br"},'CDR Project Planner'!$C36))))),'CDR Project Planner'!G36,"")</f>
        <v/>
      </c>
      <c r="H31" s="48" t="str">
        <f>IF(SUMPRODUCT(--(NOT(ISERR(SEARCH({"T","Br"},'CDR Project Planner'!$C36))))),'CDR Project Planner'!H36,"")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42" t="str">
        <f>IF(SUMPRODUCT(--(NOT(ISERR(SEARCH({"T","Br"},'CDR Project Planner'!$C37))))),'CDR Project Planner'!B37,"")</f>
        <v/>
      </c>
      <c r="C32" s="43" t="str">
        <f>IF(SUMPRODUCT(--(NOT(ISERR(SEARCH({"T","Br"},'CDR Project Planner'!$C37))))),'CDR Project Planner'!C37,"")</f>
        <v/>
      </c>
      <c r="D32" s="43" t="str">
        <f>IF(SUMPRODUCT(--(NOT(ISERR(SEARCH({"T","Br"},'CDR Project Planner'!$C37))))),'CDR Project Planner'!D37,"")</f>
        <v/>
      </c>
      <c r="E32" s="43" t="str">
        <f>IF(SUMPRODUCT(--(NOT(ISERR(SEARCH({"T","Br"},'CDR Project Planner'!$C37))))),'CDR Project Planner'!E37,"")</f>
        <v/>
      </c>
      <c r="F32" s="43" t="str">
        <f>IF(SUMPRODUCT(--(NOT(ISERR(SEARCH({"T","Br"},'CDR Project Planner'!$C37))))),'CDR Project Planner'!F37,"")</f>
        <v/>
      </c>
      <c r="G32" s="43" t="str">
        <f>IF(SUMPRODUCT(--(NOT(ISERR(SEARCH({"T","Br"},'CDR Project Planner'!$C37))))),'CDR Project Planner'!G37,"")</f>
        <v/>
      </c>
      <c r="H32" s="48" t="str">
        <f>IF(SUMPRODUCT(--(NOT(ISERR(SEARCH({"T","Br"},'CDR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42" t="str">
        <f>IF(SUMPRODUCT(--(NOT(ISERR(SEARCH({"T","Br"},'CDR Project Planner'!$C38))))),'CDR Project Planner'!B38,"")</f>
        <v/>
      </c>
      <c r="C33" s="43" t="str">
        <f>IF(SUMPRODUCT(--(NOT(ISERR(SEARCH({"T","Br"},'CDR Project Planner'!$C38))))),'CDR Project Planner'!C38,"")</f>
        <v/>
      </c>
      <c r="D33" s="43" t="str">
        <f>IF(SUMPRODUCT(--(NOT(ISERR(SEARCH({"T","Br"},'CDR Project Planner'!$C38))))),'CDR Project Planner'!D38,"")</f>
        <v/>
      </c>
      <c r="E33" s="43" t="str">
        <f>IF(SUMPRODUCT(--(NOT(ISERR(SEARCH({"T","Br"},'CDR Project Planner'!$C38))))),'CDR Project Planner'!E38,"")</f>
        <v/>
      </c>
      <c r="F33" s="43" t="str">
        <f>IF(SUMPRODUCT(--(NOT(ISERR(SEARCH({"T","Br"},'CDR Project Planner'!$C38))))),'CDR Project Planner'!F38,"")</f>
        <v/>
      </c>
      <c r="G33" s="43" t="str">
        <f>IF(SUMPRODUCT(--(NOT(ISERR(SEARCH({"T","Br"},'CDR Project Planner'!$C38))))),'CDR Project Planner'!G38,"")</f>
        <v/>
      </c>
      <c r="H33" s="48" t="str">
        <f>IF(SUMPRODUCT(--(NOT(ISERR(SEARCH({"T","Br"},'CDR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42" t="str">
        <f>IF(SUMPRODUCT(--(NOT(ISERR(SEARCH({"T","Br"},'CDR Project Planner'!$C39))))),'CDR Project Planner'!B39,"")</f>
        <v/>
      </c>
      <c r="C34" s="43" t="str">
        <f>IF(SUMPRODUCT(--(NOT(ISERR(SEARCH({"T","Br"},'CDR Project Planner'!$C39))))),'CDR Project Planner'!C39,"")</f>
        <v/>
      </c>
      <c r="D34" s="43" t="str">
        <f>IF(SUMPRODUCT(--(NOT(ISERR(SEARCH({"T","Br"},'CDR Project Planner'!$C39))))),'CDR Project Planner'!D39,"")</f>
        <v/>
      </c>
      <c r="E34" s="43" t="str">
        <f>IF(SUMPRODUCT(--(NOT(ISERR(SEARCH({"T","Br"},'CDR Project Planner'!$C39))))),'CDR Project Planner'!E39,"")</f>
        <v/>
      </c>
      <c r="F34" s="43" t="str">
        <f>IF(SUMPRODUCT(--(NOT(ISERR(SEARCH({"T","Br"},'CDR Project Planner'!$C39))))),'CDR Project Planner'!F39,"")</f>
        <v/>
      </c>
      <c r="G34" s="43" t="str">
        <f>IF(SUMPRODUCT(--(NOT(ISERR(SEARCH({"T","Br"},'CDR Project Planner'!$C39))))),'CDR Project Planner'!G39,"")</f>
        <v/>
      </c>
      <c r="H34" s="48" t="str">
        <f>IF(SUMPRODUCT(--(NOT(ISERR(SEARCH({"T","Br"},'CDR Project Planner'!$C39))))),'CDR Project Planner'!H39,"")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51" t="str">
        <f>IF(SUMPRODUCT(--(NOT(ISERR(SEARCH({"T","Br"},'CDR Project Planner'!$C40))))),'CDR Project Planner'!B40,"")</f>
        <v>CDR PowerPoint</v>
      </c>
      <c r="C35" s="43" t="str">
        <f>IF(SUMPRODUCT(--(NOT(ISERR(SEARCH({"T","Br"},'CDR Project Planner'!$C40))))),'CDR Project Planner'!C40,"")</f>
        <v>T</v>
      </c>
      <c r="D35" s="43">
        <f>IF(SUMPRODUCT(--(NOT(ISERR(SEARCH({"T","Br"},'CDR Project Planner'!$C40))))),'CDR Project Planner'!D40,"")</f>
        <v>45</v>
      </c>
      <c r="E35" s="43">
        <f>IF(SUMPRODUCT(--(NOT(ISERR(SEARCH({"T","Br"},'CDR Project Planner'!$C40))))),'CDR Project Planner'!E40,"")</f>
        <v>10</v>
      </c>
      <c r="F35" s="43">
        <f>IF(SUMPRODUCT(--(NOT(ISERR(SEARCH({"T","Br"},'CDR Project Planner'!$C40))))),'CDR Project Planner'!F40,"")</f>
        <v>0</v>
      </c>
      <c r="G35" s="43">
        <f>IF(SUMPRODUCT(--(NOT(ISERR(SEARCH({"T","Br"},'CDR Project Planner'!$C40))))),'CDR Project Planner'!G40,"")</f>
        <v>0</v>
      </c>
      <c r="H35" s="48">
        <f>IF(SUMPRODUCT(--(NOT(ISERR(SEARCH({"T","Br"},'CDR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31"/>
      <c r="B36" s="46" t="str">
        <f>IF(SUMPRODUCT(--(NOT(ISERR(SEARCH({"T","Br"},'CDR Project Planner'!$C41))))),'CDR Project Planner'!B41,"")</f>
        <v>CDR</v>
      </c>
      <c r="C36" s="47" t="str">
        <f>IF(SUMPRODUCT(--(NOT(ISERR(SEARCH({"T","Br"},'CDR Project Planner'!$C41))))),'CDR Project Planner'!C41,"")</f>
        <v>T</v>
      </c>
      <c r="D36" s="47">
        <f>IF(SUMPRODUCT(--(NOT(ISERR(SEARCH({"T","Br"},'CDR Project Planner'!$C41))))),'CDR Project Planner'!D41,"")</f>
        <v>55</v>
      </c>
      <c r="E36" s="47">
        <f>IF(SUMPRODUCT(--(NOT(ISERR(SEARCH({"T","Br"},'CDR Project Planner'!$C41))))),'CDR Project Planner'!E41,"")</f>
        <v>1</v>
      </c>
      <c r="F36" s="47">
        <f>IF(SUMPRODUCT(--(NOT(ISERR(SEARCH({"T","Br"},'CDR Project Planner'!$C41))))),'CDR Project Planner'!F41,"")</f>
        <v>55</v>
      </c>
      <c r="G36" s="47">
        <f>IF(SUMPRODUCT(--(NOT(ISERR(SEARCH({"T","Br"},'CDR Project Planner'!$C41))))),'CDR Project Planner'!G41,"")</f>
        <v>1</v>
      </c>
      <c r="H36" s="48">
        <f>IF(SUMPRODUCT(--(NOT(ISERR(SEARCH({"T","Br"},'CDR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42" t="str">
        <f>IF(SUMPRODUCT(--(NOT(ISERR(SEARCH({"T","Br"},'CDR Project Planner'!$C42))))),'CDR Project Planner'!B42,"")</f>
        <v/>
      </c>
      <c r="C37" s="43" t="str">
        <f>IF(SUMPRODUCT(--(NOT(ISERR(SEARCH({"T","Br"},'CDR Project Planner'!$C42))))),'CDR Project Planner'!C42,"")</f>
        <v/>
      </c>
      <c r="D37" s="43" t="str">
        <f>IF(SUMPRODUCT(--(NOT(ISERR(SEARCH({"T","Br"},'CDR Project Planner'!$C42))))),'CDR Project Planner'!D42,"")</f>
        <v/>
      </c>
      <c r="E37" s="43" t="str">
        <f>IF(SUMPRODUCT(--(NOT(ISERR(SEARCH({"T","Br"},'CDR Project Planner'!$C42))))),'CDR Project Planner'!E42,"")</f>
        <v/>
      </c>
      <c r="F37" s="43" t="str">
        <f>IF(SUMPRODUCT(--(NOT(ISERR(SEARCH({"T","Br"},'CDR Project Planner'!$C42))))),'CDR Project Planner'!F42,"")</f>
        <v/>
      </c>
      <c r="G37" s="43" t="str">
        <f>IF(SUMPRODUCT(--(NOT(ISERR(SEARCH({"T","Br"},'CDR Project Planner'!$C42))))),'CDR Project Planner'!G42,"")</f>
        <v/>
      </c>
      <c r="H37" s="48" t="str">
        <f>IF(SUMPRODUCT(--(NOT(ISERR(SEARCH({"T","Br"},'CDR Project Planner'!$C42))))),'CDR Project Planner'!H42,"")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2" t="str">
        <f>IF(SUMPRODUCT(--(NOT(ISERR(SEARCH({"T","Br"},'CDR Project Planner'!$C43))))),'CDR Project Planner'!B43,"")</f>
        <v/>
      </c>
      <c r="C38" s="43" t="str">
        <f>IF(SUMPRODUCT(--(NOT(ISERR(SEARCH({"T","Br"},'CDR Project Planner'!$C43))))),'CDR Project Planner'!C43,"")</f>
        <v/>
      </c>
      <c r="D38" s="43" t="str">
        <f>IF(SUMPRODUCT(--(NOT(ISERR(SEARCH({"T","Br"},'CDR Project Planner'!$C43))))),'CDR Project Planner'!D43,"")</f>
        <v/>
      </c>
      <c r="E38" s="43" t="str">
        <f>IF(SUMPRODUCT(--(NOT(ISERR(SEARCH({"T","Br"},'CDR Project Planner'!$C43))))),'CDR Project Planner'!E43,"")</f>
        <v/>
      </c>
      <c r="F38" s="43" t="str">
        <f>IF(SUMPRODUCT(--(NOT(ISERR(SEARCH({"T","Br"},'CDR Project Planner'!$C43))))),'CDR Project Planner'!F43,"")</f>
        <v/>
      </c>
      <c r="G38" s="43" t="str">
        <f>IF(SUMPRODUCT(--(NOT(ISERR(SEARCH({"T","Br"},'CDR Project Planner'!$C43))))),'CDR Project Planner'!G43,"")</f>
        <v/>
      </c>
      <c r="H38" s="48" t="str">
        <f>IF(SUMPRODUCT(--(NOT(ISERR(SEARCH({"T","Br"},'CDR Project Planner'!$C43))))),'CDR Project Planner'!H43,"")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42" t="str">
        <f>IF(SUMPRODUCT(--(NOT(ISERR(SEARCH({"T","Br"},'CDR Project Planner'!$C44))))),'CDR Project Planner'!B44,"")</f>
        <v/>
      </c>
      <c r="C39" s="43" t="str">
        <f>IF(SUMPRODUCT(--(NOT(ISERR(SEARCH({"T","Br"},'CDR Project Planner'!$C44))))),'CDR Project Planner'!C44,"")</f>
        <v/>
      </c>
      <c r="D39" s="43" t="str">
        <f>IF(SUMPRODUCT(--(NOT(ISERR(SEARCH({"T","Br"},'CDR Project Planner'!$C44))))),'CDR Project Planner'!D44,"")</f>
        <v/>
      </c>
      <c r="E39" s="43" t="str">
        <f>IF(SUMPRODUCT(--(NOT(ISERR(SEARCH({"T","Br"},'CDR Project Planner'!$C44))))),'CDR Project Planner'!E44,"")</f>
        <v/>
      </c>
      <c r="F39" s="43" t="str">
        <f>IF(SUMPRODUCT(--(NOT(ISERR(SEARCH({"T","Br"},'CDR Project Planner'!$C44))))),'CDR Project Planner'!F44,"")</f>
        <v/>
      </c>
      <c r="G39" s="43" t="str">
        <f>IF(SUMPRODUCT(--(NOT(ISERR(SEARCH({"T","Br"},'CDR Project Planner'!$C44))))),'CDR Project Planner'!G44,"")</f>
        <v/>
      </c>
      <c r="H39" s="48" t="str">
        <f>IF(SUMPRODUCT(--(NOT(ISERR(SEARCH({"T","Br"},'CDR Project Planner'!$C44))))),'CDR Project Planner'!H44,"")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42" t="str">
        <f>IF(SUMPRODUCT(--(NOT(ISERR(SEARCH({"T","Br"},'CDR Project Planner'!$C45))))),'CDR Project Planner'!B45,"")</f>
        <v/>
      </c>
      <c r="C40" s="43" t="str">
        <f>IF(SUMPRODUCT(--(NOT(ISERR(SEARCH({"T","Br"},'CDR Project Planner'!$C45))))),'CDR Project Planner'!C45,"")</f>
        <v/>
      </c>
      <c r="D40" s="43" t="str">
        <f>IF(SUMPRODUCT(--(NOT(ISERR(SEARCH({"T","Br"},'CDR Project Planner'!$C45))))),'CDR Project Planner'!D45,"")</f>
        <v/>
      </c>
      <c r="E40" s="43" t="str">
        <f>IF(SUMPRODUCT(--(NOT(ISERR(SEARCH({"T","Br"},'CDR Project Planner'!$C45))))),'CDR Project Planner'!E45,"")</f>
        <v/>
      </c>
      <c r="F40" s="43" t="str">
        <f>IF(SUMPRODUCT(--(NOT(ISERR(SEARCH({"T","Br"},'CDR Project Planner'!$C45))))),'CDR Project Planner'!F45,"")</f>
        <v/>
      </c>
      <c r="G40" s="43" t="str">
        <f>IF(SUMPRODUCT(--(NOT(ISERR(SEARCH({"T","Br"},'CDR Project Planner'!$C45))))),'CDR Project Planner'!G45,"")</f>
        <v/>
      </c>
      <c r="H40" s="48" t="str">
        <f>IF(SUMPRODUCT(--(NOT(ISERR(SEARCH({"T","Br"},'CDR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42" t="str">
        <f>IF(SUMPRODUCT(--(NOT(ISERR(SEARCH({"T","Br"},'CDR Project Planner'!$C46))))),'CDR Project Planner'!B46,"")</f>
        <v/>
      </c>
      <c r="C41" s="43" t="str">
        <f>IF(SUMPRODUCT(--(NOT(ISERR(SEARCH({"T","Br"},'CDR Project Planner'!$C46))))),'CDR Project Planner'!C46,"")</f>
        <v/>
      </c>
      <c r="D41" s="43" t="str">
        <f>IF(SUMPRODUCT(--(NOT(ISERR(SEARCH({"T","Br"},'CDR Project Planner'!$C46))))),'CDR Project Planner'!D46,"")</f>
        <v/>
      </c>
      <c r="E41" s="43" t="str">
        <f>IF(SUMPRODUCT(--(NOT(ISERR(SEARCH({"T","Br"},'CDR Project Planner'!$C46))))),'CDR Project Planner'!E46,"")</f>
        <v/>
      </c>
      <c r="F41" s="43" t="str">
        <f>IF(SUMPRODUCT(--(NOT(ISERR(SEARCH({"T","Br"},'CDR Project Planner'!$C46))))),'CDR Project Planner'!F46,"")</f>
        <v/>
      </c>
      <c r="G41" s="43" t="str">
        <f>IF(SUMPRODUCT(--(NOT(ISERR(SEARCH({"T","Br"},'CDR Project Planner'!$C46))))),'CDR Project Planner'!G46,"")</f>
        <v/>
      </c>
      <c r="H41" s="48" t="str">
        <f>IF(SUMPRODUCT(--(NOT(ISERR(SEARCH({"T","Br"},'CDR Project Planner'!$C46))))),'CDR Project Planner'!H46,"")</f>
        <v/>
      </c>
    </row>
    <row r="42" spans="1:68" ht="30" customHeight="1" x14ac:dyDescent="0.25">
      <c r="B42" s="42" t="str">
        <f>IF(SUMPRODUCT(--(NOT(ISERR(SEARCH({"T","Br"},'CDR Project Planner'!$C47))))),'CDR Project Planner'!B47,"")</f>
        <v/>
      </c>
      <c r="C42" s="43" t="str">
        <f>IF(SUMPRODUCT(--(NOT(ISERR(SEARCH({"T","Br"},'CDR Project Planner'!$C47))))),'CDR Project Planner'!C47,"")</f>
        <v/>
      </c>
      <c r="D42" s="43" t="str">
        <f>IF(SUMPRODUCT(--(NOT(ISERR(SEARCH({"T","Br"},'CDR Project Planner'!$C47))))),'CDR Project Planner'!D47,"")</f>
        <v/>
      </c>
      <c r="E42" s="43" t="str">
        <f>IF(SUMPRODUCT(--(NOT(ISERR(SEARCH({"T","Br"},'CDR Project Planner'!$C47))))),'CDR Project Planner'!E47,"")</f>
        <v/>
      </c>
      <c r="F42" s="43" t="str">
        <f>IF(SUMPRODUCT(--(NOT(ISERR(SEARCH({"T","Br"},'CDR Project Planner'!$C47))))),'CDR Project Planner'!F47,"")</f>
        <v/>
      </c>
      <c r="G42" s="43" t="str">
        <f>IF(SUMPRODUCT(--(NOT(ISERR(SEARCH({"T","Br"},'CDR Project Planner'!$C47))))),'CDR Project Planner'!G47,"")</f>
        <v/>
      </c>
      <c r="H42" s="48" t="str">
        <f>IF(SUMPRODUCT(--(NOT(ISERR(SEARCH({"T","Br"},'CDR Project Planner'!$C47))))),'CDR Project Planner'!H47,"")</f>
        <v/>
      </c>
    </row>
    <row r="43" spans="1:68" ht="30" customHeight="1" x14ac:dyDescent="0.25">
      <c r="B43" s="42" t="str">
        <f>IF(SUMPRODUCT(--(NOT(ISERR(SEARCH({"T","Br"},'CDR Project Planner'!$C48))))),'CDR Project Planner'!B48,"")</f>
        <v/>
      </c>
      <c r="C43" s="43" t="str">
        <f>IF(SUMPRODUCT(--(NOT(ISERR(SEARCH({"T","Br"},'CDR Project Planner'!$C48))))),'CDR Project Planner'!C48,"")</f>
        <v/>
      </c>
      <c r="D43" s="43" t="str">
        <f>IF(SUMPRODUCT(--(NOT(ISERR(SEARCH({"T","Br"},'CDR Project Planner'!$C48))))),'CDR Project Planner'!D48,"")</f>
        <v/>
      </c>
      <c r="E43" s="43" t="str">
        <f>IF(SUMPRODUCT(--(NOT(ISERR(SEARCH({"T","Br"},'CDR Project Planner'!$C48))))),'CDR Project Planner'!E48,"")</f>
        <v/>
      </c>
      <c r="F43" s="43" t="str">
        <f>IF(SUMPRODUCT(--(NOT(ISERR(SEARCH({"T","Br"},'CDR Project Planner'!$C48))))),'CDR Project Planner'!F48,"")</f>
        <v/>
      </c>
      <c r="G43" s="43" t="str">
        <f>IF(SUMPRODUCT(--(NOT(ISERR(SEARCH({"T","Br"},'CDR Project Planner'!$C48))))),'CDR Project Planner'!G48,"")</f>
        <v/>
      </c>
      <c r="H43" s="48" t="str">
        <f>IF(SUMPRODUCT(--(NOT(ISERR(SEARCH({"T","Br"},'CDR Project Planner'!$C48))))),'CDR Project Planner'!H48,"")</f>
        <v/>
      </c>
    </row>
    <row r="44" spans="1:68" s="4" customFormat="1" ht="30" customHeight="1" x14ac:dyDescent="0.25">
      <c r="A44" s="1"/>
      <c r="B44" s="42" t="str">
        <f>IF(SUMPRODUCT(--(NOT(ISERR(SEARCH({"T","Br"},'CDR Project Planner'!$C49))))),'CDR Project Planner'!B49,"")</f>
        <v/>
      </c>
      <c r="C44" s="43" t="str">
        <f>IF(SUMPRODUCT(--(NOT(ISERR(SEARCH({"T","Br"},'CDR Project Planner'!$C49))))),'CDR Project Planner'!C49,"")</f>
        <v/>
      </c>
      <c r="D44" s="43" t="str">
        <f>IF(SUMPRODUCT(--(NOT(ISERR(SEARCH({"T","Br"},'CDR Project Planner'!$C49))))),'CDR Project Planner'!D49,"")</f>
        <v/>
      </c>
      <c r="E44" s="43" t="str">
        <f>IF(SUMPRODUCT(--(NOT(ISERR(SEARCH({"T","Br"},'CDR Project Planner'!$C49))))),'CDR Project Planner'!E49,"")</f>
        <v/>
      </c>
      <c r="F44" s="43" t="str">
        <f>IF(SUMPRODUCT(--(NOT(ISERR(SEARCH({"T","Br"},'CDR Project Planner'!$C49))))),'CDR Project Planner'!F49,"")</f>
        <v/>
      </c>
      <c r="G44" s="43" t="str">
        <f>IF(SUMPRODUCT(--(NOT(ISERR(SEARCH({"T","Br"},'CDR Project Planner'!$C49))))),'CDR Project Planner'!G49,"")</f>
        <v/>
      </c>
      <c r="H44" s="48" t="str">
        <f>IF(SUMPRODUCT(--(NOT(ISERR(SEARCH({"T","Br"},'CDR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42" t="str">
        <f>IF(SUMPRODUCT(--(NOT(ISERR(SEARCH({"T","Br"},'CDR Project Planner'!$C50))))),'CDR Project Planner'!B50,"")</f>
        <v/>
      </c>
      <c r="C45" s="43" t="str">
        <f>IF(SUMPRODUCT(--(NOT(ISERR(SEARCH({"T","Br"},'CDR Project Planner'!$C50))))),'CDR Project Planner'!C50,"")</f>
        <v/>
      </c>
      <c r="D45" s="43" t="str">
        <f>IF(SUMPRODUCT(--(NOT(ISERR(SEARCH({"T","Br"},'CDR Project Planner'!$C50))))),'CDR Project Planner'!D50,"")</f>
        <v/>
      </c>
      <c r="E45" s="43" t="str">
        <f>IF(SUMPRODUCT(--(NOT(ISERR(SEARCH({"T","Br"},'CDR Project Planner'!$C50))))),'CDR Project Planner'!E50,"")</f>
        <v/>
      </c>
      <c r="F45" s="43" t="str">
        <f>IF(SUMPRODUCT(--(NOT(ISERR(SEARCH({"T","Br"},'CDR Project Planner'!$C50))))),'CDR Project Planner'!F50,"")</f>
        <v/>
      </c>
      <c r="G45" s="43" t="str">
        <f>IF(SUMPRODUCT(--(NOT(ISERR(SEARCH({"T","Br"},'CDR Project Planner'!$C50))))),'CDR Project Planner'!G50,"")</f>
        <v/>
      </c>
      <c r="H45" s="48" t="str">
        <f>IF(SUMPRODUCT(--(NOT(ISERR(SEARCH({"T","Br"},'CDR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42" t="str">
        <f>IF(SUMPRODUCT(--(NOT(ISERR(SEARCH({"T","Br"},'CDR Project Planner'!$C51))))),'CDR Project Planner'!B51,"")</f>
        <v/>
      </c>
      <c r="C46" s="43" t="str">
        <f>IF(SUMPRODUCT(--(NOT(ISERR(SEARCH({"T","Br"},'CDR Project Planner'!$C51))))),'CDR Project Planner'!C51,"")</f>
        <v/>
      </c>
      <c r="D46" s="43" t="str">
        <f>IF(SUMPRODUCT(--(NOT(ISERR(SEARCH({"T","Br"},'CDR Project Planner'!$C51))))),'CDR Project Planner'!D51,"")</f>
        <v/>
      </c>
      <c r="E46" s="43" t="str">
        <f>IF(SUMPRODUCT(--(NOT(ISERR(SEARCH({"T","Br"},'CDR Project Planner'!$C51))))),'CDR Project Planner'!E51,"")</f>
        <v/>
      </c>
      <c r="F46" s="43" t="str">
        <f>IF(SUMPRODUCT(--(NOT(ISERR(SEARCH({"T","Br"},'CDR Project Planner'!$C51))))),'CDR Project Planner'!F51,"")</f>
        <v/>
      </c>
      <c r="G46" s="43" t="str">
        <f>IF(SUMPRODUCT(--(NOT(ISERR(SEARCH({"T","Br"},'CDR Project Planner'!$C51))))),'CDR Project Planner'!G51,"")</f>
        <v/>
      </c>
      <c r="H46" s="48" t="str">
        <f>IF(SUMPRODUCT(--(NOT(ISERR(SEARCH({"T","Br"},'CDR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42" t="str">
        <f>IF(SUMPRODUCT(--(NOT(ISERR(SEARCH({"T","Br"},'CDR Project Planner'!$C52))))),'CDR Project Planner'!B52,"")</f>
        <v/>
      </c>
      <c r="C47" s="43" t="str">
        <f>IF(SUMPRODUCT(--(NOT(ISERR(SEARCH({"T","Br"},'CDR Project Planner'!$C52))))),'CDR Project Planner'!C52,"")</f>
        <v/>
      </c>
      <c r="D47" s="43" t="str">
        <f>IF(SUMPRODUCT(--(NOT(ISERR(SEARCH({"T","Br"},'CDR Project Planner'!$C52))))),'CDR Project Planner'!D52,"")</f>
        <v/>
      </c>
      <c r="E47" s="43" t="str">
        <f>IF(SUMPRODUCT(--(NOT(ISERR(SEARCH({"T","Br"},'CDR Project Planner'!$C52))))),'CDR Project Planner'!E52,"")</f>
        <v/>
      </c>
      <c r="F47" s="43" t="str">
        <f>IF(SUMPRODUCT(--(NOT(ISERR(SEARCH({"T","Br"},'CDR Project Planner'!$C52))))),'CDR Project Planner'!F52,"")</f>
        <v/>
      </c>
      <c r="G47" s="43" t="str">
        <f>IF(SUMPRODUCT(--(NOT(ISERR(SEARCH({"T","Br"},'CDR Project Planner'!$C52))))),'CDR Project Planner'!G52,"")</f>
        <v/>
      </c>
      <c r="H47" s="48" t="str">
        <f>IF(SUMPRODUCT(--(NOT(ISERR(SEARCH({"T","Br"},'CDR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42" t="str">
        <f>IF(SUMPRODUCT(--(NOT(ISERR(SEARCH({"T","Br"},'CDR Project Planner'!$C53))))),'CDR Project Planner'!B53,"")</f>
        <v/>
      </c>
      <c r="C48" s="43" t="str">
        <f>IF(SUMPRODUCT(--(NOT(ISERR(SEARCH({"T","Br"},'CDR Project Planner'!$C53))))),'CDR Project Planner'!C53,"")</f>
        <v/>
      </c>
      <c r="D48" s="43" t="str">
        <f>IF(SUMPRODUCT(--(NOT(ISERR(SEARCH({"T","Br"},'CDR Project Planner'!$C53))))),'CDR Project Planner'!D53,"")</f>
        <v/>
      </c>
      <c r="E48" s="43" t="str">
        <f>IF(SUMPRODUCT(--(NOT(ISERR(SEARCH({"T","Br"},'CDR Project Planner'!$C53))))),'CDR Project Planner'!E53,"")</f>
        <v/>
      </c>
      <c r="F48" s="43" t="str">
        <f>IF(SUMPRODUCT(--(NOT(ISERR(SEARCH({"T","Br"},'CDR Project Planner'!$C53))))),'CDR Project Planner'!F53,"")</f>
        <v/>
      </c>
      <c r="G48" s="43" t="str">
        <f>IF(SUMPRODUCT(--(NOT(ISERR(SEARCH({"T","Br"},'CDR Project Planner'!$C53))))),'CDR Project Planner'!G53,"")</f>
        <v/>
      </c>
      <c r="H48" s="48" t="str">
        <f>IF(SUMPRODUCT(--(NOT(ISERR(SEARCH({"T","Br"},'CDR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42" t="str">
        <f>IF(SUMPRODUCT(--(NOT(ISERR(SEARCH({"T","Br"},'CDR Project Planner'!$C54))))),'CDR Project Planner'!B54,"")</f>
        <v/>
      </c>
      <c r="C49" s="43" t="str">
        <f>IF(SUMPRODUCT(--(NOT(ISERR(SEARCH({"T","Br"},'CDR Project Planner'!$C54))))),'CDR Project Planner'!C54,"")</f>
        <v/>
      </c>
      <c r="D49" s="43" t="str">
        <f>IF(SUMPRODUCT(--(NOT(ISERR(SEARCH({"T","Br"},'CDR Project Planner'!$C54))))),'CDR Project Planner'!D54,"")</f>
        <v/>
      </c>
      <c r="E49" s="43" t="str">
        <f>IF(SUMPRODUCT(--(NOT(ISERR(SEARCH({"T","Br"},'CDR Project Planner'!$C54))))),'CDR Project Planner'!E54,"")</f>
        <v/>
      </c>
      <c r="F49" s="43" t="str">
        <f>IF(SUMPRODUCT(--(NOT(ISERR(SEARCH({"T","Br"},'CDR Project Planner'!$C54))))),'CDR Project Planner'!F54,"")</f>
        <v/>
      </c>
      <c r="G49" s="43" t="str">
        <f>IF(SUMPRODUCT(--(NOT(ISERR(SEARCH({"T","Br"},'CDR Project Planner'!$C54))))),'CDR Project Planner'!G54,"")</f>
        <v/>
      </c>
      <c r="H49" s="48" t="str">
        <f>IF(SUMPRODUCT(--(NOT(ISERR(SEARCH({"T","Br"},'CDR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44" t="str">
        <f>IF(SUMPRODUCT(--(NOT(ISERR(SEARCH({"T","Ba"},'CDR Project Planner'!$C55))))),'CDR Project Planner'!B55,"")</f>
        <v/>
      </c>
      <c r="C50" s="44" t="str">
        <f>IF(SUMPRODUCT(--(NOT(ISERR(SEARCH({"T","Ba"},'CDR Project Planner'!$C55))))),'CDR Project Planner'!C55,"")</f>
        <v/>
      </c>
      <c r="D50" s="52" t="str">
        <f>IF(SUMPRODUCT(--(NOT(ISERR(SEARCH({"T","Ba"},'CDR Project Planner'!$C55))))),'CDR Project Planner'!D55,"")</f>
        <v/>
      </c>
      <c r="E50" s="52" t="str">
        <f>IF(SUMPRODUCT(--(NOT(ISERR(SEARCH({"T","Ba"},'CDR Project Planner'!$C55))))),'CDR Project Planner'!E55,"")</f>
        <v/>
      </c>
      <c r="F50" s="52" t="str">
        <f>IF(SUMPRODUCT(--(NOT(ISERR(SEARCH({"T","Ba"},'CDR Project Planner'!$C55))))),'CDR Project Planner'!F55,"")</f>
        <v/>
      </c>
      <c r="G50" s="52" t="str">
        <f>IF(SUMPRODUCT(--(NOT(ISERR(SEARCH({"T","Ba"},'CDR Project Planner'!$C55))))),'CDR Project Planner'!G55,"")</f>
        <v/>
      </c>
      <c r="H50" s="52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44" t="str">
        <f>IF(SUMPRODUCT(--(NOT(ISERR(SEARCH({"T","Ba"},'CDR Project Planner'!$C56))))),'CDR Project Planner'!B56,"")</f>
        <v/>
      </c>
      <c r="C51" s="44" t="str">
        <f>IF(SUMPRODUCT(--(NOT(ISERR(SEARCH({"T","Ba"},'CDR Project Planner'!$C56))))),'CDR Project Planner'!C56,"")</f>
        <v/>
      </c>
      <c r="D51" s="52" t="str">
        <f>IF(SUMPRODUCT(--(NOT(ISERR(SEARCH({"T","Ba"},'CDR Project Planner'!$C56))))),'CDR Project Planner'!D56,"")</f>
        <v/>
      </c>
      <c r="E51" s="52" t="str">
        <f>IF(SUMPRODUCT(--(NOT(ISERR(SEARCH({"T","Ba"},'CDR Project Planner'!$C56))))),'CDR Project Planner'!E56,"")</f>
        <v/>
      </c>
      <c r="F51" s="52" t="str">
        <f>IF(SUMPRODUCT(--(NOT(ISERR(SEARCH({"T","Ba"},'CDR Project Planner'!$C56))))),'CDR Project Planner'!F56,"")</f>
        <v/>
      </c>
      <c r="G51" s="52" t="str">
        <f>IF(SUMPRODUCT(--(NOT(ISERR(SEARCH({"T","Ba"},'CDR Project Planner'!$C56))))),'CDR Project Planner'!G56,"")</f>
        <v/>
      </c>
      <c r="H51" s="52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44" t="str">
        <f>IF(SUMPRODUCT(--(NOT(ISERR(SEARCH({"T","Ba"},'CDR Project Planner'!$C57))))),'CDR Project Planner'!B57,"")</f>
        <v/>
      </c>
      <c r="C52" s="44" t="str">
        <f>IF(SUMPRODUCT(--(NOT(ISERR(SEARCH({"T","Ba"},'CDR Project Planner'!$C57))))),'CDR Project Planner'!C57,"")</f>
        <v/>
      </c>
      <c r="D52" s="52" t="str">
        <f>IF(SUMPRODUCT(--(NOT(ISERR(SEARCH({"T","Ba"},'CDR Project Planner'!$C57))))),'CDR Project Planner'!D57,"")</f>
        <v/>
      </c>
      <c r="E52" s="52" t="str">
        <f>IF(SUMPRODUCT(--(NOT(ISERR(SEARCH({"T","Ba"},'CDR Project Planner'!$C57))))),'CDR Project Planner'!E57,"")</f>
        <v/>
      </c>
      <c r="F52" s="52" t="str">
        <f>IF(SUMPRODUCT(--(NOT(ISERR(SEARCH({"T","Ba"},'CDR Project Planner'!$C57))))),'CDR Project Planner'!F57,"")</f>
        <v/>
      </c>
      <c r="G52" s="52" t="str">
        <f>IF(SUMPRODUCT(--(NOT(ISERR(SEARCH({"T","Ba"},'CDR Project Planner'!$C57))))),'CDR Project Planner'!G57,"")</f>
        <v/>
      </c>
      <c r="H52" s="52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207" priority="2">
      <formula>PercentComplete</formula>
    </cfRule>
    <cfRule type="expression" dxfId="206" priority="3">
      <formula>PercentCompleteBeyond</formula>
    </cfRule>
    <cfRule type="expression" dxfId="205" priority="4">
      <formula>Actual</formula>
    </cfRule>
    <cfRule type="expression" dxfId="204" priority="5">
      <formula>ActualBeyond</formula>
    </cfRule>
    <cfRule type="expression" dxfId="203" priority="6">
      <formula>Plan</formula>
    </cfRule>
    <cfRule type="expression" dxfId="202" priority="7">
      <formula>I$4=period_selected</formula>
    </cfRule>
    <cfRule type="expression" dxfId="201" priority="8">
      <formula>MOD(COLUMN(),2)</formula>
    </cfRule>
    <cfRule type="expression" dxfId="200" priority="9">
      <formula>MOD(COLUMN(),2)=0</formula>
    </cfRule>
  </conditionalFormatting>
  <conditionalFormatting sqref="I4:BP4">
    <cfRule type="expression" dxfId="199" priority="10">
      <formula>I$4=period_selected</formula>
    </cfRule>
  </conditionalFormatting>
  <conditionalFormatting sqref="I5:BP6 I39:BP39 I21:BP28 I42:BP42 I45:BP45 I48:BP48">
    <cfRule type="expression" dxfId="198" priority="11">
      <formula>PercentComplete</formula>
    </cfRule>
    <cfRule type="expression" dxfId="197" priority="12">
      <formula>PercentCompleteBeyond</formula>
    </cfRule>
    <cfRule type="expression" dxfId="196" priority="13">
      <formula>Actual</formula>
    </cfRule>
    <cfRule type="expression" dxfId="195" priority="14">
      <formula>ActualBeyond</formula>
    </cfRule>
    <cfRule type="expression" dxfId="194" priority="15">
      <formula>Plan</formula>
    </cfRule>
    <cfRule type="expression" dxfId="193" priority="16">
      <formula>I$4=period_selected</formula>
    </cfRule>
    <cfRule type="expression" dxfId="192" priority="17">
      <formula>MOD(COLUMN(),2)</formula>
    </cfRule>
    <cfRule type="expression" dxfId="191" priority="18">
      <formula>MOD(COLUMN(),2)=0</formula>
    </cfRule>
  </conditionalFormatting>
  <conditionalFormatting sqref="I38:BP38 I41:BP41 I44:BP44 I47:BP47">
    <cfRule type="expression" dxfId="190" priority="19">
      <formula>PercentComplete</formula>
    </cfRule>
    <cfRule type="expression" dxfId="189" priority="20">
      <formula>PercentCompleteBeyond</formula>
    </cfRule>
    <cfRule type="expression" dxfId="188" priority="21">
      <formula>Actual</formula>
    </cfRule>
    <cfRule type="expression" dxfId="187" priority="22">
      <formula>ActualBeyond</formula>
    </cfRule>
    <cfRule type="expression" dxfId="186" priority="23">
      <formula>Plan</formula>
    </cfRule>
    <cfRule type="expression" dxfId="185" priority="24">
      <formula>I$4=period_selected</formula>
    </cfRule>
    <cfRule type="expression" dxfId="184" priority="25">
      <formula>MOD(COLUMN(),2)</formula>
    </cfRule>
    <cfRule type="expression" dxfId="183" priority="26">
      <formula>MOD(COLUMN(),2)=0</formula>
    </cfRule>
  </conditionalFormatting>
  <conditionalFormatting sqref="I20:BP20">
    <cfRule type="expression" dxfId="182" priority="27">
      <formula>PercentComplete</formula>
    </cfRule>
    <cfRule type="expression" dxfId="181" priority="28">
      <formula>PercentCompleteBeyond</formula>
    </cfRule>
    <cfRule type="expression" dxfId="180" priority="29">
      <formula>Actual</formula>
    </cfRule>
    <cfRule type="expression" dxfId="179" priority="30">
      <formula>ActualBeyond</formula>
    </cfRule>
    <cfRule type="expression" dxfId="178" priority="31">
      <formula>Plan</formula>
    </cfRule>
    <cfRule type="expression" dxfId="177" priority="32">
      <formula>I$4=period_selected</formula>
    </cfRule>
    <cfRule type="expression" dxfId="176" priority="33">
      <formula>MOD(COLUMN(),2)</formula>
    </cfRule>
    <cfRule type="expression" dxfId="175" priority="34">
      <formula>MOD(COLUMN(),2)=0</formula>
    </cfRule>
  </conditionalFormatting>
  <conditionalFormatting sqref="I16:BP16 I18:BP19">
    <cfRule type="expression" dxfId="174" priority="35">
      <formula>PercentComplete</formula>
    </cfRule>
    <cfRule type="expression" dxfId="173" priority="36">
      <formula>PercentCompleteBeyond</formula>
    </cfRule>
    <cfRule type="expression" dxfId="172" priority="37">
      <formula>Actual</formula>
    </cfRule>
    <cfRule type="expression" dxfId="171" priority="38">
      <formula>ActualBeyond</formula>
    </cfRule>
    <cfRule type="expression" dxfId="170" priority="39">
      <formula>Plan</formula>
    </cfRule>
    <cfRule type="expression" dxfId="169" priority="40">
      <formula>I$4=period_selected</formula>
    </cfRule>
    <cfRule type="expression" dxfId="168" priority="41">
      <formula>MOD(COLUMN(),2)</formula>
    </cfRule>
    <cfRule type="expression" dxfId="167" priority="42">
      <formula>MOD(COLUMN(),2)=0</formula>
    </cfRule>
  </conditionalFormatting>
  <conditionalFormatting sqref="I17:BP17">
    <cfRule type="expression" dxfId="166" priority="43">
      <formula>PercentComplete</formula>
    </cfRule>
    <cfRule type="expression" dxfId="165" priority="44">
      <formula>PercentCompleteBeyond</formula>
    </cfRule>
    <cfRule type="expression" dxfId="164" priority="45">
      <formula>Actual</formula>
    </cfRule>
    <cfRule type="expression" dxfId="163" priority="46">
      <formula>ActualBeyond</formula>
    </cfRule>
    <cfRule type="expression" dxfId="162" priority="47">
      <formula>Plan</formula>
    </cfRule>
    <cfRule type="expression" dxfId="161" priority="48">
      <formula>I$4=period_selected</formula>
    </cfRule>
    <cfRule type="expression" dxfId="160" priority="49">
      <formula>MOD(COLUMN(),2)</formula>
    </cfRule>
    <cfRule type="expression" dxfId="159" priority="50">
      <formula>MOD(COLUMN(),2)=0</formula>
    </cfRule>
  </conditionalFormatting>
  <conditionalFormatting sqref="H53:H56">
    <cfRule type="cellIs" dxfId="158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157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5" activePane="bottomLeft" state="frozen"/>
      <selection activeCell="B47" sqref="B47"/>
      <selection pane="bottomLeft" activeCell="B47" sqref="B47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60</v>
      </c>
      <c r="C1" s="7"/>
      <c r="D1" s="8"/>
      <c r="E1" s="8"/>
      <c r="F1" s="8"/>
      <c r="G1" s="8"/>
      <c r="H1" s="8"/>
    </row>
    <row r="2" spans="1:68" ht="21" customHeight="1" x14ac:dyDescent="0.25">
      <c r="B2" s="215">
        <f ca="1">NOW()</f>
        <v>43188.720990972222</v>
      </c>
      <c r="C2" s="215"/>
      <c r="D2" s="215"/>
      <c r="E2" s="215"/>
      <c r="F2" s="215"/>
      <c r="G2" s="215"/>
      <c r="H2" s="10" t="s">
        <v>1</v>
      </c>
      <c r="I2" s="11">
        <f ca="1">DAY(NOW())</f>
        <v>29</v>
      </c>
      <c r="K2" s="12"/>
      <c r="L2" s="216" t="s">
        <v>2</v>
      </c>
      <c r="M2" s="216"/>
      <c r="N2" s="216"/>
      <c r="O2" s="216"/>
      <c r="P2" s="216"/>
      <c r="Q2" s="14"/>
      <c r="R2" s="216" t="s">
        <v>3</v>
      </c>
      <c r="S2" s="216"/>
      <c r="T2" s="216"/>
      <c r="U2" s="216"/>
      <c r="V2" s="15"/>
      <c r="W2" s="216" t="s">
        <v>4</v>
      </c>
      <c r="X2" s="216"/>
      <c r="Y2" s="216"/>
      <c r="Z2" s="216"/>
      <c r="AA2" s="16"/>
      <c r="AB2" s="216" t="s">
        <v>5</v>
      </c>
      <c r="AC2" s="216"/>
      <c r="AD2" s="216"/>
      <c r="AE2" s="216"/>
      <c r="AF2" s="216"/>
      <c r="AG2" s="216"/>
      <c r="AH2" s="216"/>
      <c r="AI2" s="18"/>
      <c r="AJ2" s="210" t="s">
        <v>6</v>
      </c>
      <c r="AK2" s="210"/>
      <c r="AL2" s="210"/>
      <c r="AM2" s="210"/>
      <c r="AN2" s="210"/>
      <c r="AO2" s="210"/>
      <c r="AP2" s="210"/>
      <c r="AQ2" s="210"/>
    </row>
    <row r="3" spans="1:68" s="20" customFormat="1" ht="39.950000000000003" customHeight="1" x14ac:dyDescent="0.25">
      <c r="B3" s="211" t="s">
        <v>7</v>
      </c>
      <c r="C3" s="212" t="s">
        <v>8</v>
      </c>
      <c r="D3" s="213" t="s">
        <v>9</v>
      </c>
      <c r="E3" s="213" t="s">
        <v>10</v>
      </c>
      <c r="F3" s="213" t="s">
        <v>11</v>
      </c>
      <c r="G3" s="213" t="s">
        <v>12</v>
      </c>
      <c r="H3" s="214" t="s">
        <v>13</v>
      </c>
      <c r="I3" s="25" t="s">
        <v>14</v>
      </c>
      <c r="J3" s="26"/>
      <c r="K3" s="27"/>
      <c r="L3" s="27"/>
      <c r="M3" s="27"/>
      <c r="N3" s="27"/>
      <c r="O3" s="27"/>
      <c r="P3" s="27"/>
      <c r="Q3" s="27"/>
      <c r="R3" s="27"/>
      <c r="S3" s="28" t="s">
        <v>15</v>
      </c>
      <c r="T3" s="29">
        <v>2</v>
      </c>
      <c r="U3" s="29">
        <v>3</v>
      </c>
      <c r="V3" s="29">
        <v>4</v>
      </c>
      <c r="W3" s="29">
        <v>5</v>
      </c>
      <c r="X3" s="29">
        <v>6</v>
      </c>
      <c r="Y3" s="29">
        <v>7</v>
      </c>
      <c r="Z3" s="29">
        <v>8</v>
      </c>
      <c r="AA3" s="29">
        <v>9</v>
      </c>
      <c r="AB3" s="29">
        <v>10</v>
      </c>
      <c r="AC3" s="29">
        <v>11</v>
      </c>
      <c r="AD3" s="29">
        <v>12</v>
      </c>
      <c r="AE3" s="29">
        <v>13</v>
      </c>
      <c r="AF3" s="29">
        <v>14</v>
      </c>
      <c r="AG3" s="29">
        <v>15</v>
      </c>
      <c r="AH3" s="29">
        <v>16</v>
      </c>
      <c r="AI3" s="29">
        <v>17</v>
      </c>
      <c r="AJ3" s="29">
        <v>18</v>
      </c>
      <c r="AK3" s="29">
        <v>19</v>
      </c>
      <c r="AL3" s="29">
        <v>20</v>
      </c>
      <c r="AM3" s="29">
        <v>21</v>
      </c>
      <c r="AN3" s="29">
        <v>22</v>
      </c>
      <c r="AO3" s="29">
        <v>23</v>
      </c>
      <c r="AP3" s="29">
        <v>24</v>
      </c>
      <c r="AQ3" s="29">
        <v>25</v>
      </c>
      <c r="AR3" s="29">
        <v>26</v>
      </c>
      <c r="AS3" s="29">
        <v>27</v>
      </c>
      <c r="AT3" s="29">
        <v>28</v>
      </c>
      <c r="AU3" s="29">
        <v>29</v>
      </c>
      <c r="AV3" s="29">
        <v>30</v>
      </c>
      <c r="AW3" s="28" t="s">
        <v>16</v>
      </c>
    </row>
    <row r="4" spans="1:68" ht="15.75" customHeight="1" x14ac:dyDescent="0.25">
      <c r="B4" s="211"/>
      <c r="C4" s="212"/>
      <c r="D4" s="213"/>
      <c r="E4" s="213"/>
      <c r="F4" s="213"/>
      <c r="G4" s="213"/>
      <c r="H4" s="214"/>
      <c r="I4" s="30">
        <v>22</v>
      </c>
      <c r="J4" s="30">
        <v>23</v>
      </c>
      <c r="K4" s="30">
        <v>24</v>
      </c>
      <c r="L4" s="30">
        <v>25</v>
      </c>
      <c r="M4" s="30">
        <v>26</v>
      </c>
      <c r="N4" s="30">
        <v>27</v>
      </c>
      <c r="O4" s="30">
        <v>28</v>
      </c>
      <c r="P4" s="30">
        <v>29</v>
      </c>
      <c r="Q4" s="30">
        <v>30</v>
      </c>
      <c r="R4" s="30">
        <v>31</v>
      </c>
      <c r="S4" s="30">
        <v>32</v>
      </c>
      <c r="T4" s="30">
        <v>33</v>
      </c>
      <c r="U4" s="30">
        <v>34</v>
      </c>
      <c r="V4" s="30">
        <v>35</v>
      </c>
      <c r="W4" s="30">
        <v>36</v>
      </c>
      <c r="X4" s="30">
        <v>37</v>
      </c>
      <c r="Y4" s="30">
        <v>38</v>
      </c>
      <c r="Z4" s="30">
        <v>39</v>
      </c>
      <c r="AA4" s="30">
        <v>40</v>
      </c>
      <c r="AB4" s="30">
        <v>41</v>
      </c>
      <c r="AC4" s="30">
        <v>42</v>
      </c>
      <c r="AD4" s="30">
        <v>43</v>
      </c>
      <c r="AE4" s="30">
        <v>44</v>
      </c>
      <c r="AF4" s="30">
        <v>45</v>
      </c>
      <c r="AG4" s="30">
        <v>46</v>
      </c>
      <c r="AH4" s="30">
        <v>47</v>
      </c>
      <c r="AI4" s="30">
        <v>48</v>
      </c>
      <c r="AJ4" s="30">
        <v>49</v>
      </c>
      <c r="AK4" s="30">
        <v>50</v>
      </c>
      <c r="AL4" s="30">
        <v>51</v>
      </c>
      <c r="AM4" s="30">
        <v>52</v>
      </c>
      <c r="AN4" s="30">
        <v>53</v>
      </c>
      <c r="AO4" s="30">
        <v>54</v>
      </c>
      <c r="AP4" s="30">
        <v>55</v>
      </c>
      <c r="AQ4" s="30">
        <v>56</v>
      </c>
      <c r="AR4" s="30">
        <v>57</v>
      </c>
      <c r="AS4" s="30">
        <v>58</v>
      </c>
      <c r="AT4" s="30">
        <v>59</v>
      </c>
      <c r="AU4" s="30">
        <v>60</v>
      </c>
      <c r="AV4" s="30">
        <v>61</v>
      </c>
      <c r="AW4" s="30">
        <v>62</v>
      </c>
      <c r="AX4" s="30">
        <v>63</v>
      </c>
      <c r="AY4" s="30">
        <v>64</v>
      </c>
      <c r="AZ4" s="30">
        <v>65</v>
      </c>
      <c r="BA4" s="30">
        <v>66</v>
      </c>
      <c r="BB4" s="30">
        <v>67</v>
      </c>
      <c r="BC4" s="30">
        <v>68</v>
      </c>
      <c r="BD4" s="30">
        <v>69</v>
      </c>
      <c r="BE4" s="30">
        <v>70</v>
      </c>
      <c r="BF4" s="30">
        <v>71</v>
      </c>
      <c r="BG4" s="30">
        <v>72</v>
      </c>
      <c r="BH4" s="30">
        <v>73</v>
      </c>
      <c r="BI4" s="30">
        <v>74</v>
      </c>
      <c r="BJ4" s="30">
        <v>75</v>
      </c>
      <c r="BK4" s="30">
        <v>76</v>
      </c>
      <c r="BL4" s="30">
        <v>77</v>
      </c>
      <c r="BM4" s="30">
        <v>78</v>
      </c>
      <c r="BN4" s="30">
        <v>79</v>
      </c>
      <c r="BO4" s="30">
        <v>80</v>
      </c>
      <c r="BP4" s="30">
        <v>81</v>
      </c>
    </row>
    <row r="5" spans="1:68" s="31" customFormat="1" x14ac:dyDescent="0.3">
      <c r="B5" s="46" t="str">
        <f>IF(SUMPRODUCT(--(NOT(ISERR(SEARCH({"T","C"},'CDR Project Planner'!$C5))))),'CDR Project Planner'!B5,"")</f>
        <v>PDR</v>
      </c>
      <c r="C5" s="47" t="str">
        <f>IF(SUMPRODUCT(--(NOT(ISERR(SEARCH({"T","C"},'CDR Project Planner'!$C5))))),'CDR Project Planner'!C5,"")</f>
        <v>T</v>
      </c>
      <c r="D5" s="47">
        <f>IF(SUMPRODUCT(--(NOT(ISERR(SEARCH({"T","C"},'CDR Project Planner'!$C5))))),'CDR Project Planner'!D5,"")</f>
        <v>22</v>
      </c>
      <c r="E5" s="47">
        <f>IF(SUMPRODUCT(--(NOT(ISERR(SEARCH({"T","C"},'CDR Project Planner'!$C5))))),'CDR Project Planner'!E5,"")</f>
        <v>1</v>
      </c>
      <c r="F5" s="47">
        <f>IF(SUMPRODUCT(--(NOT(ISERR(SEARCH({"T","C"},'CDR Project Planner'!$C5))))),'CDR Project Planner'!F5,"")</f>
        <v>22</v>
      </c>
      <c r="G5" s="47">
        <f>IF(SUMPRODUCT(--(NOT(ISERR(SEARCH({"T","C"},'CDR Project Planner'!$C5))))),'CDR Project Planner'!G5,"")</f>
        <v>1</v>
      </c>
      <c r="H5" s="48">
        <f>IF(SUMPRODUCT(--(NOT(ISERR(SEARCH({"T","C"},'CDR Project Planner'!$C5))))),'CDR Project Planner'!H5,"")</f>
        <v>1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68" x14ac:dyDescent="0.3">
      <c r="B6" s="50" t="str">
        <f>IF(SUMPRODUCT(--(NOT(ISERR(SEARCH({"T","C"},'CDR Project Planner'!$C6))))),'CDR Project Planner'!B6,"")</f>
        <v>System</v>
      </c>
      <c r="C6" s="43" t="str">
        <f>IF(SUMPRODUCT(--(NOT(ISERR(SEARCH({"T","C"},'CDR Project Planner'!$C6))))),'CDR Project Planner'!C6,"")</f>
        <v>P &amp; Br &amp; C &amp; Ba</v>
      </c>
      <c r="D6" s="43"/>
      <c r="E6" s="43"/>
      <c r="F6" s="43"/>
      <c r="G6" s="43"/>
      <c r="H6" s="48">
        <f>IF(SUMPRODUCT(--(NOT(ISERR(SEARCH({"T","C"},'CDR Project Planner'!$C6))))),'CDR Project Planner'!H6,"")</f>
        <v>0</v>
      </c>
    </row>
    <row r="7" spans="1:68" s="4" customFormat="1" ht="15" outlineLevel="1" x14ac:dyDescent="0.25">
      <c r="A7" s="1"/>
      <c r="B7" s="42" t="str">
        <f>IF(SUMPRODUCT(--(NOT(ISERR(SEARCH({"T","C"},'CDR Project Planner'!$C7))))),'CDR Project Planner'!B7,"")</f>
        <v/>
      </c>
      <c r="C7" s="43" t="str">
        <f>IF(SUMPRODUCT(--(NOT(ISERR(SEARCH({"T","C"},'CDR Project Planner'!$C7))))),'CDR Project Planner'!C7,"")</f>
        <v/>
      </c>
      <c r="D7" s="43" t="str">
        <f>IF(SUMPRODUCT(--(NOT(ISERR(SEARCH({"T","C"},'CDR Project Planner'!$C7))))),'CDR Project Planner'!D7,"")</f>
        <v/>
      </c>
      <c r="E7" s="43" t="str">
        <f>IF(SUMPRODUCT(--(NOT(ISERR(SEARCH({"T","C"},'CDR Project Planner'!$C7))))),'CDR Project Planner'!E7,"")</f>
        <v/>
      </c>
      <c r="F7" s="43" t="str">
        <f>IF(SUMPRODUCT(--(NOT(ISERR(SEARCH({"T","C"},'CDR Project Planner'!$C7))))),'CDR Project Planner'!F7,"")</f>
        <v/>
      </c>
      <c r="G7" s="43" t="str">
        <f>IF(SUMPRODUCT(--(NOT(ISERR(SEARCH({"T","C"},'CDR Project Planner'!$C7))))),'CDR Project Planner'!G7,"")</f>
        <v/>
      </c>
      <c r="H7" s="48" t="str">
        <f>IF(SUMPRODUCT(--(NOT(ISERR(SEARCH({"T","C"},'CDR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51" t="str">
        <f>IF(SUMPRODUCT(--(NOT(ISERR(SEARCH({"T","C"},'CDR Project Planner'!$C8))))),'CDR Project Planner'!B8,"")</f>
        <v>Unit Tests - Python - Encoders</v>
      </c>
      <c r="C8" s="43" t="str">
        <f>IF(SUMPRODUCT(--(NOT(ISERR(SEARCH({"T","C"},'CDR Project Planner'!$C8))))),'CDR Project Planner'!C8,"")</f>
        <v>C</v>
      </c>
      <c r="D8" s="43">
        <f>IF(SUMPRODUCT(--(NOT(ISERR(SEARCH({"T","C"},'CDR Project Planner'!$C8))))),'CDR Project Planner'!D8,"")</f>
        <v>23</v>
      </c>
      <c r="E8" s="43">
        <f>IF(SUMPRODUCT(--(NOT(ISERR(SEARCH({"T","C"},'CDR Project Planner'!$C8))))),'CDR Project Planner'!E8,"")</f>
        <v>1</v>
      </c>
      <c r="F8" s="43">
        <f>IF(SUMPRODUCT(--(NOT(ISERR(SEARCH({"T","C"},'CDR Project Planner'!$C8))))),'CDR Project Planner'!F8,"")</f>
        <v>0</v>
      </c>
      <c r="G8" s="43">
        <f>IF(SUMPRODUCT(--(NOT(ISERR(SEARCH({"T","C"},'CDR Project Planner'!$C8))))),'CDR Project Planner'!G8,"")</f>
        <v>0</v>
      </c>
      <c r="H8" s="48">
        <f>IF(SUMPRODUCT(--(NOT(ISERR(SEARCH({"T","C"},'CDR Project Planner'!$C8))))),'CDR Project Planner'!H8,"")</f>
        <v>0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42" t="str">
        <f>IF(SUMPRODUCT(--(NOT(ISERR(SEARCH({"T","C"},'CDR Project Planner'!$C9))))),'CDR Project Planner'!B9,"")</f>
        <v/>
      </c>
      <c r="C9" s="43" t="str">
        <f>IF(SUMPRODUCT(--(NOT(ISERR(SEARCH({"T","C"},'CDR Project Planner'!$C9))))),'CDR Project Planner'!C9,"")</f>
        <v/>
      </c>
      <c r="D9" s="43" t="str">
        <f>IF(SUMPRODUCT(--(NOT(ISERR(SEARCH({"T","C"},'CDR Project Planner'!$C9))))),'CDR Project Planner'!D9,"")</f>
        <v/>
      </c>
      <c r="E9" s="43" t="str">
        <f>IF(SUMPRODUCT(--(NOT(ISERR(SEARCH({"T","C"},'CDR Project Planner'!$C9))))),'CDR Project Planner'!E9,"")</f>
        <v/>
      </c>
      <c r="F9" s="43" t="str">
        <f>IF(SUMPRODUCT(--(NOT(ISERR(SEARCH({"T","C"},'CDR Project Planner'!$C9))))),'CDR Project Planner'!F9,"")</f>
        <v/>
      </c>
      <c r="G9" s="43" t="str">
        <f>IF(SUMPRODUCT(--(NOT(ISERR(SEARCH({"T","C"},'CDR Project Planner'!$C9))))),'CDR Project Planner'!G9,"")</f>
        <v/>
      </c>
      <c r="H9" s="48" t="str">
        <f>IF(SUMPRODUCT(--(NOT(ISERR(SEARCH({"T","C"},'CDR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42" t="str">
        <f>IF(SUMPRODUCT(--(NOT(ISERR(SEARCH({"T","C"},'CDR Project Planner'!$C10))))),'CDR Project Planner'!B10,"")</f>
        <v/>
      </c>
      <c r="C10" s="43" t="str">
        <f>IF(SUMPRODUCT(--(NOT(ISERR(SEARCH({"T","C"},'CDR Project Planner'!$C10))))),'CDR Project Planner'!C10,"")</f>
        <v/>
      </c>
      <c r="D10" s="43" t="str">
        <f>IF(SUMPRODUCT(--(NOT(ISERR(SEARCH({"T","C"},'CDR Project Planner'!$C10))))),'CDR Project Planner'!D10,"")</f>
        <v/>
      </c>
      <c r="E10" s="43" t="str">
        <f>IF(SUMPRODUCT(--(NOT(ISERR(SEARCH({"T","C"},'CDR Project Planner'!$C10))))),'CDR Project Planner'!E10,"")</f>
        <v/>
      </c>
      <c r="F10" s="43" t="str">
        <f>IF(SUMPRODUCT(--(NOT(ISERR(SEARCH({"T","C"},'CDR Project Planner'!$C10))))),'CDR Project Planner'!F10,"")</f>
        <v/>
      </c>
      <c r="G10" s="43" t="str">
        <f>IF(SUMPRODUCT(--(NOT(ISERR(SEARCH({"T","C"},'CDR Project Planner'!$C10))))),'CDR Project Planner'!G10,"")</f>
        <v/>
      </c>
      <c r="H10" s="48" t="str">
        <f>IF(SUMPRODUCT(--(NOT(ISERR(SEARCH({"T","C"},'CDR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42" t="str">
        <f>IF(SUMPRODUCT(--(NOT(ISERR(SEARCH({"T","C"},'CDR Project Planner'!#REF!))))),'CDR Project Planner'!#REF!,"")</f>
        <v/>
      </c>
      <c r="C11" s="43" t="str">
        <f>IF(SUMPRODUCT(--(NOT(ISERR(SEARCH({"T","C"},'CDR Project Planner'!#REF!))))),'CDR Project Planner'!#REF!,"")</f>
        <v/>
      </c>
      <c r="D11" s="43" t="str">
        <f>IF(SUMPRODUCT(--(NOT(ISERR(SEARCH({"T","C"},'CDR Project Planner'!#REF!))))),'CDR Project Planner'!#REF!,"")</f>
        <v/>
      </c>
      <c r="E11" s="43" t="str">
        <f>IF(SUMPRODUCT(--(NOT(ISERR(SEARCH({"T","C"},'CDR Project Planner'!#REF!))))),'CDR Project Planner'!#REF!,"")</f>
        <v/>
      </c>
      <c r="F11" s="43" t="str">
        <f>IF(SUMPRODUCT(--(NOT(ISERR(SEARCH({"T","C"},'CDR Project Planner'!#REF!))))),'CDR Project Planner'!#REF!,"")</f>
        <v/>
      </c>
      <c r="G11" s="43" t="str">
        <f>IF(SUMPRODUCT(--(NOT(ISERR(SEARCH({"T","C"},'CDR Project Planner'!#REF!))))),'CDR Project Planner'!#REF!,"")</f>
        <v/>
      </c>
      <c r="H11" s="48" t="str">
        <f>IF(SUMPRODUCT(--(NOT(ISERR(SEARCH({"T","C"},'CDR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42" t="str">
        <f>IF(SUMPRODUCT(--(NOT(ISERR(SEARCH({"T","C"},'CDR Project Planner'!$C11))))),'CDR Project Planner'!B11,"")</f>
        <v/>
      </c>
      <c r="C12" s="43" t="str">
        <f>IF(SUMPRODUCT(--(NOT(ISERR(SEARCH({"T","C"},'CDR Project Planner'!$C11))))),'CDR Project Planner'!C11,"")</f>
        <v/>
      </c>
      <c r="D12" s="43" t="str">
        <f>IF(SUMPRODUCT(--(NOT(ISERR(SEARCH({"T","C"},'CDR Project Planner'!$C11))))),'CDR Project Planner'!D11,"")</f>
        <v/>
      </c>
      <c r="E12" s="43" t="str">
        <f>IF(SUMPRODUCT(--(NOT(ISERR(SEARCH({"T","C"},'CDR Project Planner'!$C11))))),'CDR Project Planner'!E11,"")</f>
        <v/>
      </c>
      <c r="F12" s="43" t="str">
        <f>IF(SUMPRODUCT(--(NOT(ISERR(SEARCH({"T","C"},'CDR Project Planner'!$C11))))),'CDR Project Planner'!F11,"")</f>
        <v/>
      </c>
      <c r="G12" s="43" t="str">
        <f>IF(SUMPRODUCT(--(NOT(ISERR(SEARCH({"T","C"},'CDR Project Planner'!$C11))))),'CDR Project Planner'!G11,"")</f>
        <v/>
      </c>
      <c r="H12" s="48" t="str">
        <f>IF(SUMPRODUCT(--(NOT(ISERR(SEARCH({"T","C"},'CDR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42" t="str">
        <f>IF(SUMPRODUCT(--(NOT(ISERR(SEARCH({"T","C"},'CDR Project Planner'!$C14))))),'CDR Project Planner'!B14,"")</f>
        <v xml:space="preserve">   Calibration - Python</v>
      </c>
      <c r="C13" s="43" t="str">
        <f>IF(SUMPRODUCT(--(NOT(ISERR(SEARCH({"T","C"},'CDR Project Planner'!$C14))))),'CDR Project Planner'!C14,"")</f>
        <v>C &amp; Z</v>
      </c>
      <c r="D13" s="43">
        <f>IF(SUMPRODUCT(--(NOT(ISERR(SEARCH({"T","C"},'CDR Project Planner'!$C14))))),'CDR Project Planner'!D14,"")</f>
        <v>31</v>
      </c>
      <c r="E13" s="43">
        <f>IF(SUMPRODUCT(--(NOT(ISERR(SEARCH({"T","C"},'CDR Project Planner'!$C14))))),'CDR Project Planner'!E14,"")</f>
        <v>7</v>
      </c>
      <c r="F13" s="43">
        <f>IF(SUMPRODUCT(--(NOT(ISERR(SEARCH({"T","C"},'CDR Project Planner'!$C14))))),'CDR Project Planner'!F14,"")</f>
        <v>0</v>
      </c>
      <c r="G13" s="43">
        <f>IF(SUMPRODUCT(--(NOT(ISERR(SEARCH({"T","C"},'CDR Project Planner'!$C14))))),'CDR Project Planner'!G14,"")</f>
        <v>0</v>
      </c>
      <c r="H13" s="48">
        <f>IF(SUMPRODUCT(--(NOT(ISERR(SEARCH({"T","C"},'CDR Project Planner'!$C14))))),'CDR Project Planner'!H14,"")</f>
        <v>0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2" t="str">
        <f>IF(SUMPRODUCT(--(NOT(ISERR(SEARCH({"T","C"},'CDR Project Planner'!$C15))))),'CDR Project Planner'!B15,"")</f>
        <v/>
      </c>
      <c r="C14" s="43" t="str">
        <f>IF(SUMPRODUCT(--(NOT(ISERR(SEARCH({"T","C"},'CDR Project Planner'!$C15))))),'CDR Project Planner'!C15,"")</f>
        <v/>
      </c>
      <c r="D14" s="43" t="str">
        <f>IF(SUMPRODUCT(--(NOT(ISERR(SEARCH({"T","C"},'CDR Project Planner'!$C15))))),'CDR Project Planner'!D15,"")</f>
        <v/>
      </c>
      <c r="E14" s="43" t="str">
        <f>IF(SUMPRODUCT(--(NOT(ISERR(SEARCH({"T","C"},'CDR Project Planner'!$C15))))),'CDR Project Planner'!E15,"")</f>
        <v/>
      </c>
      <c r="F14" s="43" t="str">
        <f>IF(SUMPRODUCT(--(NOT(ISERR(SEARCH({"T","C"},'CDR Project Planner'!$C15))))),'CDR Project Planner'!F15,"")</f>
        <v/>
      </c>
      <c r="G14" s="43" t="str">
        <f>IF(SUMPRODUCT(--(NOT(ISERR(SEARCH({"T","C"},'CDR Project Planner'!$C15))))),'CDR Project Planner'!G15,"")</f>
        <v/>
      </c>
      <c r="H14" s="43" t="str">
        <f>IF(SUMPRODUCT(--(NOT(ISERR(SEARCH({"T","C"},'CDR Project Planner'!$C15))))),'CDR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42" t="str">
        <f>IF(SUMPRODUCT(--(NOT(ISERR(SEARCH({"T","C"},'CDR Project Planner'!$C16))))),'CDR Project Planner'!B16,"")</f>
        <v/>
      </c>
      <c r="C15" s="43" t="str">
        <f>IF(SUMPRODUCT(--(NOT(ISERR(SEARCH({"T","C"},'CDR Project Planner'!$C16))))),'CDR Project Planner'!C16,"")</f>
        <v/>
      </c>
      <c r="D15" s="43" t="str">
        <f>IF(SUMPRODUCT(--(NOT(ISERR(SEARCH({"T","C"},'CDR Project Planner'!$C16))))),'CDR Project Planner'!D16,"")</f>
        <v/>
      </c>
      <c r="E15" s="43" t="str">
        <f>IF(SUMPRODUCT(--(NOT(ISERR(SEARCH({"T","C"},'CDR Project Planner'!$C16))))),'CDR Project Planner'!E16,"")</f>
        <v/>
      </c>
      <c r="F15" s="43" t="str">
        <f>IF(SUMPRODUCT(--(NOT(ISERR(SEARCH({"T","C"},'CDR Project Planner'!$C16))))),'CDR Project Planner'!F16,"")</f>
        <v/>
      </c>
      <c r="G15" s="43" t="str">
        <f>IF(SUMPRODUCT(--(NOT(ISERR(SEARCH({"T","C"},'CDR Project Planner'!$C16))))),'CDR Project Planner'!G16,"")</f>
        <v/>
      </c>
      <c r="H15" s="43" t="str">
        <f>IF(SUMPRODUCT(--(NOT(ISERR(SEARCH({"T","C"},'CDR Project Planner'!$C16))))),'CDR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42" t="str">
        <f>IF(SUMPRODUCT(--(NOT(ISERR(SEARCH({"T","C"},'CDR Project Planner'!$C17))))),'CDR Project Planner'!B17,"")</f>
        <v/>
      </c>
      <c r="C16" s="43" t="str">
        <f>IF(SUMPRODUCT(--(NOT(ISERR(SEARCH({"T","C"},'CDR Project Planner'!$C17))))),'CDR Project Planner'!C17,"")</f>
        <v/>
      </c>
      <c r="D16" s="43" t="str">
        <f>IF(SUMPRODUCT(--(NOT(ISERR(SEARCH({"T","C"},'CDR Project Planner'!$C17))))),'CDR Project Planner'!D17,"")</f>
        <v/>
      </c>
      <c r="E16" s="43" t="str">
        <f>IF(SUMPRODUCT(--(NOT(ISERR(SEARCH({"T","C"},'CDR Project Planner'!$C17))))),'CDR Project Planner'!E17,"")</f>
        <v/>
      </c>
      <c r="F16" s="43" t="str">
        <f>IF(SUMPRODUCT(--(NOT(ISERR(SEARCH({"T","C"},'CDR Project Planner'!$C17))))),'CDR Project Planner'!F17,"")</f>
        <v/>
      </c>
      <c r="G16" s="43" t="str">
        <f>IF(SUMPRODUCT(--(NOT(ISERR(SEARCH({"T","C"},'CDR Project Planner'!$C17))))),'CDR Project Planner'!G17,"")</f>
        <v/>
      </c>
      <c r="H16" s="43" t="str">
        <f>IF(SUMPRODUCT(--(NOT(ISERR(SEARCH({"T","C"},'CDR Project Planner'!$C17))))),'CDR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2" t="str">
        <f>IF(SUMPRODUCT(--(NOT(ISERR(SEARCH({"T","C"},'CDR Project Planner'!$C18))))),'CDR Project Planner'!B18,"")</f>
        <v/>
      </c>
      <c r="C17" s="43" t="str">
        <f>IF(SUMPRODUCT(--(NOT(ISERR(SEARCH({"T","C"},'CDR Project Planner'!$C18))))),'CDR Project Planner'!C18,"")</f>
        <v/>
      </c>
      <c r="D17" s="43" t="str">
        <f>IF(SUMPRODUCT(--(NOT(ISERR(SEARCH({"T","C"},'CDR Project Planner'!$C18))))),'CDR Project Planner'!D18,"")</f>
        <v/>
      </c>
      <c r="E17" s="43" t="str">
        <f>IF(SUMPRODUCT(--(NOT(ISERR(SEARCH({"T","C"},'CDR Project Planner'!$C18))))),'CDR Project Planner'!E18,"")</f>
        <v/>
      </c>
      <c r="F17" s="43" t="str">
        <f>IF(SUMPRODUCT(--(NOT(ISERR(SEARCH({"T","C"},'CDR Project Planner'!$C18))))),'CDR Project Planner'!F18,"")</f>
        <v/>
      </c>
      <c r="G17" s="43" t="str">
        <f>IF(SUMPRODUCT(--(NOT(ISERR(SEARCH({"T","C"},'CDR Project Planner'!$C18))))),'CDR Project Planner'!G18,"")</f>
        <v/>
      </c>
      <c r="H17" s="43" t="str">
        <f>IF(SUMPRODUCT(--(NOT(ISERR(SEARCH({"T","C"},'CDR Project Planner'!$C18))))),'CDR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2" t="str">
        <f>IF(SUMPRODUCT(--(NOT(ISERR(SEARCH({"T","C"},'CDR Project Planner'!$C19))))),'CDR Project Planner'!B19,"")</f>
        <v/>
      </c>
      <c r="C18" s="43" t="str">
        <f>IF(SUMPRODUCT(--(NOT(ISERR(SEARCH({"T","C"},'CDR Project Planner'!$C19))))),'CDR Project Planner'!C19,"")</f>
        <v/>
      </c>
      <c r="D18" s="43" t="str">
        <f>IF(SUMPRODUCT(--(NOT(ISERR(SEARCH({"T","C"},'CDR Project Planner'!$C19))))),'CDR Project Planner'!D19,"")</f>
        <v/>
      </c>
      <c r="E18" s="43" t="str">
        <f>IF(SUMPRODUCT(--(NOT(ISERR(SEARCH({"T","C"},'CDR Project Planner'!$C19))))),'CDR Project Planner'!E19,"")</f>
        <v/>
      </c>
      <c r="F18" s="43" t="str">
        <f>IF(SUMPRODUCT(--(NOT(ISERR(SEARCH({"T","C"},'CDR Project Planner'!$C19))))),'CDR Project Planner'!F19,"")</f>
        <v/>
      </c>
      <c r="G18" s="43" t="str">
        <f>IF(SUMPRODUCT(--(NOT(ISERR(SEARCH({"T","C"},'CDR Project Planner'!$C19))))),'CDR Project Planner'!G19,"")</f>
        <v/>
      </c>
      <c r="H18" s="43" t="str">
        <f>IF(SUMPRODUCT(--(NOT(ISERR(SEARCH({"T","C"},'CDR Project Planner'!$C19))))),'CDR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2" t="str">
        <f>IF(SUMPRODUCT(--(NOT(ISERR(SEARCH({"T","C"},'CDR Project Planner'!#REF!))))),'CDR Project Planner'!#REF!,"")</f>
        <v/>
      </c>
      <c r="C19" s="43" t="str">
        <f>IF(SUMPRODUCT(--(NOT(ISERR(SEARCH({"T","C"},'CDR Project Planner'!#REF!))))),'CDR Project Planner'!#REF!,"")</f>
        <v/>
      </c>
      <c r="D19" s="43" t="str">
        <f>IF(SUMPRODUCT(--(NOT(ISERR(SEARCH({"T","C"},'CDR Project Planner'!#REF!))))),'CDR Project Planner'!#REF!,"")</f>
        <v/>
      </c>
      <c r="E19" s="43" t="str">
        <f>IF(SUMPRODUCT(--(NOT(ISERR(SEARCH({"T","C"},'CDR Project Planner'!#REF!))))),'CDR Project Planner'!#REF!,"")</f>
        <v/>
      </c>
      <c r="F19" s="43" t="str">
        <f>IF(SUMPRODUCT(--(NOT(ISERR(SEARCH({"T","C"},'CDR Project Planner'!#REF!))))),'CDR Project Planner'!#REF!,"")</f>
        <v/>
      </c>
      <c r="G19" s="43" t="str">
        <f>IF(SUMPRODUCT(--(NOT(ISERR(SEARCH({"T","C"},'CDR Project Planner'!#REF!))))),'CDR Project Planner'!#REF!,"")</f>
        <v/>
      </c>
      <c r="H19" s="43" t="str">
        <f>IF(SUMPRODUCT(--(NOT(ISERR(SEARCH({"T","C"},'CDR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2" t="str">
        <f>IF(SUMPRODUCT(--(NOT(ISERR(SEARCH({"T","C"},'CDR Project Planner'!#REF!))))),'CDR Project Planner'!#REF!,"")</f>
        <v/>
      </c>
      <c r="C20" s="43" t="str">
        <f>IF(SUMPRODUCT(--(NOT(ISERR(SEARCH({"T","C"},'CDR Project Planner'!#REF!))))),'CDR Project Planner'!#REF!,"")</f>
        <v/>
      </c>
      <c r="D20" s="43" t="str">
        <f>IF(SUMPRODUCT(--(NOT(ISERR(SEARCH({"T","C"},'CDR Project Planner'!#REF!))))),'CDR Project Planner'!#REF!,"")</f>
        <v/>
      </c>
      <c r="E20" s="43" t="str">
        <f>IF(SUMPRODUCT(--(NOT(ISERR(SEARCH({"T","C"},'CDR Project Planner'!#REF!))))),'CDR Project Planner'!#REF!,"")</f>
        <v/>
      </c>
      <c r="F20" s="43" t="str">
        <f>IF(SUMPRODUCT(--(NOT(ISERR(SEARCH({"T","C"},'CDR Project Planner'!#REF!))))),'CDR Project Planner'!#REF!,"")</f>
        <v/>
      </c>
      <c r="G20" s="43" t="str">
        <f>IF(SUMPRODUCT(--(NOT(ISERR(SEARCH({"T","C"},'CDR Project Planner'!#REF!))))),'CDR Project Planner'!#REF!,"")</f>
        <v/>
      </c>
      <c r="H20" s="43" t="str">
        <f>IF(SUMPRODUCT(--(NOT(ISERR(SEARCH({"T","C"},'CDR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50" t="str">
        <f>IF(SUMPRODUCT(--(NOT(ISERR(SEARCH({"T","C"},'CDR Project Planner'!$C21))))),'CDR Project Planner'!B21,"")</f>
        <v>Python</v>
      </c>
      <c r="C21" s="43" t="str">
        <f>IF(SUMPRODUCT(--(NOT(ISERR(SEARCH({"T","C"},'CDR Project Planner'!$C21))))),'CDR Project Planner'!C21,"")</f>
        <v>C &amp; Z</v>
      </c>
      <c r="D21" s="43"/>
      <c r="E21" s="43"/>
      <c r="F21" s="43"/>
      <c r="G21" s="43"/>
      <c r="H21" s="48">
        <f>IF(SUMPRODUCT(--(NOT(ISERR(SEARCH({"T","C"},'CDR Project Planner'!$C21))))),'CDR Project Planner'!H21,"")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51" t="str">
        <f>IF(SUMPRODUCT(--(NOT(ISERR(SEARCH({"T","C"},'CDR Project Planner'!$C22))))),'CDR Project Planner'!B22,"")</f>
        <v/>
      </c>
      <c r="C22" s="43" t="str">
        <f>IF(SUMPRODUCT(--(NOT(ISERR(SEARCH({"T","C"},'CDR Project Planner'!$C22))))),'CDR Project Planner'!C22,"")</f>
        <v/>
      </c>
      <c r="D22" s="43" t="str">
        <f>IF(SUMPRODUCT(--(NOT(ISERR(SEARCH({"T","C"},'CDR Project Planner'!$C22))))),'CDR Project Planner'!D22,"")</f>
        <v/>
      </c>
      <c r="E22" s="43" t="str">
        <f>IF(SUMPRODUCT(--(NOT(ISERR(SEARCH({"T","C"},'CDR Project Planner'!$C22))))),'CDR Project Planner'!E22,"")</f>
        <v/>
      </c>
      <c r="F22" s="43" t="str">
        <f>IF(SUMPRODUCT(--(NOT(ISERR(SEARCH({"T","C"},'CDR Project Planner'!$C22))))),'CDR Project Planner'!F22,"")</f>
        <v/>
      </c>
      <c r="G22" s="43" t="str">
        <f>IF(SUMPRODUCT(--(NOT(ISERR(SEARCH({"T","C"},'CDR Project Planner'!$C22))))),'CDR Project Planner'!G22,"")</f>
        <v/>
      </c>
      <c r="H22" s="48" t="str">
        <f>IF(SUMPRODUCT(--(NOT(ISERR(SEARCH({"T","C"},'CDR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51" t="str">
        <f>IF(SUMPRODUCT(--(NOT(ISERR(SEARCH({"T","C"},'CDR Project Planner'!$C23))))),'CDR Project Planner'!B23,"")</f>
        <v>GUI - Create unknown map</v>
      </c>
      <c r="C23" s="43" t="str">
        <f>IF(SUMPRODUCT(--(NOT(ISERR(SEARCH({"T","C"},'CDR Project Planner'!$C23))))),'CDR Project Planner'!C23,"")</f>
        <v>C</v>
      </c>
      <c r="D23" s="43">
        <f>IF(SUMPRODUCT(--(NOT(ISERR(SEARCH({"T","C"},'CDR Project Planner'!$C23))))),'CDR Project Planner'!D23,"")</f>
        <v>32</v>
      </c>
      <c r="E23" s="43">
        <f>IF(SUMPRODUCT(--(NOT(ISERR(SEARCH({"T","C"},'CDR Project Planner'!$C23))))),'CDR Project Planner'!E23,"")</f>
        <v>15</v>
      </c>
      <c r="F23" s="43">
        <f>IF(SUMPRODUCT(--(NOT(ISERR(SEARCH({"T","C"},'CDR Project Planner'!$C23))))),'CDR Project Planner'!F23,"")</f>
        <v>0</v>
      </c>
      <c r="G23" s="43">
        <f>IF(SUMPRODUCT(--(NOT(ISERR(SEARCH({"T","C"},'CDR Project Planner'!$C23))))),'CDR Project Planner'!G23,"")</f>
        <v>0</v>
      </c>
      <c r="H23" s="48">
        <f>IF(SUMPRODUCT(--(NOT(ISERR(SEARCH({"T","C"},'CDR Project Planner'!$C23))))),'CDR Project Planner'!H23,"")</f>
        <v>0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51" t="str">
        <f>IF(SUMPRODUCT(--(NOT(ISERR(SEARCH({"T","C"},'CDR Project Planner'!$C24))))),'CDR Project Planner'!B24,"")</f>
        <v/>
      </c>
      <c r="C24" s="43" t="str">
        <f>IF(SUMPRODUCT(--(NOT(ISERR(SEARCH({"T","C"},'CDR Project Planner'!$C24))))),'CDR Project Planner'!C24,"")</f>
        <v/>
      </c>
      <c r="D24" s="43" t="str">
        <f>IF(SUMPRODUCT(--(NOT(ISERR(SEARCH({"T","C"},'CDR Project Planner'!$C24))))),'CDR Project Planner'!D24,"")</f>
        <v/>
      </c>
      <c r="E24" s="43" t="str">
        <f>IF(SUMPRODUCT(--(NOT(ISERR(SEARCH({"T","C"},'CDR Project Planner'!$C24))))),'CDR Project Planner'!E24,"")</f>
        <v/>
      </c>
      <c r="F24" s="43" t="str">
        <f>IF(SUMPRODUCT(--(NOT(ISERR(SEARCH({"T","C"},'CDR Project Planner'!$C24))))),'CDR Project Planner'!F24,"")</f>
        <v/>
      </c>
      <c r="G24" s="43" t="str">
        <f>IF(SUMPRODUCT(--(NOT(ISERR(SEARCH({"T","C"},'CDR Project Planner'!$C24))))),'CDR Project Planner'!G24,"")</f>
        <v/>
      </c>
      <c r="H24" s="48" t="str">
        <f>IF(SUMPRODUCT(--(NOT(ISERR(SEARCH({"T","C"},'CDR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51" t="str">
        <f>IF(SUMPRODUCT(--(NOT(ISERR(SEARCH({"T","C"},'CDR Project Planner'!#REF!))))),'CDR Project Planner'!#REF!,"")</f>
        <v/>
      </c>
      <c r="C25" s="43" t="str">
        <f>IF(SUMPRODUCT(--(NOT(ISERR(SEARCH({"T","C"},'CDR Project Planner'!#REF!))))),'CDR Project Planner'!#REF!,"")</f>
        <v/>
      </c>
      <c r="D25" s="43" t="str">
        <f>IF(SUMPRODUCT(--(NOT(ISERR(SEARCH({"T","C"},'CDR Project Planner'!#REF!))))),'CDR Project Planner'!#REF!,"")</f>
        <v/>
      </c>
      <c r="E25" s="43" t="str">
        <f>IF(SUMPRODUCT(--(NOT(ISERR(SEARCH({"T","C"},'CDR Project Planner'!#REF!))))),'CDR Project Planner'!#REF!,"")</f>
        <v/>
      </c>
      <c r="F25" s="43" t="str">
        <f>IF(SUMPRODUCT(--(NOT(ISERR(SEARCH({"T","C"},'CDR Project Planner'!#REF!))))),'CDR Project Planner'!#REF!,"")</f>
        <v/>
      </c>
      <c r="G25" s="43" t="str">
        <f>IF(SUMPRODUCT(--(NOT(ISERR(SEARCH({"T","C"},'CDR Project Planner'!#REF!))))),'CDR Project Planner'!#REF!,"")</f>
        <v/>
      </c>
      <c r="H25" s="48" t="str">
        <f>IF(SUMPRODUCT(--(NOT(ISERR(SEARCH({"T","C"},'CDR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outlineLevel="1" x14ac:dyDescent="0.25">
      <c r="A26" s="1"/>
      <c r="B26" s="51" t="str">
        <f>IF(SUMPRODUCT(--(NOT(ISERR(SEARCH({"T","C"},'CDR Project Planner'!$C28))))),'CDR Project Planner'!B28,"")</f>
        <v>Make turning smart with gyro</v>
      </c>
      <c r="C26" s="43" t="str">
        <f>IF(SUMPRODUCT(--(NOT(ISERR(SEARCH({"T","C"},'CDR Project Planner'!$C28))))),'CDR Project Planner'!C28,"")</f>
        <v>C &amp; Z</v>
      </c>
      <c r="D26" s="43">
        <f>IF(SUMPRODUCT(--(NOT(ISERR(SEARCH({"T","C"},'CDR Project Planner'!$C28))))),'CDR Project Planner'!D28,"")</f>
        <v>35</v>
      </c>
      <c r="E26" s="43">
        <f>IF(SUMPRODUCT(--(NOT(ISERR(SEARCH({"T","C"},'CDR Project Planner'!$C28))))),'CDR Project Planner'!E28,"")</f>
        <v>5</v>
      </c>
      <c r="F26" s="43">
        <f>IF(SUMPRODUCT(--(NOT(ISERR(SEARCH({"T","C"},'CDR Project Planner'!$C28))))),'CDR Project Planner'!F28,"")</f>
        <v>0</v>
      </c>
      <c r="G26" s="43">
        <f>IF(SUMPRODUCT(--(NOT(ISERR(SEARCH({"T","C"},'CDR Project Planner'!$C28))))),'CDR Project Planner'!G28,"")</f>
        <v>0</v>
      </c>
      <c r="H26" s="48">
        <f>IF(SUMPRODUCT(--(NOT(ISERR(SEARCH({"T","C"},'CDR Project Planner'!$C28))))),'CDR Project Planner'!H28,"")</f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ht="15" x14ac:dyDescent="0.25">
      <c r="A27" s="1"/>
      <c r="B27" s="42" t="str">
        <f>IF(SUMPRODUCT(--(NOT(ISERR(SEARCH({"T","C"},'CDR Project Planner'!$C29))))),'CDR Project Planner'!B29,"")</f>
        <v/>
      </c>
      <c r="C27" s="43" t="str">
        <f>IF(SUMPRODUCT(--(NOT(ISERR(SEARCH({"T","C"},'CDR Project Planner'!$C29))))),'CDR Project Planner'!C29,"")</f>
        <v/>
      </c>
      <c r="D27" s="43" t="str">
        <f>IF(SUMPRODUCT(--(NOT(ISERR(SEARCH({"T","C"},'CDR Project Planner'!$C29))))),'CDR Project Planner'!D29,"")</f>
        <v/>
      </c>
      <c r="E27" s="43" t="str">
        <f>IF(SUMPRODUCT(--(NOT(ISERR(SEARCH({"T","C"},'CDR Project Planner'!$C29))))),'CDR Project Planner'!E29,"")</f>
        <v/>
      </c>
      <c r="F27" s="43" t="str">
        <f>IF(SUMPRODUCT(--(NOT(ISERR(SEARCH({"T","C"},'CDR Project Planner'!$C29))))),'CDR Project Planner'!F29,"")</f>
        <v/>
      </c>
      <c r="G27" s="43" t="str">
        <f>IF(SUMPRODUCT(--(NOT(ISERR(SEARCH({"T","C"},'CDR Project Planner'!$C29))))),'CDR Project Planner'!G29,"")</f>
        <v/>
      </c>
      <c r="H27" s="48" t="str">
        <f>IF(SUMPRODUCT(--(NOT(ISERR(SEARCH({"T","C"},'CDR Project Planner'!$C29))))),'CDR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42" t="str">
        <f>IF(SUMPRODUCT(--(NOT(ISERR(SEARCH({"T","C"},'CDR Project Planner'!#REF!))))),'CDR Project Planner'!#REF!,"")</f>
        <v/>
      </c>
      <c r="C28" s="43" t="str">
        <f>IF(SUMPRODUCT(--(NOT(ISERR(SEARCH({"T","C"},'CDR Project Planner'!#REF!))))),'CDR Project Planner'!#REF!,"")</f>
        <v/>
      </c>
      <c r="D28" s="43" t="str">
        <f>IF(SUMPRODUCT(--(NOT(ISERR(SEARCH({"T","C"},'CDR Project Planner'!#REF!))))),'CDR Project Planner'!#REF!,"")</f>
        <v/>
      </c>
      <c r="E28" s="43" t="str">
        <f>IF(SUMPRODUCT(--(NOT(ISERR(SEARCH({"T","C"},'CDR Project Planner'!#REF!))))),'CDR Project Planner'!#REF!,"")</f>
        <v/>
      </c>
      <c r="F28" s="43" t="str">
        <f>IF(SUMPRODUCT(--(NOT(ISERR(SEARCH({"T","C"},'CDR Project Planner'!#REF!))))),'CDR Project Planner'!#REF!,"")</f>
        <v/>
      </c>
      <c r="G28" s="43" t="str">
        <f>IF(SUMPRODUCT(--(NOT(ISERR(SEARCH({"T","C"},'CDR Project Planner'!#REF!))))),'CDR Project Planner'!#REF!,"")</f>
        <v/>
      </c>
      <c r="H28" s="48" t="str">
        <f>IF(SUMPRODUCT(--(NOT(ISERR(SEARCH({"T","C"},'CDR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42" t="str">
        <f>IF(SUMPRODUCT(--(NOT(ISERR(SEARCH({"T","C"},'CDR Project Planner'!$C30))))),'CDR Project Planner'!B30,"")</f>
        <v/>
      </c>
      <c r="C29" s="43" t="str">
        <f>IF(SUMPRODUCT(--(NOT(ISERR(SEARCH({"T","C"},'CDR Project Planner'!$C30))))),'CDR Project Planner'!C30,"")</f>
        <v/>
      </c>
      <c r="D29" s="43" t="str">
        <f>IF(SUMPRODUCT(--(NOT(ISERR(SEARCH({"T","C"},'CDR Project Planner'!$C30))))),'CDR Project Planner'!D30,"")</f>
        <v/>
      </c>
      <c r="E29" s="43" t="str">
        <f>IF(SUMPRODUCT(--(NOT(ISERR(SEARCH({"T","C"},'CDR Project Planner'!$C30))))),'CDR Project Planner'!E30,"")</f>
        <v/>
      </c>
      <c r="F29" s="43" t="str">
        <f>IF(SUMPRODUCT(--(NOT(ISERR(SEARCH({"T","C"},'CDR Project Planner'!$C30))))),'CDR Project Planner'!F30,"")</f>
        <v/>
      </c>
      <c r="G29" s="43" t="str">
        <f>IF(SUMPRODUCT(--(NOT(ISERR(SEARCH({"T","C"},'CDR Project Planner'!$C30))))),'CDR Project Planner'!G30,"")</f>
        <v/>
      </c>
      <c r="H29" s="48" t="str">
        <f>IF(SUMPRODUCT(--(NOT(ISERR(SEARCH({"T","C"},'CDR Project Planner'!$C30))))),'CDR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50" t="str">
        <f>IF(SUMPRODUCT(--(NOT(ISERR(SEARCH({"T","C"},'CDR Project Planner'!$C35))))),'CDR Project Planner'!B35,"")</f>
        <v>Project Management</v>
      </c>
      <c r="C30" s="43" t="str">
        <f>IF(SUMPRODUCT(--(NOT(ISERR(SEARCH({"T","C"},'CDR Project Planner'!$C35))))),'CDR Project Planner'!C35,"")</f>
        <v>An &amp; T &amp; ?</v>
      </c>
      <c r="D30" s="43"/>
      <c r="E30" s="43"/>
      <c r="F30" s="43"/>
      <c r="G30" s="43"/>
      <c r="H30" s="48">
        <f>IF(SUMPRODUCT(--(NOT(ISERR(SEARCH({"T","C"},'CDR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42" t="str">
        <f>IF(SUMPRODUCT(--(NOT(ISERR(SEARCH({"T","C"},'CDR Project Planner'!$C36))))),'CDR Project Planner'!B36,"")</f>
        <v/>
      </c>
      <c r="C31" s="43" t="str">
        <f>IF(SUMPRODUCT(--(NOT(ISERR(SEARCH({"T","C"},'CDR Project Planner'!$C36))))),'CDR Project Planner'!C36,"")</f>
        <v/>
      </c>
      <c r="D31" s="43" t="str">
        <f>IF(SUMPRODUCT(--(NOT(ISERR(SEARCH({"T","C"},'CDR Project Planner'!$C36))))),'CDR Project Planner'!D36,"")</f>
        <v/>
      </c>
      <c r="E31" s="43" t="str">
        <f>IF(SUMPRODUCT(--(NOT(ISERR(SEARCH({"T","C"},'CDR Project Planner'!$C36))))),'CDR Project Planner'!E36,"")</f>
        <v/>
      </c>
      <c r="F31" s="43" t="str">
        <f>IF(SUMPRODUCT(--(NOT(ISERR(SEARCH({"T","C"},'CDR Project Planner'!$C36))))),'CDR Project Planner'!F36,"")</f>
        <v/>
      </c>
      <c r="G31" s="43" t="str">
        <f>IF(SUMPRODUCT(--(NOT(ISERR(SEARCH({"T","C"},'CDR Project Planner'!$C36))))),'CDR Project Planner'!G36,"")</f>
        <v/>
      </c>
      <c r="H31" s="48" t="str">
        <f>IF(SUMPRODUCT(--(NOT(ISERR(SEARCH({"T","C"},'CDR Project Planner'!$C36))))),'CDR Project Planner'!H36,"")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42" t="str">
        <f>IF(SUMPRODUCT(--(NOT(ISERR(SEARCH({"T","C"},'CDR Project Planner'!$C37))))),'CDR Project Planner'!B37,"")</f>
        <v/>
      </c>
      <c r="C32" s="43" t="str">
        <f>IF(SUMPRODUCT(--(NOT(ISERR(SEARCH({"T","C"},'CDR Project Planner'!$C37))))),'CDR Project Planner'!C37,"")</f>
        <v/>
      </c>
      <c r="D32" s="43" t="str">
        <f>IF(SUMPRODUCT(--(NOT(ISERR(SEARCH({"T","C"},'CDR Project Planner'!$C37))))),'CDR Project Planner'!D37,"")</f>
        <v/>
      </c>
      <c r="E32" s="43" t="str">
        <f>IF(SUMPRODUCT(--(NOT(ISERR(SEARCH({"T","C"},'CDR Project Planner'!$C37))))),'CDR Project Planner'!E37,"")</f>
        <v/>
      </c>
      <c r="F32" s="43" t="str">
        <f>IF(SUMPRODUCT(--(NOT(ISERR(SEARCH({"T","C"},'CDR Project Planner'!$C37))))),'CDR Project Planner'!F37,"")</f>
        <v/>
      </c>
      <c r="G32" s="43" t="str">
        <f>IF(SUMPRODUCT(--(NOT(ISERR(SEARCH({"T","C"},'CDR Project Planner'!$C37))))),'CDR Project Planner'!G37,"")</f>
        <v/>
      </c>
      <c r="H32" s="48" t="str">
        <f>IF(SUMPRODUCT(--(NOT(ISERR(SEARCH({"T","C"},'CDR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42" t="str">
        <f>IF(SUMPRODUCT(--(NOT(ISERR(SEARCH({"T","C"},'CDR Project Planner'!$C38))))),'CDR Project Planner'!B38,"")</f>
        <v/>
      </c>
      <c r="C33" s="43" t="str">
        <f>IF(SUMPRODUCT(--(NOT(ISERR(SEARCH({"T","C"},'CDR Project Planner'!$C38))))),'CDR Project Planner'!C38,"")</f>
        <v/>
      </c>
      <c r="D33" s="43" t="str">
        <f>IF(SUMPRODUCT(--(NOT(ISERR(SEARCH({"T","C"},'CDR Project Planner'!$C38))))),'CDR Project Planner'!D38,"")</f>
        <v/>
      </c>
      <c r="E33" s="43" t="str">
        <f>IF(SUMPRODUCT(--(NOT(ISERR(SEARCH({"T","C"},'CDR Project Planner'!$C38))))),'CDR Project Planner'!E38,"")</f>
        <v/>
      </c>
      <c r="F33" s="43" t="str">
        <f>IF(SUMPRODUCT(--(NOT(ISERR(SEARCH({"T","C"},'CDR Project Planner'!$C38))))),'CDR Project Planner'!F38,"")</f>
        <v/>
      </c>
      <c r="G33" s="43" t="str">
        <f>IF(SUMPRODUCT(--(NOT(ISERR(SEARCH({"T","C"},'CDR Project Planner'!$C38))))),'CDR Project Planner'!G38,"")</f>
        <v/>
      </c>
      <c r="H33" s="48" t="str">
        <f>IF(SUMPRODUCT(--(NOT(ISERR(SEARCH({"T","C"},'CDR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42" t="str">
        <f>IF(SUMPRODUCT(--(NOT(ISERR(SEARCH({"T","C"},'CDR Project Planner'!$C39))))),'CDR Project Planner'!B39,"")</f>
        <v/>
      </c>
      <c r="C34" s="43" t="str">
        <f>IF(SUMPRODUCT(--(NOT(ISERR(SEARCH({"T","C"},'CDR Project Planner'!$C39))))),'CDR Project Planner'!C39,"")</f>
        <v/>
      </c>
      <c r="D34" s="43" t="str">
        <f>IF(SUMPRODUCT(--(NOT(ISERR(SEARCH({"T","C"},'CDR Project Planner'!$C39))))),'CDR Project Planner'!D39,"")</f>
        <v/>
      </c>
      <c r="E34" s="43" t="str">
        <f>IF(SUMPRODUCT(--(NOT(ISERR(SEARCH({"T","C"},'CDR Project Planner'!$C39))))),'CDR Project Planner'!E39,"")</f>
        <v/>
      </c>
      <c r="F34" s="43" t="str">
        <f>IF(SUMPRODUCT(--(NOT(ISERR(SEARCH({"T","C"},'CDR Project Planner'!$C39))))),'CDR Project Planner'!F39,"")</f>
        <v/>
      </c>
      <c r="G34" s="43" t="str">
        <f>IF(SUMPRODUCT(--(NOT(ISERR(SEARCH({"T","C"},'CDR Project Planner'!$C39))))),'CDR Project Planner'!G39,"")</f>
        <v/>
      </c>
      <c r="H34" s="48" t="str">
        <f>IF(SUMPRODUCT(--(NOT(ISERR(SEARCH({"T","C"},'CDR Project Planner'!$C39))))),'CDR Project Planner'!H39,"")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51" t="str">
        <f>IF(SUMPRODUCT(--(NOT(ISERR(SEARCH({"T","C"},'CDR Project Planner'!$C40))))),'CDR Project Planner'!B40,"")</f>
        <v>CDR PowerPoint</v>
      </c>
      <c r="C35" s="43" t="str">
        <f>IF(SUMPRODUCT(--(NOT(ISERR(SEARCH({"T","C"},'CDR Project Planner'!$C40))))),'CDR Project Planner'!C40,"")</f>
        <v>T</v>
      </c>
      <c r="D35" s="43">
        <f>IF(SUMPRODUCT(--(NOT(ISERR(SEARCH({"T","C"},'CDR Project Planner'!$C40))))),'CDR Project Planner'!D40,"")</f>
        <v>45</v>
      </c>
      <c r="E35" s="43">
        <f>IF(SUMPRODUCT(--(NOT(ISERR(SEARCH({"T","C"},'CDR Project Planner'!$C40))))),'CDR Project Planner'!E40,"")</f>
        <v>10</v>
      </c>
      <c r="F35" s="43">
        <f>IF(SUMPRODUCT(--(NOT(ISERR(SEARCH({"T","C"},'CDR Project Planner'!$C40))))),'CDR Project Planner'!F40,"")</f>
        <v>0</v>
      </c>
      <c r="G35" s="43">
        <f>IF(SUMPRODUCT(--(NOT(ISERR(SEARCH({"T","C"},'CDR Project Planner'!$C40))))),'CDR Project Planner'!G40,"")</f>
        <v>0</v>
      </c>
      <c r="H35" s="48">
        <f>IF(SUMPRODUCT(--(NOT(ISERR(SEARCH({"T","C"},'CDR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31"/>
      <c r="B36" s="46" t="str">
        <f>IF(SUMPRODUCT(--(NOT(ISERR(SEARCH({"T","C"},'CDR Project Planner'!$C41))))),'CDR Project Planner'!B41,"")</f>
        <v>CDR</v>
      </c>
      <c r="C36" s="47" t="str">
        <f>IF(SUMPRODUCT(--(NOT(ISERR(SEARCH({"T","C"},'CDR Project Planner'!$C41))))),'CDR Project Planner'!C41,"")</f>
        <v>T</v>
      </c>
      <c r="D36" s="47">
        <f>IF(SUMPRODUCT(--(NOT(ISERR(SEARCH({"T","C"},'CDR Project Planner'!$C41))))),'CDR Project Planner'!D41,"")</f>
        <v>55</v>
      </c>
      <c r="E36" s="47">
        <f>IF(SUMPRODUCT(--(NOT(ISERR(SEARCH({"T","C"},'CDR Project Planner'!$C41))))),'CDR Project Planner'!E41,"")</f>
        <v>1</v>
      </c>
      <c r="F36" s="47">
        <f>IF(SUMPRODUCT(--(NOT(ISERR(SEARCH({"T","C"},'CDR Project Planner'!$C41))))),'CDR Project Planner'!F41,"")</f>
        <v>55</v>
      </c>
      <c r="G36" s="47">
        <f>IF(SUMPRODUCT(--(NOT(ISERR(SEARCH({"T","C"},'CDR Project Planner'!$C41))))),'CDR Project Planner'!G41,"")</f>
        <v>1</v>
      </c>
      <c r="H36" s="48">
        <f>IF(SUMPRODUCT(--(NOT(ISERR(SEARCH({"T","C"},'CDR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50" t="str">
        <f>IF(SUMPRODUCT(--(NOT(ISERR(SEARCH({"T","C"},'CDR Project Planner'!$C42))))),'CDR Project Planner'!B42,"")</f>
        <v>After We Finish</v>
      </c>
      <c r="C37" s="43" t="str">
        <f>IF(SUMPRODUCT(--(NOT(ISERR(SEARCH({"T","C"},'CDR Project Planner'!$C42))))),'CDR Project Planner'!C42,"")</f>
        <v>C &amp; An</v>
      </c>
      <c r="D37" s="43"/>
      <c r="E37" s="43"/>
      <c r="F37" s="43"/>
      <c r="G37" s="43"/>
      <c r="H37" s="48">
        <f>IF(SUMPRODUCT(--(NOT(ISERR(SEARCH({"T","C"},'CDR Project Planner'!$C42))))),'CDR Project Planner'!H42,"")</f>
        <v>0</v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51" t="str">
        <f>IF(SUMPRODUCT(--(NOT(ISERR(SEARCH({"T","C"},'CDR Project Planner'!$C43))))),'CDR Project Planner'!B43,"")</f>
        <v>Create sound board*</v>
      </c>
      <c r="C38" s="43" t="str">
        <f>IF(SUMPRODUCT(--(NOT(ISERR(SEARCH({"T","C"},'CDR Project Planner'!$C43))))),'CDR Project Planner'!C43,"")</f>
        <v>C &amp; An</v>
      </c>
      <c r="D38" s="43" t="str">
        <f>IF(SUMPRODUCT(--(NOT(ISERR(SEARCH({"T","C"},'CDR Project Planner'!$C43))))),'CDR Project Planner'!D43,"")</f>
        <v>TBA</v>
      </c>
      <c r="E38" s="43" t="str">
        <f>IF(SUMPRODUCT(--(NOT(ISERR(SEARCH({"T","C"},'CDR Project Planner'!$C43))))),'CDR Project Planner'!E43,"")</f>
        <v>TBA</v>
      </c>
      <c r="F38" s="43">
        <f>IF(SUMPRODUCT(--(NOT(ISERR(SEARCH({"T","C"},'CDR Project Planner'!$C43))))),'CDR Project Planner'!F43,"")</f>
        <v>0</v>
      </c>
      <c r="G38" s="43">
        <f>IF(SUMPRODUCT(--(NOT(ISERR(SEARCH({"T","C"},'CDR Project Planner'!$C43))))),'CDR Project Planner'!G43,"")</f>
        <v>0</v>
      </c>
      <c r="H38" s="48">
        <f>IF(SUMPRODUCT(--(NOT(ISERR(SEARCH({"T","C"},'CDR Project Planner'!$C43))))),'CDR Project Planner'!H43,"")</f>
        <v>0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42" t="str">
        <f>IF(SUMPRODUCT(--(NOT(ISERR(SEARCH({"T","C"},'CDR Project Planner'!$C44))))),'CDR Project Planner'!B44,"")</f>
        <v/>
      </c>
      <c r="C39" s="43" t="str">
        <f>IF(SUMPRODUCT(--(NOT(ISERR(SEARCH({"T","C"},'CDR Project Planner'!$C44))))),'CDR Project Planner'!C44,"")</f>
        <v/>
      </c>
      <c r="D39" s="43" t="str">
        <f>IF(SUMPRODUCT(--(NOT(ISERR(SEARCH({"T","C"},'CDR Project Planner'!$C44))))),'CDR Project Planner'!D44,"")</f>
        <v/>
      </c>
      <c r="E39" s="43" t="str">
        <f>IF(SUMPRODUCT(--(NOT(ISERR(SEARCH({"T","C"},'CDR Project Planner'!$C44))))),'CDR Project Planner'!E44,"")</f>
        <v/>
      </c>
      <c r="F39" s="43" t="str">
        <f>IF(SUMPRODUCT(--(NOT(ISERR(SEARCH({"T","C"},'CDR Project Planner'!$C44))))),'CDR Project Planner'!F44,"")</f>
        <v/>
      </c>
      <c r="G39" s="43" t="str">
        <f>IF(SUMPRODUCT(--(NOT(ISERR(SEARCH({"T","C"},'CDR Project Planner'!$C44))))),'CDR Project Planner'!G44,"")</f>
        <v/>
      </c>
      <c r="H39" s="48" t="str">
        <f>IF(SUMPRODUCT(--(NOT(ISERR(SEARCH({"T","C"},'CDR Project Planner'!$C44))))),'CDR Project Planner'!H44,"")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42" t="str">
        <f>IF(SUMPRODUCT(--(NOT(ISERR(SEARCH({"T","C"},'CDR Project Planner'!$C45))))),'CDR Project Planner'!B45,"")</f>
        <v/>
      </c>
      <c r="C40" s="43" t="str">
        <f>IF(SUMPRODUCT(--(NOT(ISERR(SEARCH({"T","C"},'CDR Project Planner'!$C45))))),'CDR Project Planner'!C45,"")</f>
        <v/>
      </c>
      <c r="D40" s="43" t="str">
        <f>IF(SUMPRODUCT(--(NOT(ISERR(SEARCH({"T","C"},'CDR Project Planner'!$C45))))),'CDR Project Planner'!D45,"")</f>
        <v/>
      </c>
      <c r="E40" s="43" t="str">
        <f>IF(SUMPRODUCT(--(NOT(ISERR(SEARCH({"T","C"},'CDR Project Planner'!$C45))))),'CDR Project Planner'!E45,"")</f>
        <v/>
      </c>
      <c r="F40" s="43" t="str">
        <f>IF(SUMPRODUCT(--(NOT(ISERR(SEARCH({"T","C"},'CDR Project Planner'!$C45))))),'CDR Project Planner'!F45,"")</f>
        <v/>
      </c>
      <c r="G40" s="43" t="str">
        <f>IF(SUMPRODUCT(--(NOT(ISERR(SEARCH({"T","C"},'CDR Project Planner'!$C45))))),'CDR Project Planner'!G45,"")</f>
        <v/>
      </c>
      <c r="H40" s="48" t="str">
        <f>IF(SUMPRODUCT(--(NOT(ISERR(SEARCH({"T","C"},'CDR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42" t="str">
        <f>IF(SUMPRODUCT(--(NOT(ISERR(SEARCH({"T","C"},'CDR Project Planner'!$C46))))),'CDR Project Planner'!B46,"")</f>
        <v/>
      </c>
      <c r="C41" s="43" t="str">
        <f>IF(SUMPRODUCT(--(NOT(ISERR(SEARCH({"T","C"},'CDR Project Planner'!$C46))))),'CDR Project Planner'!C46,"")</f>
        <v/>
      </c>
      <c r="D41" s="43" t="str">
        <f>IF(SUMPRODUCT(--(NOT(ISERR(SEARCH({"T","C"},'CDR Project Planner'!$C46))))),'CDR Project Planner'!D46,"")</f>
        <v/>
      </c>
      <c r="E41" s="43" t="str">
        <f>IF(SUMPRODUCT(--(NOT(ISERR(SEARCH({"T","C"},'CDR Project Planner'!$C46))))),'CDR Project Planner'!E46,"")</f>
        <v/>
      </c>
      <c r="F41" s="43" t="str">
        <f>IF(SUMPRODUCT(--(NOT(ISERR(SEARCH({"T","C"},'CDR Project Planner'!$C46))))),'CDR Project Planner'!F46,"")</f>
        <v/>
      </c>
      <c r="G41" s="43" t="str">
        <f>IF(SUMPRODUCT(--(NOT(ISERR(SEARCH({"T","C"},'CDR Project Planner'!$C46))))),'CDR Project Planner'!G46,"")</f>
        <v/>
      </c>
      <c r="H41" s="48" t="str">
        <f>IF(SUMPRODUCT(--(NOT(ISERR(SEARCH({"T","C"},'CDR Project Planner'!$C46))))),'CDR Project Planner'!H46,"")</f>
        <v/>
      </c>
    </row>
    <row r="42" spans="1:68" ht="30" customHeight="1" x14ac:dyDescent="0.25">
      <c r="B42" s="42" t="str">
        <f>IF(SUMPRODUCT(--(NOT(ISERR(SEARCH({"T","C"},'CDR Project Planner'!$C47))))),'CDR Project Planner'!B47,"")</f>
        <v/>
      </c>
      <c r="C42" s="43" t="str">
        <f>IF(SUMPRODUCT(--(NOT(ISERR(SEARCH({"T","C"},'CDR Project Planner'!$C47))))),'CDR Project Planner'!C47,"")</f>
        <v/>
      </c>
      <c r="D42" s="43" t="str">
        <f>IF(SUMPRODUCT(--(NOT(ISERR(SEARCH({"T","C"},'CDR Project Planner'!$C47))))),'CDR Project Planner'!D47,"")</f>
        <v/>
      </c>
      <c r="E42" s="43" t="str">
        <f>IF(SUMPRODUCT(--(NOT(ISERR(SEARCH({"T","C"},'CDR Project Planner'!$C47))))),'CDR Project Planner'!E47,"")</f>
        <v/>
      </c>
      <c r="F42" s="43" t="str">
        <f>IF(SUMPRODUCT(--(NOT(ISERR(SEARCH({"T","C"},'CDR Project Planner'!$C47))))),'CDR Project Planner'!F47,"")</f>
        <v/>
      </c>
      <c r="G42" s="43" t="str">
        <f>IF(SUMPRODUCT(--(NOT(ISERR(SEARCH({"T","C"},'CDR Project Planner'!$C47))))),'CDR Project Planner'!G47,"")</f>
        <v/>
      </c>
      <c r="H42" s="48" t="str">
        <f>IF(SUMPRODUCT(--(NOT(ISERR(SEARCH({"T","C"},'CDR Project Planner'!$C47))))),'CDR Project Planner'!H47,"")</f>
        <v/>
      </c>
    </row>
    <row r="43" spans="1:68" ht="30" customHeight="1" x14ac:dyDescent="0.25">
      <c r="B43" s="42" t="str">
        <f>IF(SUMPRODUCT(--(NOT(ISERR(SEARCH({"T","C"},'CDR Project Planner'!$C48))))),'CDR Project Planner'!B48,"")</f>
        <v/>
      </c>
      <c r="C43" s="43" t="str">
        <f>IF(SUMPRODUCT(--(NOT(ISERR(SEARCH({"T","C"},'CDR Project Planner'!$C48))))),'CDR Project Planner'!C48,"")</f>
        <v/>
      </c>
      <c r="D43" s="43" t="str">
        <f>IF(SUMPRODUCT(--(NOT(ISERR(SEARCH({"T","C"},'CDR Project Planner'!$C48))))),'CDR Project Planner'!D48,"")</f>
        <v/>
      </c>
      <c r="E43" s="43" t="str">
        <f>IF(SUMPRODUCT(--(NOT(ISERR(SEARCH({"T","C"},'CDR Project Planner'!$C48))))),'CDR Project Planner'!E48,"")</f>
        <v/>
      </c>
      <c r="F43" s="43" t="str">
        <f>IF(SUMPRODUCT(--(NOT(ISERR(SEARCH({"T","C"},'CDR Project Planner'!$C48))))),'CDR Project Planner'!F48,"")</f>
        <v/>
      </c>
      <c r="G43" s="43" t="str">
        <f>IF(SUMPRODUCT(--(NOT(ISERR(SEARCH({"T","C"},'CDR Project Planner'!$C48))))),'CDR Project Planner'!G48,"")</f>
        <v/>
      </c>
      <c r="H43" s="48" t="str">
        <f>IF(SUMPRODUCT(--(NOT(ISERR(SEARCH({"T","C"},'CDR Project Planner'!$C48))))),'CDR Project Planner'!H48,"")</f>
        <v/>
      </c>
    </row>
    <row r="44" spans="1:68" s="4" customFormat="1" ht="30" customHeight="1" x14ac:dyDescent="0.25">
      <c r="A44" s="1"/>
      <c r="B44" s="42" t="str">
        <f>IF(SUMPRODUCT(--(NOT(ISERR(SEARCH({"T","C"},'CDR Project Planner'!$C49))))),'CDR Project Planner'!B49,"")</f>
        <v/>
      </c>
      <c r="C44" s="43" t="str">
        <f>IF(SUMPRODUCT(--(NOT(ISERR(SEARCH({"T","C"},'CDR Project Planner'!$C49))))),'CDR Project Planner'!C49,"")</f>
        <v/>
      </c>
      <c r="D44" s="43" t="str">
        <f>IF(SUMPRODUCT(--(NOT(ISERR(SEARCH({"T","C"},'CDR Project Planner'!$C49))))),'CDR Project Planner'!D49,"")</f>
        <v/>
      </c>
      <c r="E44" s="43" t="str">
        <f>IF(SUMPRODUCT(--(NOT(ISERR(SEARCH({"T","C"},'CDR Project Planner'!$C49))))),'CDR Project Planner'!E49,"")</f>
        <v/>
      </c>
      <c r="F44" s="43" t="str">
        <f>IF(SUMPRODUCT(--(NOT(ISERR(SEARCH({"T","C"},'CDR Project Planner'!$C49))))),'CDR Project Planner'!F49,"")</f>
        <v/>
      </c>
      <c r="G44" s="43" t="str">
        <f>IF(SUMPRODUCT(--(NOT(ISERR(SEARCH({"T","C"},'CDR Project Planner'!$C49))))),'CDR Project Planner'!G49,"")</f>
        <v/>
      </c>
      <c r="H44" s="48" t="str">
        <f>IF(SUMPRODUCT(--(NOT(ISERR(SEARCH({"T","C"},'CDR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42" t="str">
        <f>IF(SUMPRODUCT(--(NOT(ISERR(SEARCH({"T","C"},'CDR Project Planner'!$C50))))),'CDR Project Planner'!B50,"")</f>
        <v/>
      </c>
      <c r="C45" s="43" t="str">
        <f>IF(SUMPRODUCT(--(NOT(ISERR(SEARCH({"T","C"},'CDR Project Planner'!$C50))))),'CDR Project Planner'!C50,"")</f>
        <v/>
      </c>
      <c r="D45" s="43" t="str">
        <f>IF(SUMPRODUCT(--(NOT(ISERR(SEARCH({"T","C"},'CDR Project Planner'!$C50))))),'CDR Project Planner'!D50,"")</f>
        <v/>
      </c>
      <c r="E45" s="43" t="str">
        <f>IF(SUMPRODUCT(--(NOT(ISERR(SEARCH({"T","C"},'CDR Project Planner'!$C50))))),'CDR Project Planner'!E50,"")</f>
        <v/>
      </c>
      <c r="F45" s="43" t="str">
        <f>IF(SUMPRODUCT(--(NOT(ISERR(SEARCH({"T","C"},'CDR Project Planner'!$C50))))),'CDR Project Planner'!F50,"")</f>
        <v/>
      </c>
      <c r="G45" s="43" t="str">
        <f>IF(SUMPRODUCT(--(NOT(ISERR(SEARCH({"T","C"},'CDR Project Planner'!$C50))))),'CDR Project Planner'!G50,"")</f>
        <v/>
      </c>
      <c r="H45" s="48" t="str">
        <f>IF(SUMPRODUCT(--(NOT(ISERR(SEARCH({"T","C"},'CDR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42" t="str">
        <f>IF(SUMPRODUCT(--(NOT(ISERR(SEARCH({"T","C"},'CDR Project Planner'!$C51))))),'CDR Project Planner'!B51,"")</f>
        <v/>
      </c>
      <c r="C46" s="43" t="str">
        <f>IF(SUMPRODUCT(--(NOT(ISERR(SEARCH({"T","C"},'CDR Project Planner'!$C51))))),'CDR Project Planner'!C51,"")</f>
        <v/>
      </c>
      <c r="D46" s="43" t="str">
        <f>IF(SUMPRODUCT(--(NOT(ISERR(SEARCH({"T","C"},'CDR Project Planner'!$C51))))),'CDR Project Planner'!D51,"")</f>
        <v/>
      </c>
      <c r="E46" s="43" t="str">
        <f>IF(SUMPRODUCT(--(NOT(ISERR(SEARCH({"T","C"},'CDR Project Planner'!$C51))))),'CDR Project Planner'!E51,"")</f>
        <v/>
      </c>
      <c r="F46" s="43" t="str">
        <f>IF(SUMPRODUCT(--(NOT(ISERR(SEARCH({"T","C"},'CDR Project Planner'!$C51))))),'CDR Project Planner'!F51,"")</f>
        <v/>
      </c>
      <c r="G46" s="43" t="str">
        <f>IF(SUMPRODUCT(--(NOT(ISERR(SEARCH({"T","C"},'CDR Project Planner'!$C51))))),'CDR Project Planner'!G51,"")</f>
        <v/>
      </c>
      <c r="H46" s="48" t="str">
        <f>IF(SUMPRODUCT(--(NOT(ISERR(SEARCH({"T","C"},'CDR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42" t="str">
        <f>IF(SUMPRODUCT(--(NOT(ISERR(SEARCH({"T","C"},'CDR Project Planner'!$C52))))),'CDR Project Planner'!B52,"")</f>
        <v/>
      </c>
      <c r="C47" s="43" t="str">
        <f>IF(SUMPRODUCT(--(NOT(ISERR(SEARCH({"T","C"},'CDR Project Planner'!$C52))))),'CDR Project Planner'!C52,"")</f>
        <v/>
      </c>
      <c r="D47" s="43" t="str">
        <f>IF(SUMPRODUCT(--(NOT(ISERR(SEARCH({"T","C"},'CDR Project Planner'!$C52))))),'CDR Project Planner'!D52,"")</f>
        <v/>
      </c>
      <c r="E47" s="43" t="str">
        <f>IF(SUMPRODUCT(--(NOT(ISERR(SEARCH({"T","C"},'CDR Project Planner'!$C52))))),'CDR Project Planner'!E52,"")</f>
        <v/>
      </c>
      <c r="F47" s="43" t="str">
        <f>IF(SUMPRODUCT(--(NOT(ISERR(SEARCH({"T","C"},'CDR Project Planner'!$C52))))),'CDR Project Planner'!F52,"")</f>
        <v/>
      </c>
      <c r="G47" s="43" t="str">
        <f>IF(SUMPRODUCT(--(NOT(ISERR(SEARCH({"T","C"},'CDR Project Planner'!$C52))))),'CDR Project Planner'!G52,"")</f>
        <v/>
      </c>
      <c r="H47" s="48" t="str">
        <f>IF(SUMPRODUCT(--(NOT(ISERR(SEARCH({"T","C"},'CDR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42" t="str">
        <f>IF(SUMPRODUCT(--(NOT(ISERR(SEARCH({"T","C"},'CDR Project Planner'!$C53))))),'CDR Project Planner'!B53,"")</f>
        <v/>
      </c>
      <c r="C48" s="43" t="str">
        <f>IF(SUMPRODUCT(--(NOT(ISERR(SEARCH({"T","C"},'CDR Project Planner'!$C53))))),'CDR Project Planner'!C53,"")</f>
        <v/>
      </c>
      <c r="D48" s="43" t="str">
        <f>IF(SUMPRODUCT(--(NOT(ISERR(SEARCH({"T","C"},'CDR Project Planner'!$C53))))),'CDR Project Planner'!D53,"")</f>
        <v/>
      </c>
      <c r="E48" s="43" t="str">
        <f>IF(SUMPRODUCT(--(NOT(ISERR(SEARCH({"T","C"},'CDR Project Planner'!$C53))))),'CDR Project Planner'!E53,"")</f>
        <v/>
      </c>
      <c r="F48" s="43" t="str">
        <f>IF(SUMPRODUCT(--(NOT(ISERR(SEARCH({"T","C"},'CDR Project Planner'!$C53))))),'CDR Project Planner'!F53,"")</f>
        <v/>
      </c>
      <c r="G48" s="43" t="str">
        <f>IF(SUMPRODUCT(--(NOT(ISERR(SEARCH({"T","C"},'CDR Project Planner'!$C53))))),'CDR Project Planner'!G53,"")</f>
        <v/>
      </c>
      <c r="H48" s="48" t="str">
        <f>IF(SUMPRODUCT(--(NOT(ISERR(SEARCH({"T","C"},'CDR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25">
      <c r="A49" s="1"/>
      <c r="B49" s="42" t="str">
        <f>IF(SUMPRODUCT(--(NOT(ISERR(SEARCH({"T","C"},'CDR Project Planner'!$C54))))),'CDR Project Planner'!B54,"")</f>
        <v/>
      </c>
      <c r="C49" s="43" t="str">
        <f>IF(SUMPRODUCT(--(NOT(ISERR(SEARCH({"T","C"},'CDR Project Planner'!$C54))))),'CDR Project Planner'!C54,"")</f>
        <v/>
      </c>
      <c r="D49" s="43" t="str">
        <f>IF(SUMPRODUCT(--(NOT(ISERR(SEARCH({"T","C"},'CDR Project Planner'!$C54))))),'CDR Project Planner'!D54,"")</f>
        <v/>
      </c>
      <c r="E49" s="43" t="str">
        <f>IF(SUMPRODUCT(--(NOT(ISERR(SEARCH({"T","C"},'CDR Project Planner'!$C54))))),'CDR Project Planner'!E54,"")</f>
        <v/>
      </c>
      <c r="F49" s="43" t="str">
        <f>IF(SUMPRODUCT(--(NOT(ISERR(SEARCH({"T","C"},'CDR Project Planner'!$C54))))),'CDR Project Planner'!F54,"")</f>
        <v/>
      </c>
      <c r="G49" s="43" t="str">
        <f>IF(SUMPRODUCT(--(NOT(ISERR(SEARCH({"T","C"},'CDR Project Planner'!$C54))))),'CDR Project Planner'!G54,"")</f>
        <v/>
      </c>
      <c r="H49" s="48" t="str">
        <f>IF(SUMPRODUCT(--(NOT(ISERR(SEARCH({"T","C"},'CDR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44" t="str">
        <f>IF(SUMPRODUCT(--(NOT(ISERR(SEARCH({"T","Ba"},'CDR Project Planner'!$C55))))),'CDR Project Planner'!B55,"")</f>
        <v/>
      </c>
      <c r="C50" s="44" t="str">
        <f>IF(SUMPRODUCT(--(NOT(ISERR(SEARCH({"T","Ba"},'CDR Project Planner'!$C55))))),'CDR Project Planner'!C55,"")</f>
        <v/>
      </c>
      <c r="D50" s="52" t="str">
        <f>IF(SUMPRODUCT(--(NOT(ISERR(SEARCH({"T","Ba"},'CDR Project Planner'!$C55))))),'CDR Project Planner'!D55,"")</f>
        <v/>
      </c>
      <c r="E50" s="52" t="str">
        <f>IF(SUMPRODUCT(--(NOT(ISERR(SEARCH({"T","Ba"},'CDR Project Planner'!$C55))))),'CDR Project Planner'!E55,"")</f>
        <v/>
      </c>
      <c r="F50" s="52" t="str">
        <f>IF(SUMPRODUCT(--(NOT(ISERR(SEARCH({"T","Ba"},'CDR Project Planner'!$C55))))),'CDR Project Planner'!F55,"")</f>
        <v/>
      </c>
      <c r="G50" s="52" t="str">
        <f>IF(SUMPRODUCT(--(NOT(ISERR(SEARCH({"T","Ba"},'CDR Project Planner'!$C55))))),'CDR Project Planner'!G55,"")</f>
        <v/>
      </c>
      <c r="H50" s="52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44" t="str">
        <f>IF(SUMPRODUCT(--(NOT(ISERR(SEARCH({"T","Ba"},'CDR Project Planner'!$C56))))),'CDR Project Planner'!B56,"")</f>
        <v/>
      </c>
      <c r="C51" s="44" t="str">
        <f>IF(SUMPRODUCT(--(NOT(ISERR(SEARCH({"T","Ba"},'CDR Project Planner'!$C56))))),'CDR Project Planner'!C56,"")</f>
        <v/>
      </c>
      <c r="D51" s="52" t="str">
        <f>IF(SUMPRODUCT(--(NOT(ISERR(SEARCH({"T","Ba"},'CDR Project Planner'!$C56))))),'CDR Project Planner'!D56,"")</f>
        <v/>
      </c>
      <c r="E51" s="52" t="str">
        <f>IF(SUMPRODUCT(--(NOT(ISERR(SEARCH({"T","Ba"},'CDR Project Planner'!$C56))))),'CDR Project Planner'!E56,"")</f>
        <v/>
      </c>
      <c r="F51" s="52" t="str">
        <f>IF(SUMPRODUCT(--(NOT(ISERR(SEARCH({"T","Ba"},'CDR Project Planner'!$C56))))),'CDR Project Planner'!F56,"")</f>
        <v/>
      </c>
      <c r="G51" s="52" t="str">
        <f>IF(SUMPRODUCT(--(NOT(ISERR(SEARCH({"T","Ba"},'CDR Project Planner'!$C56))))),'CDR Project Planner'!G56,"")</f>
        <v/>
      </c>
      <c r="H51" s="52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44" t="str">
        <f>IF(SUMPRODUCT(--(NOT(ISERR(SEARCH({"T","Ba"},'CDR Project Planner'!$C57))))),'CDR Project Planner'!B57,"")</f>
        <v/>
      </c>
      <c r="C52" s="44" t="str">
        <f>IF(SUMPRODUCT(--(NOT(ISERR(SEARCH({"T","Ba"},'CDR Project Planner'!$C57))))),'CDR Project Planner'!C57,"")</f>
        <v/>
      </c>
      <c r="D52" s="52" t="str">
        <f>IF(SUMPRODUCT(--(NOT(ISERR(SEARCH({"T","Ba"},'CDR Project Planner'!$C57))))),'CDR Project Planner'!D57,"")</f>
        <v/>
      </c>
      <c r="E52" s="52" t="str">
        <f>IF(SUMPRODUCT(--(NOT(ISERR(SEARCH({"T","Ba"},'CDR Project Planner'!$C57))))),'CDR Project Planner'!E57,"")</f>
        <v/>
      </c>
      <c r="F52" s="52" t="str">
        <f>IF(SUMPRODUCT(--(NOT(ISERR(SEARCH({"T","Ba"},'CDR Project Planner'!$C57))))),'CDR Project Planner'!F57,"")</f>
        <v/>
      </c>
      <c r="G52" s="52" t="str">
        <f>IF(SUMPRODUCT(--(NOT(ISERR(SEARCH({"T","Ba"},'CDR Project Planner'!$C57))))),'CDR Project Planner'!G57,"")</f>
        <v/>
      </c>
      <c r="H52" s="52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156" priority="2">
      <formula>PercentComplete</formula>
    </cfRule>
    <cfRule type="expression" dxfId="155" priority="3">
      <formula>PercentCompleteBeyond</formula>
    </cfRule>
    <cfRule type="expression" dxfId="154" priority="4">
      <formula>Actual</formula>
    </cfRule>
    <cfRule type="expression" dxfId="153" priority="5">
      <formula>ActualBeyond</formula>
    </cfRule>
    <cfRule type="expression" dxfId="152" priority="6">
      <formula>Plan</formula>
    </cfRule>
    <cfRule type="expression" dxfId="151" priority="7">
      <formula>I$4=period_selected</formula>
    </cfRule>
    <cfRule type="expression" dxfId="150" priority="8">
      <formula>MOD(COLUMN(),2)</formula>
    </cfRule>
    <cfRule type="expression" dxfId="149" priority="9">
      <formula>MOD(COLUMN(),2)=0</formula>
    </cfRule>
  </conditionalFormatting>
  <conditionalFormatting sqref="I4:BP4">
    <cfRule type="expression" dxfId="148" priority="10">
      <formula>I$4=period_selected</formula>
    </cfRule>
  </conditionalFormatting>
  <conditionalFormatting sqref="I5:BP6 I39:BP39 I27:BP28 I42:BP42 I45:BP45 I48:BP48">
    <cfRule type="expression" dxfId="147" priority="11">
      <formula>PercentComplete</formula>
    </cfRule>
    <cfRule type="expression" dxfId="146" priority="12">
      <formula>PercentCompleteBeyond</formula>
    </cfRule>
    <cfRule type="expression" dxfId="145" priority="13">
      <formula>Actual</formula>
    </cfRule>
    <cfRule type="expression" dxfId="144" priority="14">
      <formula>ActualBeyond</formula>
    </cfRule>
    <cfRule type="expression" dxfId="143" priority="15">
      <formula>Plan</formula>
    </cfRule>
    <cfRule type="expression" dxfId="142" priority="16">
      <formula>I$4=period_selected</formula>
    </cfRule>
    <cfRule type="expression" dxfId="141" priority="17">
      <formula>MOD(COLUMN(),2)</formula>
    </cfRule>
    <cfRule type="expression" dxfId="140" priority="18">
      <formula>MOD(COLUMN(),2)=0</formula>
    </cfRule>
  </conditionalFormatting>
  <conditionalFormatting sqref="I38:BP38 I41:BP41 I44:BP44 I47:BP47">
    <cfRule type="expression" dxfId="139" priority="19">
      <formula>PercentComplete</formula>
    </cfRule>
    <cfRule type="expression" dxfId="138" priority="20">
      <formula>PercentCompleteBeyond</formula>
    </cfRule>
    <cfRule type="expression" dxfId="137" priority="21">
      <formula>Actual</formula>
    </cfRule>
    <cfRule type="expression" dxfId="136" priority="22">
      <formula>ActualBeyond</formula>
    </cfRule>
    <cfRule type="expression" dxfId="135" priority="23">
      <formula>Plan</formula>
    </cfRule>
    <cfRule type="expression" dxfId="134" priority="24">
      <formula>I$4=period_selected</formula>
    </cfRule>
    <cfRule type="expression" dxfId="133" priority="25">
      <formula>MOD(COLUMN(),2)</formula>
    </cfRule>
    <cfRule type="expression" dxfId="132" priority="26">
      <formula>MOD(COLUMN(),2)=0</formula>
    </cfRule>
  </conditionalFormatting>
  <conditionalFormatting sqref="I20:BP20">
    <cfRule type="expression" dxfId="131" priority="27">
      <formula>PercentComplete</formula>
    </cfRule>
    <cfRule type="expression" dxfId="130" priority="28">
      <formula>PercentCompleteBeyond</formula>
    </cfRule>
    <cfRule type="expression" dxfId="129" priority="29">
      <formula>Actual</formula>
    </cfRule>
    <cfRule type="expression" dxfId="128" priority="30">
      <formula>ActualBeyond</formula>
    </cfRule>
    <cfRule type="expression" dxfId="127" priority="31">
      <formula>Plan</formula>
    </cfRule>
    <cfRule type="expression" dxfId="126" priority="32">
      <formula>I$4=period_selected</formula>
    </cfRule>
    <cfRule type="expression" dxfId="125" priority="33">
      <formula>MOD(COLUMN(),2)</formula>
    </cfRule>
    <cfRule type="expression" dxfId="124" priority="34">
      <formula>MOD(COLUMN(),2)=0</formula>
    </cfRule>
  </conditionalFormatting>
  <conditionalFormatting sqref="I16:BP16 I18:BP19">
    <cfRule type="expression" dxfId="123" priority="35">
      <formula>PercentComplete</formula>
    </cfRule>
    <cfRule type="expression" dxfId="122" priority="36">
      <formula>PercentCompleteBeyond</formula>
    </cfRule>
    <cfRule type="expression" dxfId="121" priority="37">
      <formula>Actual</formula>
    </cfRule>
    <cfRule type="expression" dxfId="120" priority="38">
      <formula>ActualBeyond</formula>
    </cfRule>
    <cfRule type="expression" dxfId="119" priority="39">
      <formula>Plan</formula>
    </cfRule>
    <cfRule type="expression" dxfId="118" priority="40">
      <formula>I$4=period_selected</formula>
    </cfRule>
    <cfRule type="expression" dxfId="117" priority="41">
      <formula>MOD(COLUMN(),2)</formula>
    </cfRule>
    <cfRule type="expression" dxfId="116" priority="42">
      <formula>MOD(COLUMN(),2)=0</formula>
    </cfRule>
  </conditionalFormatting>
  <conditionalFormatting sqref="I17:BP17">
    <cfRule type="expression" dxfId="115" priority="43">
      <formula>PercentComplete</formula>
    </cfRule>
    <cfRule type="expression" dxfId="114" priority="44">
      <formula>PercentCompleteBeyond</formula>
    </cfRule>
    <cfRule type="expression" dxfId="113" priority="45">
      <formula>Actual</formula>
    </cfRule>
    <cfRule type="expression" dxfId="112" priority="46">
      <formula>ActualBeyond</formula>
    </cfRule>
    <cfRule type="expression" dxfId="111" priority="47">
      <formula>Plan</formula>
    </cfRule>
    <cfRule type="expression" dxfId="110" priority="48">
      <formula>I$4=period_selected</formula>
    </cfRule>
    <cfRule type="expression" dxfId="109" priority="49">
      <formula>MOD(COLUMN(),2)</formula>
    </cfRule>
    <cfRule type="expression" dxfId="108" priority="50">
      <formula>MOD(COLUMN(),2)=0</formula>
    </cfRule>
  </conditionalFormatting>
  <conditionalFormatting sqref="H53:H56">
    <cfRule type="cellIs" dxfId="107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13 H21:H49">
    <cfRule type="expression" dxfId="106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29" activePane="bottomLeft" state="frozen"/>
      <selection activeCell="B47" sqref="B47"/>
      <selection pane="bottomLeft" activeCell="B47" sqref="B47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61</v>
      </c>
      <c r="C1" s="7"/>
      <c r="D1" s="8"/>
      <c r="E1" s="8"/>
      <c r="F1" s="8"/>
      <c r="G1" s="8"/>
      <c r="H1" s="8"/>
    </row>
    <row r="2" spans="1:68" ht="21" customHeight="1" x14ac:dyDescent="0.25">
      <c r="B2" s="215">
        <f ca="1">NOW()</f>
        <v>43188.720990972222</v>
      </c>
      <c r="C2" s="215"/>
      <c r="D2" s="215"/>
      <c r="E2" s="215"/>
      <c r="F2" s="215"/>
      <c r="G2" s="215"/>
      <c r="H2" s="10" t="s">
        <v>1</v>
      </c>
      <c r="I2" s="11">
        <f ca="1">DAY(NOW())</f>
        <v>29</v>
      </c>
      <c r="K2" s="12"/>
      <c r="L2" s="216" t="s">
        <v>2</v>
      </c>
      <c r="M2" s="216"/>
      <c r="N2" s="216"/>
      <c r="O2" s="216"/>
      <c r="P2" s="216"/>
      <c r="Q2" s="14"/>
      <c r="R2" s="216" t="s">
        <v>3</v>
      </c>
      <c r="S2" s="216"/>
      <c r="T2" s="216"/>
      <c r="U2" s="216"/>
      <c r="V2" s="15"/>
      <c r="W2" s="216" t="s">
        <v>4</v>
      </c>
      <c r="X2" s="216"/>
      <c r="Y2" s="216"/>
      <c r="Z2" s="216"/>
      <c r="AA2" s="16"/>
      <c r="AB2" s="216" t="s">
        <v>5</v>
      </c>
      <c r="AC2" s="216"/>
      <c r="AD2" s="216"/>
      <c r="AE2" s="216"/>
      <c r="AF2" s="216"/>
      <c r="AG2" s="216"/>
      <c r="AH2" s="216"/>
      <c r="AI2" s="18"/>
      <c r="AJ2" s="210" t="s">
        <v>6</v>
      </c>
      <c r="AK2" s="210"/>
      <c r="AL2" s="210"/>
      <c r="AM2" s="210"/>
      <c r="AN2" s="210"/>
      <c r="AO2" s="210"/>
      <c r="AP2" s="210"/>
      <c r="AQ2" s="210"/>
    </row>
    <row r="3" spans="1:68" s="20" customFormat="1" ht="39.950000000000003" customHeight="1" x14ac:dyDescent="0.25">
      <c r="B3" s="211" t="s">
        <v>7</v>
      </c>
      <c r="C3" s="212" t="s">
        <v>8</v>
      </c>
      <c r="D3" s="213" t="s">
        <v>9</v>
      </c>
      <c r="E3" s="213" t="s">
        <v>10</v>
      </c>
      <c r="F3" s="213" t="s">
        <v>11</v>
      </c>
      <c r="G3" s="213" t="s">
        <v>12</v>
      </c>
      <c r="H3" s="214" t="s">
        <v>13</v>
      </c>
      <c r="I3" s="25" t="s">
        <v>14</v>
      </c>
      <c r="J3" s="26"/>
      <c r="K3" s="27"/>
      <c r="L3" s="27"/>
      <c r="M3" s="27"/>
      <c r="N3" s="27"/>
      <c r="O3" s="27"/>
      <c r="P3" s="27"/>
      <c r="Q3" s="27"/>
      <c r="R3" s="27"/>
      <c r="S3" s="28" t="s">
        <v>15</v>
      </c>
      <c r="T3" s="29">
        <v>2</v>
      </c>
      <c r="U3" s="29">
        <v>3</v>
      </c>
      <c r="V3" s="29">
        <v>4</v>
      </c>
      <c r="W3" s="29">
        <v>5</v>
      </c>
      <c r="X3" s="29">
        <v>6</v>
      </c>
      <c r="Y3" s="29">
        <v>7</v>
      </c>
      <c r="Z3" s="29">
        <v>8</v>
      </c>
      <c r="AA3" s="29">
        <v>9</v>
      </c>
      <c r="AB3" s="29">
        <v>10</v>
      </c>
      <c r="AC3" s="29">
        <v>11</v>
      </c>
      <c r="AD3" s="29">
        <v>12</v>
      </c>
      <c r="AE3" s="29">
        <v>13</v>
      </c>
      <c r="AF3" s="29">
        <v>14</v>
      </c>
      <c r="AG3" s="29">
        <v>15</v>
      </c>
      <c r="AH3" s="29">
        <v>16</v>
      </c>
      <c r="AI3" s="29">
        <v>17</v>
      </c>
      <c r="AJ3" s="29">
        <v>18</v>
      </c>
      <c r="AK3" s="29">
        <v>19</v>
      </c>
      <c r="AL3" s="29">
        <v>20</v>
      </c>
      <c r="AM3" s="29">
        <v>21</v>
      </c>
      <c r="AN3" s="29">
        <v>22</v>
      </c>
      <c r="AO3" s="29">
        <v>23</v>
      </c>
      <c r="AP3" s="29">
        <v>24</v>
      </c>
      <c r="AQ3" s="29">
        <v>25</v>
      </c>
      <c r="AR3" s="29">
        <v>26</v>
      </c>
      <c r="AS3" s="29">
        <v>27</v>
      </c>
      <c r="AT3" s="29">
        <v>28</v>
      </c>
      <c r="AU3" s="29">
        <v>29</v>
      </c>
      <c r="AV3" s="29">
        <v>30</v>
      </c>
      <c r="AW3" s="28" t="s">
        <v>16</v>
      </c>
    </row>
    <row r="4" spans="1:68" ht="15.75" customHeight="1" x14ac:dyDescent="0.25">
      <c r="B4" s="211"/>
      <c r="C4" s="212"/>
      <c r="D4" s="213"/>
      <c r="E4" s="213"/>
      <c r="F4" s="213"/>
      <c r="G4" s="213"/>
      <c r="H4" s="214"/>
      <c r="I4" s="30">
        <v>22</v>
      </c>
      <c r="J4" s="30">
        <v>23</v>
      </c>
      <c r="K4" s="30">
        <v>24</v>
      </c>
      <c r="L4" s="30">
        <v>25</v>
      </c>
      <c r="M4" s="30">
        <v>26</v>
      </c>
      <c r="N4" s="30">
        <v>27</v>
      </c>
      <c r="O4" s="30">
        <v>28</v>
      </c>
      <c r="P4" s="30">
        <v>29</v>
      </c>
      <c r="Q4" s="30">
        <v>30</v>
      </c>
      <c r="R4" s="30">
        <v>31</v>
      </c>
      <c r="S4" s="30">
        <v>32</v>
      </c>
      <c r="T4" s="30">
        <v>33</v>
      </c>
      <c r="U4" s="30">
        <v>34</v>
      </c>
      <c r="V4" s="30">
        <v>35</v>
      </c>
      <c r="W4" s="30">
        <v>36</v>
      </c>
      <c r="X4" s="30">
        <v>37</v>
      </c>
      <c r="Y4" s="30">
        <v>38</v>
      </c>
      <c r="Z4" s="30">
        <v>39</v>
      </c>
      <c r="AA4" s="30">
        <v>40</v>
      </c>
      <c r="AB4" s="30">
        <v>41</v>
      </c>
      <c r="AC4" s="30">
        <v>42</v>
      </c>
      <c r="AD4" s="30">
        <v>43</v>
      </c>
      <c r="AE4" s="30">
        <v>44</v>
      </c>
      <c r="AF4" s="30">
        <v>45</v>
      </c>
      <c r="AG4" s="30">
        <v>46</v>
      </c>
      <c r="AH4" s="30">
        <v>47</v>
      </c>
      <c r="AI4" s="30">
        <v>48</v>
      </c>
      <c r="AJ4" s="30">
        <v>49</v>
      </c>
      <c r="AK4" s="30">
        <v>50</v>
      </c>
      <c r="AL4" s="30">
        <v>51</v>
      </c>
      <c r="AM4" s="30">
        <v>52</v>
      </c>
      <c r="AN4" s="30">
        <v>53</v>
      </c>
      <c r="AO4" s="30">
        <v>54</v>
      </c>
      <c r="AP4" s="30">
        <v>55</v>
      </c>
      <c r="AQ4" s="30">
        <v>56</v>
      </c>
      <c r="AR4" s="30">
        <v>57</v>
      </c>
      <c r="AS4" s="30">
        <v>58</v>
      </c>
      <c r="AT4" s="30">
        <v>59</v>
      </c>
      <c r="AU4" s="30">
        <v>60</v>
      </c>
      <c r="AV4" s="30">
        <v>61</v>
      </c>
      <c r="AW4" s="30">
        <v>62</v>
      </c>
      <c r="AX4" s="30">
        <v>63</v>
      </c>
      <c r="AY4" s="30">
        <v>64</v>
      </c>
      <c r="AZ4" s="30">
        <v>65</v>
      </c>
      <c r="BA4" s="30">
        <v>66</v>
      </c>
      <c r="BB4" s="30">
        <v>67</v>
      </c>
      <c r="BC4" s="30">
        <v>68</v>
      </c>
      <c r="BD4" s="30">
        <v>69</v>
      </c>
      <c r="BE4" s="30">
        <v>70</v>
      </c>
      <c r="BF4" s="30">
        <v>71</v>
      </c>
      <c r="BG4" s="30">
        <v>72</v>
      </c>
      <c r="BH4" s="30">
        <v>73</v>
      </c>
      <c r="BI4" s="30">
        <v>74</v>
      </c>
      <c r="BJ4" s="30">
        <v>75</v>
      </c>
      <c r="BK4" s="30">
        <v>76</v>
      </c>
      <c r="BL4" s="30">
        <v>77</v>
      </c>
      <c r="BM4" s="30">
        <v>78</v>
      </c>
      <c r="BN4" s="30">
        <v>79</v>
      </c>
      <c r="BO4" s="30">
        <v>80</v>
      </c>
      <c r="BP4" s="30">
        <v>81</v>
      </c>
    </row>
    <row r="5" spans="1:68" s="31" customFormat="1" x14ac:dyDescent="0.3">
      <c r="B5" s="46" t="str">
        <f>IF(SUMPRODUCT(--(NOT(ISERR(SEARCH({"T","P"},'CDR Project Planner'!$C5))))),'CDR Project Planner'!B5,"")</f>
        <v>PDR</v>
      </c>
      <c r="C5" s="55" t="str">
        <f>IF(SUMPRODUCT(--(NOT(ISERR(SEARCH({"T","P"},'CDR Project Planner'!$C5))))),'CDR Project Planner'!C5,"")</f>
        <v>T</v>
      </c>
      <c r="D5" s="55">
        <f>IF(SUMPRODUCT(--(NOT(ISERR(SEARCH({"T","P"},'CDR Project Planner'!$C5))))),'CDR Project Planner'!D5,"")</f>
        <v>22</v>
      </c>
      <c r="E5" s="55">
        <f>IF(SUMPRODUCT(--(NOT(ISERR(SEARCH({"T","P"},'CDR Project Planner'!$C5))))),'CDR Project Planner'!E5,"")</f>
        <v>1</v>
      </c>
      <c r="F5" s="55">
        <f>IF(SUMPRODUCT(--(NOT(ISERR(SEARCH({"T","P"},'CDR Project Planner'!$C5))))),'CDR Project Planner'!F5,"")</f>
        <v>22</v>
      </c>
      <c r="G5" s="55">
        <f>IF(SUMPRODUCT(--(NOT(ISERR(SEARCH({"T","P"},'CDR Project Planner'!$C5))))),'CDR Project Planner'!G5,"")</f>
        <v>1</v>
      </c>
      <c r="H5" s="48">
        <f>IF(SUMPRODUCT(--(NOT(ISERR(SEARCH({"T","P"},'CDR Project Planner'!$C5))))),'CDR Project Planner'!H5,"")</f>
        <v>1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68" x14ac:dyDescent="0.3">
      <c r="B6" s="50" t="str">
        <f>IF(SUMPRODUCT(--(NOT(ISERR(SEARCH({"T","P"},'CDR Project Planner'!$C6))))),'CDR Project Planner'!B6,"")</f>
        <v>System</v>
      </c>
      <c r="C6" s="43" t="str">
        <f>IF(SUMPRODUCT(--(NOT(ISERR(SEARCH({"T","P"},'CDR Project Planner'!$C6))))),'CDR Project Planner'!C6,"")</f>
        <v>P &amp; Br &amp; C &amp; Ba</v>
      </c>
      <c r="D6" s="43"/>
      <c r="E6" s="43"/>
      <c r="F6" s="43"/>
      <c r="G6" s="43"/>
      <c r="H6" s="56"/>
    </row>
    <row r="7" spans="1:68" s="4" customFormat="1" ht="15" outlineLevel="1" x14ac:dyDescent="0.25">
      <c r="A7" s="1"/>
      <c r="B7" s="51" t="str">
        <f>IF(SUMPRODUCT(--(NOT(ISERR(SEARCH({"T","P"},'CDR Project Planner'!$C7))))),'CDR Project Planner'!B7,"")</f>
        <v>Unit Tests - VHDL - PWM (Duty Cycle)</v>
      </c>
      <c r="C7" s="43" t="str">
        <f>IF(SUMPRODUCT(--(NOT(ISERR(SEARCH({"T","P"},'CDR Project Planner'!$C7))))),'CDR Project Planner'!C7,"")</f>
        <v>P &amp; Br</v>
      </c>
      <c r="D7" s="43">
        <f>IF(SUMPRODUCT(--(NOT(ISERR(SEARCH({"T","P"},'CDR Project Planner'!$C7))))),'CDR Project Planner'!D7,"")</f>
        <v>23</v>
      </c>
      <c r="E7" s="43">
        <f>IF(SUMPRODUCT(--(NOT(ISERR(SEARCH({"T","P"},'CDR Project Planner'!$C7))))),'CDR Project Planner'!E7,"")</f>
        <v>1</v>
      </c>
      <c r="F7" s="43">
        <f>IF(SUMPRODUCT(--(NOT(ISERR(SEARCH({"T","P"},'CDR Project Planner'!$C7))))),'CDR Project Planner'!F7,"")</f>
        <v>0</v>
      </c>
      <c r="G7" s="43">
        <f>IF(SUMPRODUCT(--(NOT(ISERR(SEARCH({"T","P"},'CDR Project Planner'!$C7))))),'CDR Project Planner'!G7,"")</f>
        <v>0</v>
      </c>
      <c r="H7" s="56">
        <f>IF(SUMPRODUCT(--(NOT(ISERR(SEARCH({"T","P"},'CDR Project Planner'!$C7))))),'CDR Project Planner'!H7*100,"")</f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ht="15" outlineLevel="1" x14ac:dyDescent="0.25">
      <c r="A8" s="1"/>
      <c r="B8" s="51" t="str">
        <f>IF(SUMPRODUCT(--(NOT(ISERR(SEARCH({"T","P"},'CDR Project Planner'!$C8))))),'CDR Project Planner'!B8,"")</f>
        <v/>
      </c>
      <c r="C8" s="43" t="str">
        <f>IF(SUMPRODUCT(--(NOT(ISERR(SEARCH({"T","P"},'CDR Project Planner'!$C8))))),'CDR Project Planner'!C8,"")</f>
        <v/>
      </c>
      <c r="D8" s="43" t="str">
        <f>IF(SUMPRODUCT(--(NOT(ISERR(SEARCH({"T","P"},'CDR Project Planner'!$C8))))),'CDR Project Planner'!D8,"")</f>
        <v/>
      </c>
      <c r="E8" s="43" t="str">
        <f>IF(SUMPRODUCT(--(NOT(ISERR(SEARCH({"T","P"},'CDR Project Planner'!$C8))))),'CDR Project Planner'!E8,"")</f>
        <v/>
      </c>
      <c r="F8" s="43" t="str">
        <f>IF(SUMPRODUCT(--(NOT(ISERR(SEARCH({"T","P"},'CDR Project Planner'!$C8))))),'CDR Project Planner'!F8,"")</f>
        <v/>
      </c>
      <c r="G8" s="43" t="str">
        <f>IF(SUMPRODUCT(--(NOT(ISERR(SEARCH({"T","P"},'CDR Project Planner'!$C8))))),'CDR Project Planner'!G8,"")</f>
        <v/>
      </c>
      <c r="H8" s="56" t="str">
        <f>IF(SUMPRODUCT(--(NOT(ISERR(SEARCH({"T","P"},'CDR Project Planner'!$C8))))),'CDR Project Planner'!H8*100,"")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ht="15" outlineLevel="1" x14ac:dyDescent="0.25">
      <c r="A9" s="1"/>
      <c r="B9" s="51" t="str">
        <f>IF(SUMPRODUCT(--(NOT(ISERR(SEARCH({"T","P"},'CDR Project Planner'!$C9))))),'CDR Project Planner'!B9,"")</f>
        <v>Unit Tests - VHDL &amp; C - Ultrasonic Interrupts</v>
      </c>
      <c r="C9" s="43" t="str">
        <f>IF(SUMPRODUCT(--(NOT(ISERR(SEARCH({"T","P"},'CDR Project Planner'!$C9))))),'CDR Project Planner'!C9,"")</f>
        <v>P &amp; Br</v>
      </c>
      <c r="D9" s="43">
        <f>IF(SUMPRODUCT(--(NOT(ISERR(SEARCH({"T","P"},'CDR Project Planner'!$C9))))),'CDR Project Planner'!D9,"")</f>
        <v>23</v>
      </c>
      <c r="E9" s="43">
        <f>IF(SUMPRODUCT(--(NOT(ISERR(SEARCH({"T","P"},'CDR Project Planner'!$C9))))),'CDR Project Planner'!E9,"")</f>
        <v>2</v>
      </c>
      <c r="F9" s="43">
        <f>IF(SUMPRODUCT(--(NOT(ISERR(SEARCH({"T","P"},'CDR Project Planner'!$C9))))),'CDR Project Planner'!F9,"")</f>
        <v>0</v>
      </c>
      <c r="G9" s="43">
        <f>IF(SUMPRODUCT(--(NOT(ISERR(SEARCH({"T","P"},'CDR Project Planner'!$C9))))),'CDR Project Planner'!G9,"")</f>
        <v>0</v>
      </c>
      <c r="H9" s="56">
        <f>IF(SUMPRODUCT(--(NOT(ISERR(SEARCH({"T","P"},'CDR Project Planner'!$C9))))),'CDR Project Planner'!H9*100,"")</f>
        <v>0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ht="15" x14ac:dyDescent="0.25">
      <c r="A10" s="1"/>
      <c r="B10" s="42" t="str">
        <f>IF(SUMPRODUCT(--(NOT(ISERR(SEARCH({"T","P"},'CDR Project Planner'!$C10))))),'CDR Project Planner'!B10,"")</f>
        <v/>
      </c>
      <c r="C10" s="43" t="str">
        <f>IF(SUMPRODUCT(--(NOT(ISERR(SEARCH({"T","P"},'CDR Project Planner'!$C10))))),'CDR Project Planner'!C10,"")</f>
        <v/>
      </c>
      <c r="D10" s="43" t="str">
        <f>IF(SUMPRODUCT(--(NOT(ISERR(SEARCH({"T","P"},'CDR Project Planner'!$C10))))),'CDR Project Planner'!D10,"")</f>
        <v/>
      </c>
      <c r="E10" s="43" t="str">
        <f>IF(SUMPRODUCT(--(NOT(ISERR(SEARCH({"T","P"},'CDR Project Planner'!$C10))))),'CDR Project Planner'!E10,"")</f>
        <v/>
      </c>
      <c r="F10" s="43" t="str">
        <f>IF(SUMPRODUCT(--(NOT(ISERR(SEARCH({"T","P"},'CDR Project Planner'!$C10))))),'CDR Project Planner'!F10,"")</f>
        <v/>
      </c>
      <c r="G10" s="43" t="str">
        <f>IF(SUMPRODUCT(--(NOT(ISERR(SEARCH({"T","P"},'CDR Project Planner'!$C10))))),'CDR Project Planner'!G10,"")</f>
        <v/>
      </c>
      <c r="H10" s="56" t="str">
        <f>IF(SUMPRODUCT(--(NOT(ISERR(SEARCH({"T","P"},'CDR Project Planner'!$C10))))),'CDR Project Planner'!H10*100,"")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ht="15" x14ac:dyDescent="0.25">
      <c r="A11" s="1"/>
      <c r="B11" s="42" t="str">
        <f>IF(SUMPRODUCT(--(NOT(ISERR(SEARCH({"T","P"},'CDR Project Planner'!#REF!))))),'CDR Project Planner'!#REF!,"")</f>
        <v/>
      </c>
      <c r="C11" s="43" t="str">
        <f>IF(SUMPRODUCT(--(NOT(ISERR(SEARCH({"T","P"},'CDR Project Planner'!#REF!))))),'CDR Project Planner'!#REF!,"")</f>
        <v/>
      </c>
      <c r="D11" s="43" t="str">
        <f>IF(SUMPRODUCT(--(NOT(ISERR(SEARCH({"T","P"},'CDR Project Planner'!#REF!))))),'CDR Project Planner'!#REF!,"")</f>
        <v/>
      </c>
      <c r="E11" s="43" t="str">
        <f>IF(SUMPRODUCT(--(NOT(ISERR(SEARCH({"T","P"},'CDR Project Planner'!#REF!))))),'CDR Project Planner'!#REF!,"")</f>
        <v/>
      </c>
      <c r="F11" s="43" t="str">
        <f>IF(SUMPRODUCT(--(NOT(ISERR(SEARCH({"T","P"},'CDR Project Planner'!#REF!))))),'CDR Project Planner'!#REF!,"")</f>
        <v/>
      </c>
      <c r="G11" s="43" t="str">
        <f>IF(SUMPRODUCT(--(NOT(ISERR(SEARCH({"T","P"},'CDR Project Planner'!#REF!))))),'CDR Project Planner'!#REF!,"")</f>
        <v/>
      </c>
      <c r="H11" s="56" t="str">
        <f>IF(SUMPRODUCT(--(NOT(ISERR(SEARCH({"T","P"},'CDR Project Planner'!#REF!))))),'CDR Project Planner'!#REF!*100,"")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ht="15" x14ac:dyDescent="0.25">
      <c r="A12" s="1"/>
      <c r="B12" s="42" t="str">
        <f>IF(SUMPRODUCT(--(NOT(ISERR(SEARCH({"T","P"},'CDR Project Planner'!$C11))))),'CDR Project Planner'!B11,"")</f>
        <v/>
      </c>
      <c r="C12" s="43" t="str">
        <f>IF(SUMPRODUCT(--(NOT(ISERR(SEARCH({"T","P"},'CDR Project Planner'!$C11))))),'CDR Project Planner'!C11,"")</f>
        <v/>
      </c>
      <c r="D12" s="43" t="str">
        <f>IF(SUMPRODUCT(--(NOT(ISERR(SEARCH({"T","P"},'CDR Project Planner'!$C11))))),'CDR Project Planner'!D11,"")</f>
        <v/>
      </c>
      <c r="E12" s="43" t="str">
        <f>IF(SUMPRODUCT(--(NOT(ISERR(SEARCH({"T","P"},'CDR Project Planner'!$C11))))),'CDR Project Planner'!E11,"")</f>
        <v/>
      </c>
      <c r="F12" s="43" t="str">
        <f>IF(SUMPRODUCT(--(NOT(ISERR(SEARCH({"T","P"},'CDR Project Planner'!$C11))))),'CDR Project Planner'!F11,"")</f>
        <v/>
      </c>
      <c r="G12" s="43" t="str">
        <f>IF(SUMPRODUCT(--(NOT(ISERR(SEARCH({"T","P"},'CDR Project Planner'!$C11))))),'CDR Project Planner'!G11,"")</f>
        <v/>
      </c>
      <c r="H12" s="56" t="str">
        <f>IF(SUMPRODUCT(--(NOT(ISERR(SEARCH({"T","P"},'CDR Project Planner'!$C11))))),'CDR Project Planner'!H11*100,"")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ht="15" x14ac:dyDescent="0.25">
      <c r="A13" s="1"/>
      <c r="B13" s="42" t="str">
        <f>IF(SUMPRODUCT(--(NOT(ISERR(SEARCH({"T","P"},'CDR Project Planner'!$C14))))),'CDR Project Planner'!B14,"")</f>
        <v/>
      </c>
      <c r="C13" s="43" t="str">
        <f>IF(SUMPRODUCT(--(NOT(ISERR(SEARCH({"T","P"},'CDR Project Planner'!$C14))))),'CDR Project Planner'!C14,"")</f>
        <v/>
      </c>
      <c r="D13" s="43" t="str">
        <f>IF(SUMPRODUCT(--(NOT(ISERR(SEARCH({"T","P"},'CDR Project Planner'!$C14))))),'CDR Project Planner'!D14,"")</f>
        <v/>
      </c>
      <c r="E13" s="43" t="str">
        <f>IF(SUMPRODUCT(--(NOT(ISERR(SEARCH({"T","P"},'CDR Project Planner'!$C14))))),'CDR Project Planner'!E14,"")</f>
        <v/>
      </c>
      <c r="F13" s="43" t="str">
        <f>IF(SUMPRODUCT(--(NOT(ISERR(SEARCH({"T","P"},'CDR Project Planner'!$C14))))),'CDR Project Planner'!F14,"")</f>
        <v/>
      </c>
      <c r="G13" s="43" t="str">
        <f>IF(SUMPRODUCT(--(NOT(ISERR(SEARCH({"T","P"},'CDR Project Planner'!$C14))))),'CDR Project Planner'!G14,"")</f>
        <v/>
      </c>
      <c r="H13" s="56" t="str">
        <f>IF(SUMPRODUCT(--(NOT(ISERR(SEARCH({"T","P"},'CDR Project Planner'!$C14))))),'CDR Project Planner'!H14*100,"")</f>
        <v/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51" t="str">
        <f>IF(SUMPRODUCT(--(NOT(ISERR(SEARCH({"T","P"},'CDR Project Planner'!$C15))))),'CDR Project Planner'!B15,"")</f>
        <v>Calibration - VHDL side</v>
      </c>
      <c r="C14" s="43" t="str">
        <f>IF(SUMPRODUCT(--(NOT(ISERR(SEARCH({"T","P"},'CDR Project Planner'!$C15))))),'CDR Project Planner'!C15,"")</f>
        <v>P &amp; Br</v>
      </c>
      <c r="D14" s="43">
        <f>IF(SUMPRODUCT(--(NOT(ISERR(SEARCH({"T","P"},'CDR Project Planner'!$C15))))),'CDR Project Planner'!D15,"")</f>
        <v>25</v>
      </c>
      <c r="E14" s="43">
        <f>IF(SUMPRODUCT(--(NOT(ISERR(SEARCH({"T","P"},'CDR Project Planner'!$C15))))),'CDR Project Planner'!E15,"")</f>
        <v>10</v>
      </c>
      <c r="F14" s="43">
        <f>IF(SUMPRODUCT(--(NOT(ISERR(SEARCH({"T","P"},'CDR Project Planner'!$C15))))),'CDR Project Planner'!F15,"")</f>
        <v>0</v>
      </c>
      <c r="G14" s="43">
        <f>IF(SUMPRODUCT(--(NOT(ISERR(SEARCH({"T","P"},'CDR Project Planner'!$C15))))),'CDR Project Planner'!G15,"")</f>
        <v>0</v>
      </c>
      <c r="H14" s="56">
        <f>IF(SUMPRODUCT(--(NOT(ISERR(SEARCH({"T","P"},'CDR Project Planner'!$C15))))),'CDR Project Planner'!H15,"")</f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42" t="str">
        <f>IF(SUMPRODUCT(--(NOT(ISERR(SEARCH({"T","P"},'CDR Project Planner'!$C16))))),'CDR Project Planner'!B16,"")</f>
        <v xml:space="preserve">   Calibration - Ultrasonic sensors</v>
      </c>
      <c r="C15" s="43" t="str">
        <f>IF(SUMPRODUCT(--(NOT(ISERR(SEARCH({"T","P"},'CDR Project Planner'!$C16))))),'CDR Project Planner'!C16,"")</f>
        <v>Ba &amp; Br &amp; P</v>
      </c>
      <c r="D15" s="43">
        <f>IF(SUMPRODUCT(--(NOT(ISERR(SEARCH({"T","P"},'CDR Project Planner'!$C16))))),'CDR Project Planner'!D16,"")</f>
        <v>31</v>
      </c>
      <c r="E15" s="43">
        <f>IF(SUMPRODUCT(--(NOT(ISERR(SEARCH({"T","P"},'CDR Project Planner'!$C16))))),'CDR Project Planner'!E16,"")</f>
        <v>7</v>
      </c>
      <c r="F15" s="43">
        <f>IF(SUMPRODUCT(--(NOT(ISERR(SEARCH({"T","P"},'CDR Project Planner'!$C16))))),'CDR Project Planner'!F16,"")</f>
        <v>0</v>
      </c>
      <c r="G15" s="43">
        <f>IF(SUMPRODUCT(--(NOT(ISERR(SEARCH({"T","P"},'CDR Project Planner'!$C16))))),'CDR Project Planner'!G16,"")</f>
        <v>0</v>
      </c>
      <c r="H15" s="56">
        <f>IF(SUMPRODUCT(--(NOT(ISERR(SEARCH({"T","P"},'CDR Project Planner'!$C16))))),'CDR Project Planner'!H16,"")</f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outlineLevel="1" x14ac:dyDescent="0.3">
      <c r="A16" s="1"/>
      <c r="B16" s="50" t="str">
        <f>IF(SUMPRODUCT(--(NOT(ISERR(SEARCH({"T","P"},'CDR Project Planner'!$C17))))),'CDR Project Planner'!B17,"")</f>
        <v>VHDL</v>
      </c>
      <c r="C16" s="43" t="str">
        <f>IF(SUMPRODUCT(--(NOT(ISERR(SEARCH({"T","P"},'CDR Project Planner'!$C17))))),'CDR Project Planner'!C17,"")</f>
        <v>P &amp; Br</v>
      </c>
      <c r="D16" s="43"/>
      <c r="E16" s="43"/>
      <c r="F16" s="43"/>
      <c r="G16" s="43"/>
      <c r="H16" s="56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51" t="str">
        <f>IF(SUMPRODUCT(--(NOT(ISERR(SEARCH({"T","P"},'CDR Project Planner'!$C18))))),'CDR Project Planner'!B18,"")</f>
        <v>Create PWM AXI on Vivado</v>
      </c>
      <c r="C17" s="43" t="str">
        <f>IF(SUMPRODUCT(--(NOT(ISERR(SEARCH({"T","P"},'CDR Project Planner'!$C18))))),'CDR Project Planner'!C18,"")</f>
        <v>P</v>
      </c>
      <c r="D17" s="43">
        <f>IF(SUMPRODUCT(--(NOT(ISERR(SEARCH({"T","P"},'CDR Project Planner'!$C18))))),'CDR Project Planner'!D18,"")</f>
        <v>25</v>
      </c>
      <c r="E17" s="43">
        <f>IF(SUMPRODUCT(--(NOT(ISERR(SEARCH({"T","P"},'CDR Project Planner'!$C18))))),'CDR Project Planner'!E18,"")</f>
        <v>7</v>
      </c>
      <c r="F17" s="43">
        <f>IF(SUMPRODUCT(--(NOT(ISERR(SEARCH({"T","P"},'CDR Project Planner'!$C18))))),'CDR Project Planner'!F18,"")</f>
        <v>0</v>
      </c>
      <c r="G17" s="43">
        <f>IF(SUMPRODUCT(--(NOT(ISERR(SEARCH({"T","P"},'CDR Project Planner'!$C18))))),'CDR Project Planner'!G18,"")</f>
        <v>0</v>
      </c>
      <c r="H17" s="56">
        <f>IF(SUMPRODUCT(--(NOT(ISERR(SEARCH({"T","P"},'CDR Project Planner'!$C18))))),'CDR Project Planner'!H18,"")</f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51" t="str">
        <f>IF(SUMPRODUCT(--(NOT(ISERR(SEARCH({"T","P"},'CDR Project Planner'!$C19))))),'CDR Project Planner'!B19,"")</f>
        <v>Create Ultrasonic sensor AXI on Vivado</v>
      </c>
      <c r="C18" s="43" t="str">
        <f>IF(SUMPRODUCT(--(NOT(ISERR(SEARCH({"T","P"},'CDR Project Planner'!$C19))))),'CDR Project Planner'!C19,"")</f>
        <v>P</v>
      </c>
      <c r="D18" s="43">
        <f>IF(SUMPRODUCT(--(NOT(ISERR(SEARCH({"T","P"},'CDR Project Planner'!$C19))))),'CDR Project Planner'!D19,"")</f>
        <v>25</v>
      </c>
      <c r="E18" s="43">
        <f>IF(SUMPRODUCT(--(NOT(ISERR(SEARCH({"T","P"},'CDR Project Planner'!$C19))))),'CDR Project Planner'!E19,"")</f>
        <v>7</v>
      </c>
      <c r="F18" s="43">
        <f>IF(SUMPRODUCT(--(NOT(ISERR(SEARCH({"T","P"},'CDR Project Planner'!$C19))))),'CDR Project Planner'!F19,"")</f>
        <v>0</v>
      </c>
      <c r="G18" s="43">
        <f>IF(SUMPRODUCT(--(NOT(ISERR(SEARCH({"T","P"},'CDR Project Planner'!$C19))))),'CDR Project Planner'!G19,"")</f>
        <v>0</v>
      </c>
      <c r="H18" s="56">
        <f>IF(SUMPRODUCT(--(NOT(ISERR(SEARCH({"T","P"},'CDR Project Planner'!$C19))))),'CDR Project Planner'!H19,"")</f>
        <v>0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51" t="str">
        <f>IF(SUMPRODUCT(--(NOT(ISERR(SEARCH({"T","P"},'CDR Project Planner'!#REF!))))),'CDR Project Planner'!#REF!,"")</f>
        <v/>
      </c>
      <c r="C19" s="43" t="str">
        <f>IF(SUMPRODUCT(--(NOT(ISERR(SEARCH({"T","P"},'CDR Project Planner'!#REF!))))),'CDR Project Planner'!#REF!,"")</f>
        <v/>
      </c>
      <c r="D19" s="43" t="str">
        <f>IF(SUMPRODUCT(--(NOT(ISERR(SEARCH({"T","P"},'CDR Project Planner'!#REF!))))),'CDR Project Planner'!#REF!,"")</f>
        <v/>
      </c>
      <c r="E19" s="43" t="str">
        <f>IF(SUMPRODUCT(--(NOT(ISERR(SEARCH({"T","P"},'CDR Project Planner'!#REF!))))),'CDR Project Planner'!#REF!,"")</f>
        <v/>
      </c>
      <c r="F19" s="43" t="str">
        <f>IF(SUMPRODUCT(--(NOT(ISERR(SEARCH({"T","P"},'CDR Project Planner'!#REF!))))),'CDR Project Planner'!#REF!,"")</f>
        <v/>
      </c>
      <c r="G19" s="43" t="str">
        <f>IF(SUMPRODUCT(--(NOT(ISERR(SEARCH({"T","P"},'CDR Project Planner'!#REF!))))),'CDR Project Planner'!#REF!,"")</f>
        <v/>
      </c>
      <c r="H19" s="56" t="str">
        <f>IF(SUMPRODUCT(--(NOT(ISERR(SEARCH({"T","P"},'CDR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51" t="str">
        <f>IF(SUMPRODUCT(--(NOT(ISERR(SEARCH({"T","P"},'CDR Project Planner'!#REF!))))),'CDR Project Planner'!#REF!,"")</f>
        <v/>
      </c>
      <c r="C20" s="43" t="str">
        <f>IF(SUMPRODUCT(--(NOT(ISERR(SEARCH({"T","P"},'CDR Project Planner'!#REF!))))),'CDR Project Planner'!#REF!,"")</f>
        <v/>
      </c>
      <c r="D20" s="43" t="str">
        <f>IF(SUMPRODUCT(--(NOT(ISERR(SEARCH({"T","P"},'CDR Project Planner'!#REF!))))),'CDR Project Planner'!#REF!,"")</f>
        <v/>
      </c>
      <c r="E20" s="43" t="str">
        <f>IF(SUMPRODUCT(--(NOT(ISERR(SEARCH({"T","P"},'CDR Project Planner'!#REF!))))),'CDR Project Planner'!#REF!,"")</f>
        <v/>
      </c>
      <c r="F20" s="43" t="str">
        <f>IF(SUMPRODUCT(--(NOT(ISERR(SEARCH({"T","P"},'CDR Project Planner'!#REF!))))),'CDR Project Planner'!#REF!,"")</f>
        <v/>
      </c>
      <c r="G20" s="43" t="str">
        <f>IF(SUMPRODUCT(--(NOT(ISERR(SEARCH({"T","P"},'CDR Project Planner'!#REF!))))),'CDR Project Planner'!#REF!,"")</f>
        <v/>
      </c>
      <c r="H20" s="56" t="str">
        <f>IF(SUMPRODUCT(--(NOT(ISERR(SEARCH({"T","P"},'CDR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ht="15" x14ac:dyDescent="0.25">
      <c r="A21" s="1"/>
      <c r="B21" s="42" t="str">
        <f>IF(SUMPRODUCT(--(NOT(ISERR(SEARCH({"T","P"},'CDR Project Planner'!$C21))))),'CDR Project Planner'!B21,"")</f>
        <v/>
      </c>
      <c r="C21" s="43" t="str">
        <f>IF(SUMPRODUCT(--(NOT(ISERR(SEARCH({"T","P"},'CDR Project Planner'!$C21))))),'CDR Project Planner'!C21,"")</f>
        <v/>
      </c>
      <c r="D21" s="43" t="str">
        <f>IF(SUMPRODUCT(--(NOT(ISERR(SEARCH({"T","P"},'CDR Project Planner'!$C21))))),'CDR Project Planner'!D21,"")</f>
        <v/>
      </c>
      <c r="E21" s="43" t="str">
        <f>IF(SUMPRODUCT(--(NOT(ISERR(SEARCH({"T","P"},'CDR Project Planner'!$C21))))),'CDR Project Planner'!E21,"")</f>
        <v/>
      </c>
      <c r="F21" s="43" t="str">
        <f>IF(SUMPRODUCT(--(NOT(ISERR(SEARCH({"T","P"},'CDR Project Planner'!$C21))))),'CDR Project Planner'!F21,"")</f>
        <v/>
      </c>
      <c r="G21" s="43" t="str">
        <f>IF(SUMPRODUCT(--(NOT(ISERR(SEARCH({"T","P"},'CDR Project Planner'!$C21))))),'CDR Project Planner'!G21,"")</f>
        <v/>
      </c>
      <c r="H21" s="56" t="str">
        <f>IF(SUMPRODUCT(--(NOT(ISERR(SEARCH({"T","P"},'CDR Project Planner'!$C21))))),'CDR Project Planner'!H21,"")</f>
        <v/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ht="15" x14ac:dyDescent="0.25">
      <c r="A22" s="1"/>
      <c r="B22" s="42" t="str">
        <f>IF(SUMPRODUCT(--(NOT(ISERR(SEARCH({"T","P"},'CDR Project Planner'!$C22))))),'CDR Project Planner'!B22,"")</f>
        <v/>
      </c>
      <c r="C22" s="43" t="str">
        <f>IF(SUMPRODUCT(--(NOT(ISERR(SEARCH({"T","P"},'CDR Project Planner'!$C22))))),'CDR Project Planner'!C22,"")</f>
        <v/>
      </c>
      <c r="D22" s="43" t="str">
        <f>IF(SUMPRODUCT(--(NOT(ISERR(SEARCH({"T","P"},'CDR Project Planner'!$C22))))),'CDR Project Planner'!D22,"")</f>
        <v/>
      </c>
      <c r="E22" s="43" t="str">
        <f>IF(SUMPRODUCT(--(NOT(ISERR(SEARCH({"T","P"},'CDR Project Planner'!$C22))))),'CDR Project Planner'!E22,"")</f>
        <v/>
      </c>
      <c r="F22" s="43" t="str">
        <f>IF(SUMPRODUCT(--(NOT(ISERR(SEARCH({"T","P"},'CDR Project Planner'!$C22))))),'CDR Project Planner'!F22,"")</f>
        <v/>
      </c>
      <c r="G22" s="43" t="str">
        <f>IF(SUMPRODUCT(--(NOT(ISERR(SEARCH({"T","P"},'CDR Project Planner'!$C22))))),'CDR Project Planner'!G22,"")</f>
        <v/>
      </c>
      <c r="H22" s="56" t="str">
        <f>IF(SUMPRODUCT(--(NOT(ISERR(SEARCH({"T","P"},'CDR Project Planner'!$C22))))),'CDR Project Planner'!H22,"")</f>
        <v/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ht="15" x14ac:dyDescent="0.25">
      <c r="A23" s="1"/>
      <c r="B23" s="42" t="str">
        <f>IF(SUMPRODUCT(--(NOT(ISERR(SEARCH({"T","P"},'CDR Project Planner'!$C23))))),'CDR Project Planner'!B23,"")</f>
        <v/>
      </c>
      <c r="C23" s="43" t="str">
        <f>IF(SUMPRODUCT(--(NOT(ISERR(SEARCH({"T","P"},'CDR Project Planner'!$C23))))),'CDR Project Planner'!C23,"")</f>
        <v/>
      </c>
      <c r="D23" s="43" t="str">
        <f>IF(SUMPRODUCT(--(NOT(ISERR(SEARCH({"T","P"},'CDR Project Planner'!$C23))))),'CDR Project Planner'!D23,"")</f>
        <v/>
      </c>
      <c r="E23" s="43" t="str">
        <f>IF(SUMPRODUCT(--(NOT(ISERR(SEARCH({"T","P"},'CDR Project Planner'!$C23))))),'CDR Project Planner'!E23,"")</f>
        <v/>
      </c>
      <c r="F23" s="43" t="str">
        <f>IF(SUMPRODUCT(--(NOT(ISERR(SEARCH({"T","P"},'CDR Project Planner'!$C23))))),'CDR Project Planner'!F23,"")</f>
        <v/>
      </c>
      <c r="G23" s="43" t="str">
        <f>IF(SUMPRODUCT(--(NOT(ISERR(SEARCH({"T","P"},'CDR Project Planner'!$C23))))),'CDR Project Planner'!G23,"")</f>
        <v/>
      </c>
      <c r="H23" s="56" t="str">
        <f>IF(SUMPRODUCT(--(NOT(ISERR(SEARCH({"T","P"},'CDR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ht="15" x14ac:dyDescent="0.25">
      <c r="A24" s="1"/>
      <c r="B24" s="42" t="str">
        <f>IF(SUMPRODUCT(--(NOT(ISERR(SEARCH({"T","P"},'CDR Project Planner'!$C24))))),'CDR Project Planner'!B24,"")</f>
        <v/>
      </c>
      <c r="C24" s="43" t="str">
        <f>IF(SUMPRODUCT(--(NOT(ISERR(SEARCH({"T","P"},'CDR Project Planner'!$C24))))),'CDR Project Planner'!C24,"")</f>
        <v/>
      </c>
      <c r="D24" s="43" t="str">
        <f>IF(SUMPRODUCT(--(NOT(ISERR(SEARCH({"T","P"},'CDR Project Planner'!$C24))))),'CDR Project Planner'!D24,"")</f>
        <v/>
      </c>
      <c r="E24" s="43" t="str">
        <f>IF(SUMPRODUCT(--(NOT(ISERR(SEARCH({"T","P"},'CDR Project Planner'!$C24))))),'CDR Project Planner'!E24,"")</f>
        <v/>
      </c>
      <c r="F24" s="43" t="str">
        <f>IF(SUMPRODUCT(--(NOT(ISERR(SEARCH({"T","P"},'CDR Project Planner'!$C24))))),'CDR Project Planner'!F24,"")</f>
        <v/>
      </c>
      <c r="G24" s="43" t="str">
        <f>IF(SUMPRODUCT(--(NOT(ISERR(SEARCH({"T","P"},'CDR Project Planner'!$C24))))),'CDR Project Planner'!G24,"")</f>
        <v/>
      </c>
      <c r="H24" s="56" t="str">
        <f>IF(SUMPRODUCT(--(NOT(ISERR(SEARCH({"T","P"},'CDR Project Planner'!$C24))))),'CDR Project Planner'!H24,"")</f>
        <v/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ht="15" x14ac:dyDescent="0.25">
      <c r="A25" s="1"/>
      <c r="B25" s="42" t="str">
        <f>IF(SUMPRODUCT(--(NOT(ISERR(SEARCH({"T","P"},'CDR Project Planner'!#REF!))))),'CDR Project Planner'!#REF!,"")</f>
        <v/>
      </c>
      <c r="C25" s="43" t="str">
        <f>IF(SUMPRODUCT(--(NOT(ISERR(SEARCH({"T","P"},'CDR Project Planner'!#REF!))))),'CDR Project Planner'!#REF!,"")</f>
        <v/>
      </c>
      <c r="D25" s="43" t="str">
        <f>IF(SUMPRODUCT(--(NOT(ISERR(SEARCH({"T","P"},'CDR Project Planner'!#REF!))))),'CDR Project Planner'!#REF!,"")</f>
        <v/>
      </c>
      <c r="E25" s="43" t="str">
        <f>IF(SUMPRODUCT(--(NOT(ISERR(SEARCH({"T","P"},'CDR Project Planner'!#REF!))))),'CDR Project Planner'!#REF!,"")</f>
        <v/>
      </c>
      <c r="F25" s="43" t="str">
        <f>IF(SUMPRODUCT(--(NOT(ISERR(SEARCH({"T","P"},'CDR Project Planner'!#REF!))))),'CDR Project Planner'!#REF!,"")</f>
        <v/>
      </c>
      <c r="G25" s="43" t="str">
        <f>IF(SUMPRODUCT(--(NOT(ISERR(SEARCH({"T","P"},'CDR Project Planner'!#REF!))))),'CDR Project Planner'!#REF!,"")</f>
        <v/>
      </c>
      <c r="H25" s="56" t="str">
        <f>IF(SUMPRODUCT(--(NOT(ISERR(SEARCH({"T","P"},'CDR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ht="15" x14ac:dyDescent="0.25">
      <c r="A26" s="1"/>
      <c r="B26" s="42" t="str">
        <f>IF(SUMPRODUCT(--(NOT(ISERR(SEARCH({"T","P"},'CDR Project Planner'!$C28))))),'CDR Project Planner'!B28,"")</f>
        <v/>
      </c>
      <c r="C26" s="43" t="str">
        <f>IF(SUMPRODUCT(--(NOT(ISERR(SEARCH({"T","P"},'CDR Project Planner'!$C28))))),'CDR Project Planner'!C28,"")</f>
        <v/>
      </c>
      <c r="D26" s="43" t="str">
        <f>IF(SUMPRODUCT(--(NOT(ISERR(SEARCH({"T","P"},'CDR Project Planner'!$C28))))),'CDR Project Planner'!D28,"")</f>
        <v/>
      </c>
      <c r="E26" s="43" t="str">
        <f>IF(SUMPRODUCT(--(NOT(ISERR(SEARCH({"T","P"},'CDR Project Planner'!$C28))))),'CDR Project Planner'!E28,"")</f>
        <v/>
      </c>
      <c r="F26" s="43" t="str">
        <f>IF(SUMPRODUCT(--(NOT(ISERR(SEARCH({"T","P"},'CDR Project Planner'!$C28))))),'CDR Project Planner'!F28,"")</f>
        <v/>
      </c>
      <c r="G26" s="43" t="str">
        <f>IF(SUMPRODUCT(--(NOT(ISERR(SEARCH({"T","P"},'CDR Project Planner'!$C28))))),'CDR Project Planner'!G28,"")</f>
        <v/>
      </c>
      <c r="H26" s="56" t="str">
        <f>IF(SUMPRODUCT(--(NOT(ISERR(SEARCH({"T","P"},'CDR Project Planner'!$C28))))),'CDR Project Planner'!H28,"")</f>
        <v/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50" t="str">
        <f>IF(SUMPRODUCT(--(NOT(ISERR(SEARCH({"T","P"},'CDR Project Planner'!$C29))))),'CDR Project Planner'!B29,"")</f>
        <v/>
      </c>
      <c r="C27" s="43" t="str">
        <f>IF(SUMPRODUCT(--(NOT(ISERR(SEARCH({"T","P"},'CDR Project Planner'!$C29))))),'CDR Project Planner'!C29,"")</f>
        <v/>
      </c>
      <c r="D27" s="43"/>
      <c r="E27" s="43"/>
      <c r="F27" s="43"/>
      <c r="G27" s="43"/>
      <c r="H27" s="56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ht="15" x14ac:dyDescent="0.25">
      <c r="A28" s="1"/>
      <c r="B28" s="51" t="str">
        <f>IF(SUMPRODUCT(--(NOT(ISERR(SEARCH({"T","P"},'CDR Project Planner'!#REF!))))),'CDR Project Planner'!#REF!,"")</f>
        <v/>
      </c>
      <c r="C28" s="43" t="str">
        <f>IF(SUMPRODUCT(--(NOT(ISERR(SEARCH({"T","P"},'CDR Project Planner'!#REF!))))),'CDR Project Planner'!#REF!,"")</f>
        <v/>
      </c>
      <c r="D28" s="43" t="str">
        <f>IF(SUMPRODUCT(--(NOT(ISERR(SEARCH({"T","P"},'CDR Project Planner'!#REF!))))),'CDR Project Planner'!#REF!,"")</f>
        <v/>
      </c>
      <c r="E28" s="43" t="str">
        <f>IF(SUMPRODUCT(--(NOT(ISERR(SEARCH({"T","P"},'CDR Project Planner'!#REF!))))),'CDR Project Planner'!#REF!,"")</f>
        <v/>
      </c>
      <c r="F28" s="43" t="str">
        <f>IF(SUMPRODUCT(--(NOT(ISERR(SEARCH({"T","P"},'CDR Project Planner'!#REF!))))),'CDR Project Planner'!#REF!,"")</f>
        <v/>
      </c>
      <c r="G28" s="43" t="str">
        <f>IF(SUMPRODUCT(--(NOT(ISERR(SEARCH({"T","P"},'CDR Project Planner'!#REF!))))),'CDR Project Planner'!#REF!,"")</f>
        <v/>
      </c>
      <c r="H28" s="56" t="str">
        <f>IF(SUMPRODUCT(--(NOT(ISERR(SEARCH({"T","P"},'CDR Project Planner'!#REF!))))),'CDR Project Planner'!#REF!*100,"")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ht="15" outlineLevel="1" x14ac:dyDescent="0.25">
      <c r="A29" s="1"/>
      <c r="B29" s="51" t="str">
        <f>IF(SUMPRODUCT(--(NOT(ISERR(SEARCH({"T","P"},'CDR Project Planner'!$C30))))),'CDR Project Planner'!B30,"")</f>
        <v/>
      </c>
      <c r="C29" s="43" t="str">
        <f>IF(SUMPRODUCT(--(NOT(ISERR(SEARCH({"T","P"},'CDR Project Planner'!$C30))))),'CDR Project Planner'!C30,"")</f>
        <v/>
      </c>
      <c r="D29" s="43" t="str">
        <f>IF(SUMPRODUCT(--(NOT(ISERR(SEARCH({"T","P"},'CDR Project Planner'!$C30))))),'CDR Project Planner'!D30,"")</f>
        <v/>
      </c>
      <c r="E29" s="43" t="str">
        <f>IF(SUMPRODUCT(--(NOT(ISERR(SEARCH({"T","P"},'CDR Project Planner'!$C30))))),'CDR Project Planner'!E30,"")</f>
        <v/>
      </c>
      <c r="F29" s="43" t="str">
        <f>IF(SUMPRODUCT(--(NOT(ISERR(SEARCH({"T","P"},'CDR Project Planner'!$C30))))),'CDR Project Planner'!F30,"")</f>
        <v/>
      </c>
      <c r="G29" s="43" t="str">
        <f>IF(SUMPRODUCT(--(NOT(ISERR(SEARCH({"T","P"},'CDR Project Planner'!$C30))))),'CDR Project Planner'!G30,"")</f>
        <v/>
      </c>
      <c r="H29" s="56" t="str">
        <f>IF(SUMPRODUCT(--(NOT(ISERR(SEARCH({"T","P"},'CDR Project Planner'!$C30))))),'CDR Project Planner'!H30*100,"")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50" t="str">
        <f>IF(SUMPRODUCT(--(NOT(ISERR(SEARCH({"T","P"},'CDR Project Planner'!$C35))))),'CDR Project Planner'!B35,"")</f>
        <v>Project Management</v>
      </c>
      <c r="C30" s="43" t="str">
        <f>IF(SUMPRODUCT(--(NOT(ISERR(SEARCH({"T","P"},'CDR Project Planner'!$C35))))),'CDR Project Planner'!C35,"")</f>
        <v>An &amp; T &amp; ?</v>
      </c>
      <c r="D30" s="43"/>
      <c r="E30" s="43"/>
      <c r="F30" s="43"/>
      <c r="G30" s="43"/>
      <c r="H30" s="56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ht="15" outlineLevel="1" x14ac:dyDescent="0.25">
      <c r="A31" s="1"/>
      <c r="B31" s="42" t="str">
        <f>IF(SUMPRODUCT(--(NOT(ISERR(SEARCH({"T","P"},'CDR Project Planner'!$C36))))),'CDR Project Planner'!B36,"")</f>
        <v/>
      </c>
      <c r="C31" s="43" t="str">
        <f>IF(SUMPRODUCT(--(NOT(ISERR(SEARCH({"T","P"},'CDR Project Planner'!$C36))))),'CDR Project Planner'!C36,"")</f>
        <v/>
      </c>
      <c r="D31" s="43" t="str">
        <f>IF(SUMPRODUCT(--(NOT(ISERR(SEARCH({"T","P"},'CDR Project Planner'!$C36))))),'CDR Project Planner'!D36,"")</f>
        <v/>
      </c>
      <c r="E31" s="43" t="str">
        <f>IF(SUMPRODUCT(--(NOT(ISERR(SEARCH({"T","P"},'CDR Project Planner'!$C36))))),'CDR Project Planner'!E36,"")</f>
        <v/>
      </c>
      <c r="F31" s="43" t="str">
        <f>IF(SUMPRODUCT(--(NOT(ISERR(SEARCH({"T","P"},'CDR Project Planner'!$C36))))),'CDR Project Planner'!F36,"")</f>
        <v/>
      </c>
      <c r="G31" s="43" t="str">
        <f>IF(SUMPRODUCT(--(NOT(ISERR(SEARCH({"T","P"},'CDR Project Planner'!$C36))))),'CDR Project Planner'!G36,"")</f>
        <v/>
      </c>
      <c r="H31" s="56" t="str">
        <f>IF(SUMPRODUCT(--(NOT(ISERR(SEARCH({"T","P"},'CDR Project Planner'!$C36))))),'CDR Project Planner'!H36*100,"")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ht="15" outlineLevel="1" x14ac:dyDescent="0.25">
      <c r="A32" s="1"/>
      <c r="B32" s="42" t="str">
        <f>IF(SUMPRODUCT(--(NOT(ISERR(SEARCH({"T","P"},'CDR Project Planner'!$C37))))),'CDR Project Planner'!B37,"")</f>
        <v/>
      </c>
      <c r="C32" s="43" t="str">
        <f>IF(SUMPRODUCT(--(NOT(ISERR(SEARCH({"T","P"},'CDR Project Planner'!$C37))))),'CDR Project Planner'!C37,"")</f>
        <v/>
      </c>
      <c r="D32" s="43" t="str">
        <f>IF(SUMPRODUCT(--(NOT(ISERR(SEARCH({"T","P"},'CDR Project Planner'!$C37))))),'CDR Project Planner'!D37,"")</f>
        <v/>
      </c>
      <c r="E32" s="43" t="str">
        <f>IF(SUMPRODUCT(--(NOT(ISERR(SEARCH({"T","P"},'CDR Project Planner'!$C37))))),'CDR Project Planner'!E37,"")</f>
        <v/>
      </c>
      <c r="F32" s="43" t="str">
        <f>IF(SUMPRODUCT(--(NOT(ISERR(SEARCH({"T","P"},'CDR Project Planner'!$C37))))),'CDR Project Planner'!F37,"")</f>
        <v/>
      </c>
      <c r="G32" s="43" t="str">
        <f>IF(SUMPRODUCT(--(NOT(ISERR(SEARCH({"T","P"},'CDR Project Planner'!$C37))))),'CDR Project Planner'!G37,"")</f>
        <v/>
      </c>
      <c r="H32" s="56" t="str">
        <f>IF(SUMPRODUCT(--(NOT(ISERR(SEARCH({"T","P"},'CDR Project Planner'!$C37))))),'CDR Project Planner'!H37*100,"")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ht="15" outlineLevel="1" x14ac:dyDescent="0.25">
      <c r="A33" s="1"/>
      <c r="B33" s="42" t="str">
        <f>IF(SUMPRODUCT(--(NOT(ISERR(SEARCH({"T","P"},'CDR Project Planner'!$C38))))),'CDR Project Planner'!B38,"")</f>
        <v/>
      </c>
      <c r="C33" s="43" t="str">
        <f>IF(SUMPRODUCT(--(NOT(ISERR(SEARCH({"T","P"},'CDR Project Planner'!$C38))))),'CDR Project Planner'!C38,"")</f>
        <v/>
      </c>
      <c r="D33" s="43" t="str">
        <f>IF(SUMPRODUCT(--(NOT(ISERR(SEARCH({"T","P"},'CDR Project Planner'!$C38))))),'CDR Project Planner'!D38,"")</f>
        <v/>
      </c>
      <c r="E33" s="43" t="str">
        <f>IF(SUMPRODUCT(--(NOT(ISERR(SEARCH({"T","P"},'CDR Project Planner'!$C38))))),'CDR Project Planner'!E38,"")</f>
        <v/>
      </c>
      <c r="F33" s="43" t="str">
        <f>IF(SUMPRODUCT(--(NOT(ISERR(SEARCH({"T","P"},'CDR Project Planner'!$C38))))),'CDR Project Planner'!F38,"")</f>
        <v/>
      </c>
      <c r="G33" s="43" t="str">
        <f>IF(SUMPRODUCT(--(NOT(ISERR(SEARCH({"T","P"},'CDR Project Planner'!$C38))))),'CDR Project Planner'!G38,"")</f>
        <v/>
      </c>
      <c r="H33" s="56" t="str">
        <f>IF(SUMPRODUCT(--(NOT(ISERR(SEARCH({"T","P"},'CDR Project Planner'!$C38))))),'CDR Project Planner'!H38*100,"")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ht="15" outlineLevel="1" x14ac:dyDescent="0.25">
      <c r="A34" s="1"/>
      <c r="B34" s="42" t="str">
        <f>IF(SUMPRODUCT(--(NOT(ISERR(SEARCH({"T","P"},'CDR Project Planner'!$C39))))),'CDR Project Planner'!B39,"")</f>
        <v/>
      </c>
      <c r="C34" s="43" t="str">
        <f>IF(SUMPRODUCT(--(NOT(ISERR(SEARCH({"T","P"},'CDR Project Planner'!$C39))))),'CDR Project Planner'!C39,"")</f>
        <v/>
      </c>
      <c r="D34" s="43" t="str">
        <f>IF(SUMPRODUCT(--(NOT(ISERR(SEARCH({"T","P"},'CDR Project Planner'!$C39))))),'CDR Project Planner'!D39,"")</f>
        <v/>
      </c>
      <c r="E34" s="43" t="str">
        <f>IF(SUMPRODUCT(--(NOT(ISERR(SEARCH({"T","P"},'CDR Project Planner'!$C39))))),'CDR Project Planner'!E39,"")</f>
        <v/>
      </c>
      <c r="F34" s="43" t="str">
        <f>IF(SUMPRODUCT(--(NOT(ISERR(SEARCH({"T","P"},'CDR Project Planner'!$C39))))),'CDR Project Planner'!F39,"")</f>
        <v/>
      </c>
      <c r="G34" s="43" t="str">
        <f>IF(SUMPRODUCT(--(NOT(ISERR(SEARCH({"T","P"},'CDR Project Planner'!$C39))))),'CDR Project Planner'!G39,"")</f>
        <v/>
      </c>
      <c r="H34" s="56" t="str">
        <f>IF(SUMPRODUCT(--(NOT(ISERR(SEARCH({"T","P"},'CDR Project Planner'!$C39))))),'CDR Project Planner'!H39*100,"")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ht="15" outlineLevel="1" x14ac:dyDescent="0.25">
      <c r="A35" s="1"/>
      <c r="B35" s="51" t="str">
        <f>IF(SUMPRODUCT(--(NOT(ISERR(SEARCH({"T","P"},'CDR Project Planner'!$C40))))),'CDR Project Planner'!B40,"")</f>
        <v>CDR PowerPoint</v>
      </c>
      <c r="C35" s="43" t="str">
        <f>IF(SUMPRODUCT(--(NOT(ISERR(SEARCH({"T","P"},'CDR Project Planner'!$C40))))),'CDR Project Planner'!C40,"")</f>
        <v>T</v>
      </c>
      <c r="D35" s="43">
        <f>IF(SUMPRODUCT(--(NOT(ISERR(SEARCH({"T","P"},'CDR Project Planner'!$C40))))),'CDR Project Planner'!D40,"")</f>
        <v>45</v>
      </c>
      <c r="E35" s="43">
        <f>IF(SUMPRODUCT(--(NOT(ISERR(SEARCH({"T","P"},'CDR Project Planner'!$C40))))),'CDR Project Planner'!E40,"")</f>
        <v>10</v>
      </c>
      <c r="F35" s="43">
        <f>IF(SUMPRODUCT(--(NOT(ISERR(SEARCH({"T","P"},'CDR Project Planner'!$C40))))),'CDR Project Planner'!F40,"")</f>
        <v>0</v>
      </c>
      <c r="G35" s="43">
        <f>IF(SUMPRODUCT(--(NOT(ISERR(SEARCH({"T","P"},'CDR Project Planner'!$C40))))),'CDR Project Planner'!G40,"")</f>
        <v>0</v>
      </c>
      <c r="H35" s="56">
        <f>IF(SUMPRODUCT(--(NOT(ISERR(SEARCH({"T","P"},'CDR Project Planner'!$C40))))),'CDR Project Planner'!H40*100,"")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31"/>
      <c r="B36" s="46" t="str">
        <f>IF(SUMPRODUCT(--(NOT(ISERR(SEARCH({"T","P"},'CDR Project Planner'!$C41))))),'CDR Project Planner'!B41,"")</f>
        <v>CDR</v>
      </c>
      <c r="C36" s="47" t="str">
        <f>IF(SUMPRODUCT(--(NOT(ISERR(SEARCH({"T","P"},'CDR Project Planner'!$C41))))),'CDR Project Planner'!C41,"")</f>
        <v>T</v>
      </c>
      <c r="D36" s="47">
        <f>IF(SUMPRODUCT(--(NOT(ISERR(SEARCH({"T","P"},'CDR Project Planner'!$C41))))),'CDR Project Planner'!D41,"")</f>
        <v>55</v>
      </c>
      <c r="E36" s="47">
        <f>IF(SUMPRODUCT(--(NOT(ISERR(SEARCH({"T","P"},'CDR Project Planner'!$C41))))),'CDR Project Planner'!E41,"")</f>
        <v>1</v>
      </c>
      <c r="F36" s="47">
        <f>IF(SUMPRODUCT(--(NOT(ISERR(SEARCH({"T","P"},'CDR Project Planner'!$C41))))),'CDR Project Planner'!F41,"")</f>
        <v>55</v>
      </c>
      <c r="G36" s="47">
        <f>IF(SUMPRODUCT(--(NOT(ISERR(SEARCH({"T","P"},'CDR Project Planner'!$C41))))),'CDR Project Planner'!G41,"")</f>
        <v>1</v>
      </c>
      <c r="H36" s="48">
        <f>IF(SUMPRODUCT(--(NOT(ISERR(SEARCH({"T","P"},'CDR Project Planner'!$C41))))),'CDR Project Planner'!H41*100,"")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ht="15" x14ac:dyDescent="0.25">
      <c r="A37" s="1"/>
      <c r="B37" s="42" t="str">
        <f>IF(SUMPRODUCT(--(NOT(ISERR(SEARCH({"T","P"},'CDR Project Planner'!$C42))))),'CDR Project Planner'!B42,"")</f>
        <v/>
      </c>
      <c r="C37" s="43" t="str">
        <f>IF(SUMPRODUCT(--(NOT(ISERR(SEARCH({"T","P"},'CDR Project Planner'!$C42))))),'CDR Project Planner'!C42,"")</f>
        <v/>
      </c>
      <c r="D37" s="43" t="str">
        <f>IF(SUMPRODUCT(--(NOT(ISERR(SEARCH({"T","P"},'CDR Project Planner'!$C42))))),'CDR Project Planner'!D42,"")</f>
        <v/>
      </c>
      <c r="E37" s="43" t="str">
        <f>IF(SUMPRODUCT(--(NOT(ISERR(SEARCH({"T","P"},'CDR Project Planner'!$C42))))),'CDR Project Planner'!E42,"")</f>
        <v/>
      </c>
      <c r="F37" s="43" t="str">
        <f>IF(SUMPRODUCT(--(NOT(ISERR(SEARCH({"T","P"},'CDR Project Planner'!$C42))))),'CDR Project Planner'!F42,"")</f>
        <v/>
      </c>
      <c r="G37" s="43" t="str">
        <f>IF(SUMPRODUCT(--(NOT(ISERR(SEARCH({"T","P"},'CDR Project Planner'!$C42))))),'CDR Project Planner'!G42,"")</f>
        <v/>
      </c>
      <c r="H37" s="56" t="str">
        <f>IF(SUMPRODUCT(--(NOT(ISERR(SEARCH({"T","P"},'CDR Project Planner'!$C42))))),'CDR Project Planner'!H42*100,"")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ht="15" x14ac:dyDescent="0.25">
      <c r="A38" s="1"/>
      <c r="B38" s="42" t="str">
        <f>IF(SUMPRODUCT(--(NOT(ISERR(SEARCH({"T","P"},'CDR Project Planner'!$C43))))),'CDR Project Planner'!B43,"")</f>
        <v/>
      </c>
      <c r="C38" s="43" t="str">
        <f>IF(SUMPRODUCT(--(NOT(ISERR(SEARCH({"T","P"},'CDR Project Planner'!$C43))))),'CDR Project Planner'!C43,"")</f>
        <v/>
      </c>
      <c r="D38" s="43" t="str">
        <f>IF(SUMPRODUCT(--(NOT(ISERR(SEARCH({"T","P"},'CDR Project Planner'!$C43))))),'CDR Project Planner'!D43,"")</f>
        <v/>
      </c>
      <c r="E38" s="43" t="str">
        <f>IF(SUMPRODUCT(--(NOT(ISERR(SEARCH({"T","P"},'CDR Project Planner'!$C43))))),'CDR Project Planner'!E43,"")</f>
        <v/>
      </c>
      <c r="F38" s="43" t="str">
        <f>IF(SUMPRODUCT(--(NOT(ISERR(SEARCH({"T","P"},'CDR Project Planner'!$C43))))),'CDR Project Planner'!F43,"")</f>
        <v/>
      </c>
      <c r="G38" s="43" t="str">
        <f>IF(SUMPRODUCT(--(NOT(ISERR(SEARCH({"T","P"},'CDR Project Planner'!$C43))))),'CDR Project Planner'!G43,"")</f>
        <v/>
      </c>
      <c r="H38" s="56" t="str">
        <f>IF(SUMPRODUCT(--(NOT(ISERR(SEARCH({"T","P"},'CDR Project Planner'!$C43))))),'CDR Project Planner'!H43*100,"")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ht="15" x14ac:dyDescent="0.25">
      <c r="A39" s="1"/>
      <c r="B39" s="42" t="str">
        <f>IF(SUMPRODUCT(--(NOT(ISERR(SEARCH({"T","P"},'CDR Project Planner'!$C44))))),'CDR Project Planner'!B44,"")</f>
        <v/>
      </c>
      <c r="C39" s="43" t="str">
        <f>IF(SUMPRODUCT(--(NOT(ISERR(SEARCH({"T","P"},'CDR Project Planner'!$C44))))),'CDR Project Planner'!C44,"")</f>
        <v/>
      </c>
      <c r="D39" s="43" t="str">
        <f>IF(SUMPRODUCT(--(NOT(ISERR(SEARCH({"T","P"},'CDR Project Planner'!$C44))))),'CDR Project Planner'!D44,"")</f>
        <v/>
      </c>
      <c r="E39" s="43" t="str">
        <f>IF(SUMPRODUCT(--(NOT(ISERR(SEARCH({"T","P"},'CDR Project Planner'!$C44))))),'CDR Project Planner'!E44,"")</f>
        <v/>
      </c>
      <c r="F39" s="43" t="str">
        <f>IF(SUMPRODUCT(--(NOT(ISERR(SEARCH({"T","P"},'CDR Project Planner'!$C44))))),'CDR Project Planner'!F44,"")</f>
        <v/>
      </c>
      <c r="G39" s="43" t="str">
        <f>IF(SUMPRODUCT(--(NOT(ISERR(SEARCH({"T","P"},'CDR Project Planner'!$C44))))),'CDR Project Planner'!G44,"")</f>
        <v/>
      </c>
      <c r="H39" s="56" t="str">
        <f>IF(SUMPRODUCT(--(NOT(ISERR(SEARCH({"T","P"},'CDR Project Planner'!$C44))))),'CDR Project Planner'!H44*100,"")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ht="15" x14ac:dyDescent="0.25">
      <c r="A40" s="1"/>
      <c r="B40" s="42" t="str">
        <f>IF(SUMPRODUCT(--(NOT(ISERR(SEARCH({"T","P"},'CDR Project Planner'!$C45))))),'CDR Project Planner'!B45,"")</f>
        <v/>
      </c>
      <c r="C40" s="43" t="str">
        <f>IF(SUMPRODUCT(--(NOT(ISERR(SEARCH({"T","P"},'CDR Project Planner'!$C45))))),'CDR Project Planner'!C45,"")</f>
        <v/>
      </c>
      <c r="D40" s="43" t="str">
        <f>IF(SUMPRODUCT(--(NOT(ISERR(SEARCH({"T","P"},'CDR Project Planner'!$C45))))),'CDR Project Planner'!D45,"")</f>
        <v/>
      </c>
      <c r="E40" s="43" t="str">
        <f>IF(SUMPRODUCT(--(NOT(ISERR(SEARCH({"T","P"},'CDR Project Planner'!$C45))))),'CDR Project Planner'!E45,"")</f>
        <v/>
      </c>
      <c r="F40" s="43" t="str">
        <f>IF(SUMPRODUCT(--(NOT(ISERR(SEARCH({"T","P"},'CDR Project Planner'!$C45))))),'CDR Project Planner'!F45,"")</f>
        <v/>
      </c>
      <c r="G40" s="43" t="str">
        <f>IF(SUMPRODUCT(--(NOT(ISERR(SEARCH({"T","P"},'CDR Project Planner'!$C45))))),'CDR Project Planner'!G45,"")</f>
        <v/>
      </c>
      <c r="H40" s="56" t="str">
        <f>IF(SUMPRODUCT(--(NOT(ISERR(SEARCH({"T","P"},'CDR Project Planner'!$C45))))),'CDR Project Planner'!H45*100,"")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25">
      <c r="B41" s="42" t="str">
        <f>IF(SUMPRODUCT(--(NOT(ISERR(SEARCH({"T","P"},'CDR Project Planner'!$C46))))),'CDR Project Planner'!B46,"")</f>
        <v/>
      </c>
      <c r="C41" s="43" t="str">
        <f>IF(SUMPRODUCT(--(NOT(ISERR(SEARCH({"T","P"},'CDR Project Planner'!$C46))))),'CDR Project Planner'!C46,"")</f>
        <v/>
      </c>
      <c r="D41" s="43" t="str">
        <f>IF(SUMPRODUCT(--(NOT(ISERR(SEARCH({"T","P"},'CDR Project Planner'!$C46))))),'CDR Project Planner'!D46,"")</f>
        <v/>
      </c>
      <c r="E41" s="43" t="str">
        <f>IF(SUMPRODUCT(--(NOT(ISERR(SEARCH({"T","P"},'CDR Project Planner'!$C46))))),'CDR Project Planner'!E46,"")</f>
        <v/>
      </c>
      <c r="F41" s="43" t="str">
        <f>IF(SUMPRODUCT(--(NOT(ISERR(SEARCH({"T","P"},'CDR Project Planner'!$C46))))),'CDR Project Planner'!F46,"")</f>
        <v/>
      </c>
      <c r="G41" s="43" t="str">
        <f>IF(SUMPRODUCT(--(NOT(ISERR(SEARCH({"T","P"},'CDR Project Planner'!$C46))))),'CDR Project Planner'!G46,"")</f>
        <v/>
      </c>
      <c r="H41" s="56" t="str">
        <f>IF(SUMPRODUCT(--(NOT(ISERR(SEARCH({"T","P"},'CDR Project Planner'!$C46))))),'CDR Project Planner'!H46*100,"")</f>
        <v/>
      </c>
    </row>
    <row r="42" spans="1:68" ht="30" customHeight="1" x14ac:dyDescent="0.25">
      <c r="B42" s="42" t="str">
        <f>IF(SUMPRODUCT(--(NOT(ISERR(SEARCH({"T","P"},'CDR Project Planner'!$C47))))),'CDR Project Planner'!B47,"")</f>
        <v/>
      </c>
      <c r="C42" s="43" t="str">
        <f>IF(SUMPRODUCT(--(NOT(ISERR(SEARCH({"T","P"},'CDR Project Planner'!$C47))))),'CDR Project Planner'!C47,"")</f>
        <v/>
      </c>
      <c r="D42" s="43" t="str">
        <f>IF(SUMPRODUCT(--(NOT(ISERR(SEARCH({"T","P"},'CDR Project Planner'!$C47))))),'CDR Project Planner'!D47,"")</f>
        <v/>
      </c>
      <c r="E42" s="43" t="str">
        <f>IF(SUMPRODUCT(--(NOT(ISERR(SEARCH({"T","P"},'CDR Project Planner'!$C47))))),'CDR Project Planner'!E47,"")</f>
        <v/>
      </c>
      <c r="F42" s="43" t="str">
        <f>IF(SUMPRODUCT(--(NOT(ISERR(SEARCH({"T","P"},'CDR Project Planner'!$C47))))),'CDR Project Planner'!F47,"")</f>
        <v/>
      </c>
      <c r="G42" s="43" t="str">
        <f>IF(SUMPRODUCT(--(NOT(ISERR(SEARCH({"T","P"},'CDR Project Planner'!$C47))))),'CDR Project Planner'!G47,"")</f>
        <v/>
      </c>
      <c r="H42" s="56" t="str">
        <f>IF(SUMPRODUCT(--(NOT(ISERR(SEARCH({"T","P"},'CDR Project Planner'!$C47))))),'CDR Project Planner'!H47*100,"")</f>
        <v/>
      </c>
    </row>
    <row r="43" spans="1:68" ht="30" customHeight="1" x14ac:dyDescent="0.25">
      <c r="B43" s="42" t="str">
        <f>IF(SUMPRODUCT(--(NOT(ISERR(SEARCH({"T","P"},'CDR Project Planner'!$C48))))),'CDR Project Planner'!B48,"")</f>
        <v/>
      </c>
      <c r="C43" s="43" t="str">
        <f>IF(SUMPRODUCT(--(NOT(ISERR(SEARCH({"T","P"},'CDR Project Planner'!$C48))))),'CDR Project Planner'!C48,"")</f>
        <v/>
      </c>
      <c r="D43" s="43" t="str">
        <f>IF(SUMPRODUCT(--(NOT(ISERR(SEARCH({"T","P"},'CDR Project Planner'!$C48))))),'CDR Project Planner'!D48,"")</f>
        <v/>
      </c>
      <c r="E43" s="43" t="str">
        <f>IF(SUMPRODUCT(--(NOT(ISERR(SEARCH({"T","P"},'CDR Project Planner'!$C48))))),'CDR Project Planner'!E48,"")</f>
        <v/>
      </c>
      <c r="F43" s="43" t="str">
        <f>IF(SUMPRODUCT(--(NOT(ISERR(SEARCH({"T","P"},'CDR Project Planner'!$C48))))),'CDR Project Planner'!F48,"")</f>
        <v/>
      </c>
      <c r="G43" s="43" t="str">
        <f>IF(SUMPRODUCT(--(NOT(ISERR(SEARCH({"T","P"},'CDR Project Planner'!$C48))))),'CDR Project Planner'!G48,"")</f>
        <v/>
      </c>
      <c r="H43" s="56" t="str">
        <f>IF(SUMPRODUCT(--(NOT(ISERR(SEARCH({"T","P"},'CDR Project Planner'!$C48))))),'CDR Project Planner'!H48*100,"")</f>
        <v/>
      </c>
    </row>
    <row r="44" spans="1:68" s="4" customFormat="1" ht="30" customHeight="1" x14ac:dyDescent="0.25">
      <c r="A44" s="1"/>
      <c r="B44" s="42" t="str">
        <f>IF(SUMPRODUCT(--(NOT(ISERR(SEARCH({"T","P"},'CDR Project Planner'!$C49))))),'CDR Project Planner'!B49,"")</f>
        <v/>
      </c>
      <c r="C44" s="43" t="str">
        <f>IF(SUMPRODUCT(--(NOT(ISERR(SEARCH({"T","P"},'CDR Project Planner'!$C49))))),'CDR Project Planner'!C49,"")</f>
        <v/>
      </c>
      <c r="D44" s="43" t="str">
        <f>IF(SUMPRODUCT(--(NOT(ISERR(SEARCH({"T","P"},'CDR Project Planner'!$C49))))),'CDR Project Planner'!D49,"")</f>
        <v/>
      </c>
      <c r="E44" s="43" t="str">
        <f>IF(SUMPRODUCT(--(NOT(ISERR(SEARCH({"T","P"},'CDR Project Planner'!$C49))))),'CDR Project Planner'!E49,"")</f>
        <v/>
      </c>
      <c r="F44" s="43" t="str">
        <f>IF(SUMPRODUCT(--(NOT(ISERR(SEARCH({"T","P"},'CDR Project Planner'!$C49))))),'CDR Project Planner'!F49,"")</f>
        <v/>
      </c>
      <c r="G44" s="43" t="str">
        <f>IF(SUMPRODUCT(--(NOT(ISERR(SEARCH({"T","P"},'CDR Project Planner'!$C49))))),'CDR Project Planner'!G49,"")</f>
        <v/>
      </c>
      <c r="H44" s="56" t="str">
        <f>IF(SUMPRODUCT(--(NOT(ISERR(SEARCH({"T","P"},'CDR Project Planner'!$C49))))),'CDR Project Planner'!H49*100,"")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25">
      <c r="A45" s="1"/>
      <c r="B45" s="42" t="str">
        <f>IF(SUMPRODUCT(--(NOT(ISERR(SEARCH({"T","P"},'CDR Project Planner'!$C50))))),'CDR Project Planner'!B50,"")</f>
        <v/>
      </c>
      <c r="C45" s="43" t="str">
        <f>IF(SUMPRODUCT(--(NOT(ISERR(SEARCH({"T","P"},'CDR Project Planner'!$C50))))),'CDR Project Planner'!C50,"")</f>
        <v/>
      </c>
      <c r="D45" s="43" t="str">
        <f>IF(SUMPRODUCT(--(NOT(ISERR(SEARCH({"T","P"},'CDR Project Planner'!$C50))))),'CDR Project Planner'!D50,"")</f>
        <v/>
      </c>
      <c r="E45" s="43" t="str">
        <f>IF(SUMPRODUCT(--(NOT(ISERR(SEARCH({"T","P"},'CDR Project Planner'!$C50))))),'CDR Project Planner'!E50,"")</f>
        <v/>
      </c>
      <c r="F45" s="43" t="str">
        <f>IF(SUMPRODUCT(--(NOT(ISERR(SEARCH({"T","P"},'CDR Project Planner'!$C50))))),'CDR Project Planner'!F50,"")</f>
        <v/>
      </c>
      <c r="G45" s="43" t="str">
        <f>IF(SUMPRODUCT(--(NOT(ISERR(SEARCH({"T","P"},'CDR Project Planner'!$C50))))),'CDR Project Planner'!G50,"")</f>
        <v/>
      </c>
      <c r="H45" s="56" t="str">
        <f>IF(SUMPRODUCT(--(NOT(ISERR(SEARCH({"T","P"},'CDR Project Planner'!$C50))))),'CDR Project Planner'!H50*100,"")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25">
      <c r="A46" s="1"/>
      <c r="B46" s="42" t="str">
        <f>IF(SUMPRODUCT(--(NOT(ISERR(SEARCH({"T","P"},'CDR Project Planner'!$C51))))),'CDR Project Planner'!B51,"")</f>
        <v/>
      </c>
      <c r="C46" s="43" t="str">
        <f>IF(SUMPRODUCT(--(NOT(ISERR(SEARCH({"T","P"},'CDR Project Planner'!$C51))))),'CDR Project Planner'!C51,"")</f>
        <v/>
      </c>
      <c r="D46" s="43" t="str">
        <f>IF(SUMPRODUCT(--(NOT(ISERR(SEARCH({"T","P"},'CDR Project Planner'!$C51))))),'CDR Project Planner'!D51,"")</f>
        <v/>
      </c>
      <c r="E46" s="43" t="str">
        <f>IF(SUMPRODUCT(--(NOT(ISERR(SEARCH({"T","P"},'CDR Project Planner'!$C51))))),'CDR Project Planner'!E51,"")</f>
        <v/>
      </c>
      <c r="F46" s="43" t="str">
        <f>IF(SUMPRODUCT(--(NOT(ISERR(SEARCH({"T","P"},'CDR Project Planner'!$C51))))),'CDR Project Planner'!F51,"")</f>
        <v/>
      </c>
      <c r="G46" s="43" t="str">
        <f>IF(SUMPRODUCT(--(NOT(ISERR(SEARCH({"T","P"},'CDR Project Planner'!$C51))))),'CDR Project Planner'!G51,"")</f>
        <v/>
      </c>
      <c r="H46" s="56" t="str">
        <f>IF(SUMPRODUCT(--(NOT(ISERR(SEARCH({"T","P"},'CDR Project Planner'!$C51))))),'CDR Project Planner'!H51*100,"")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25">
      <c r="A47" s="1"/>
      <c r="B47" s="42" t="str">
        <f>IF(SUMPRODUCT(--(NOT(ISERR(SEARCH({"T","P"},'CDR Project Planner'!$C52))))),'CDR Project Planner'!B52,"")</f>
        <v/>
      </c>
      <c r="C47" s="43" t="str">
        <f>IF(SUMPRODUCT(--(NOT(ISERR(SEARCH({"T","P"},'CDR Project Planner'!$C52))))),'CDR Project Planner'!C52,"")</f>
        <v/>
      </c>
      <c r="D47" s="43" t="str">
        <f>IF(SUMPRODUCT(--(NOT(ISERR(SEARCH({"T","P"},'CDR Project Planner'!$C52))))),'CDR Project Planner'!D52,"")</f>
        <v/>
      </c>
      <c r="E47" s="43" t="str">
        <f>IF(SUMPRODUCT(--(NOT(ISERR(SEARCH({"T","P"},'CDR Project Planner'!$C52))))),'CDR Project Planner'!E52,"")</f>
        <v/>
      </c>
      <c r="F47" s="43" t="str">
        <f>IF(SUMPRODUCT(--(NOT(ISERR(SEARCH({"T","P"},'CDR Project Planner'!$C52))))),'CDR Project Planner'!F52,"")</f>
        <v/>
      </c>
      <c r="G47" s="43" t="str">
        <f>IF(SUMPRODUCT(--(NOT(ISERR(SEARCH({"T","P"},'CDR Project Planner'!$C52))))),'CDR Project Planner'!G52,"")</f>
        <v/>
      </c>
      <c r="H47" s="56" t="str">
        <f>IF(SUMPRODUCT(--(NOT(ISERR(SEARCH({"T","P"},'CDR Project Planner'!$C52))))),'CDR Project Planner'!H52*100,"")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ht="15" x14ac:dyDescent="0.25">
      <c r="A48" s="1"/>
      <c r="B48" s="42" t="str">
        <f>IF(SUMPRODUCT(--(NOT(ISERR(SEARCH({"T","P"},'CDR Project Planner'!$C53))))),'CDR Project Planner'!B53,"")</f>
        <v/>
      </c>
      <c r="C48" s="43" t="str">
        <f>IF(SUMPRODUCT(--(NOT(ISERR(SEARCH({"T","P"},'CDR Project Planner'!$C53))))),'CDR Project Planner'!C53,"")</f>
        <v/>
      </c>
      <c r="D48" s="43" t="str">
        <f>IF(SUMPRODUCT(--(NOT(ISERR(SEARCH({"T","P"},'CDR Project Planner'!$C53))))),'CDR Project Planner'!D53,"")</f>
        <v/>
      </c>
      <c r="E48" s="43" t="str">
        <f>IF(SUMPRODUCT(--(NOT(ISERR(SEARCH({"T","P"},'CDR Project Planner'!$C53))))),'CDR Project Planner'!E53,"")</f>
        <v/>
      </c>
      <c r="F48" s="43" t="str">
        <f>IF(SUMPRODUCT(--(NOT(ISERR(SEARCH({"T","P"},'CDR Project Planner'!$C53))))),'CDR Project Planner'!F53,"")</f>
        <v/>
      </c>
      <c r="G48" s="43" t="str">
        <f>IF(SUMPRODUCT(--(NOT(ISERR(SEARCH({"T","P"},'CDR Project Planner'!$C53))))),'CDR Project Planner'!G53,"")</f>
        <v/>
      </c>
      <c r="H48" s="56" t="str">
        <f>IF(SUMPRODUCT(--(NOT(ISERR(SEARCH({"T","P"},'CDR Project Planner'!$C53))))),'CDR Project Planner'!H53*100,"")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15" x14ac:dyDescent="0.25">
      <c r="A49" s="1"/>
      <c r="B49" s="42" t="str">
        <f>IF(SUMPRODUCT(--(NOT(ISERR(SEARCH({"T","P"},'CDR Project Planner'!$C54))))),'CDR Project Planner'!B54,"")</f>
        <v/>
      </c>
      <c r="C49" s="43" t="str">
        <f>IF(SUMPRODUCT(--(NOT(ISERR(SEARCH({"T","P"},'CDR Project Planner'!$C54))))),'CDR Project Planner'!C54,"")</f>
        <v/>
      </c>
      <c r="D49" s="43" t="str">
        <f>IF(SUMPRODUCT(--(NOT(ISERR(SEARCH({"T","P"},'CDR Project Planner'!$C54))))),'CDR Project Planner'!D54,"")</f>
        <v/>
      </c>
      <c r="E49" s="43" t="str">
        <f>IF(SUMPRODUCT(--(NOT(ISERR(SEARCH({"T","P"},'CDR Project Planner'!$C54))))),'CDR Project Planner'!E54,"")</f>
        <v/>
      </c>
      <c r="F49" s="43" t="str">
        <f>IF(SUMPRODUCT(--(NOT(ISERR(SEARCH({"T","P"},'CDR Project Planner'!$C54))))),'CDR Project Planner'!F54,"")</f>
        <v/>
      </c>
      <c r="G49" s="43" t="str">
        <f>IF(SUMPRODUCT(--(NOT(ISERR(SEARCH({"T","P"},'CDR Project Planner'!$C54))))),'CDR Project Planner'!G54,"")</f>
        <v/>
      </c>
      <c r="H49" s="56" t="str">
        <f>IF(SUMPRODUCT(--(NOT(ISERR(SEARCH({"T","P"},'CDR Project Planner'!$C54))))),'CDR Project Planner'!H54*100,"")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44" t="str">
        <f>IF(SUMPRODUCT(--(NOT(ISERR(SEARCH({"T","Ba"},'CDR Project Planner'!$C55))))),'CDR Project Planner'!B55,"")</f>
        <v/>
      </c>
      <c r="C50" s="44" t="str">
        <f>IF(SUMPRODUCT(--(NOT(ISERR(SEARCH({"T","Ba"},'CDR Project Planner'!$C55))))),'CDR Project Planner'!C55,"")</f>
        <v/>
      </c>
      <c r="D50" s="52" t="str">
        <f>IF(SUMPRODUCT(--(NOT(ISERR(SEARCH({"T","Ba"},'CDR Project Planner'!$C55))))),'CDR Project Planner'!D55,"")</f>
        <v/>
      </c>
      <c r="E50" s="52" t="str">
        <f>IF(SUMPRODUCT(--(NOT(ISERR(SEARCH({"T","Ba"},'CDR Project Planner'!$C55))))),'CDR Project Planner'!E55,"")</f>
        <v/>
      </c>
      <c r="F50" s="52" t="str">
        <f>IF(SUMPRODUCT(--(NOT(ISERR(SEARCH({"T","Ba"},'CDR Project Planner'!$C55))))),'CDR Project Planner'!F55,"")</f>
        <v/>
      </c>
      <c r="G50" s="52" t="str">
        <f>IF(SUMPRODUCT(--(NOT(ISERR(SEARCH({"T","Ba"},'CDR Project Planner'!$C55))))),'CDR Project Planner'!G55,"")</f>
        <v/>
      </c>
      <c r="H50" s="52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44" t="str">
        <f>IF(SUMPRODUCT(--(NOT(ISERR(SEARCH({"T","Ba"},'CDR Project Planner'!$C56))))),'CDR Project Planner'!B56,"")</f>
        <v/>
      </c>
      <c r="C51" s="44" t="str">
        <f>IF(SUMPRODUCT(--(NOT(ISERR(SEARCH({"T","Ba"},'CDR Project Planner'!$C56))))),'CDR Project Planner'!C56,"")</f>
        <v/>
      </c>
      <c r="D51" s="52" t="str">
        <f>IF(SUMPRODUCT(--(NOT(ISERR(SEARCH({"T","Ba"},'CDR Project Planner'!$C56))))),'CDR Project Planner'!D56,"")</f>
        <v/>
      </c>
      <c r="E51" s="52" t="str">
        <f>IF(SUMPRODUCT(--(NOT(ISERR(SEARCH({"T","Ba"},'CDR Project Planner'!$C56))))),'CDR Project Planner'!E56,"")</f>
        <v/>
      </c>
      <c r="F51" s="52" t="str">
        <f>IF(SUMPRODUCT(--(NOT(ISERR(SEARCH({"T","Ba"},'CDR Project Planner'!$C56))))),'CDR Project Planner'!F56,"")</f>
        <v/>
      </c>
      <c r="G51" s="52" t="str">
        <f>IF(SUMPRODUCT(--(NOT(ISERR(SEARCH({"T","Ba"},'CDR Project Planner'!$C56))))),'CDR Project Planner'!G56,"")</f>
        <v/>
      </c>
      <c r="H51" s="52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44" t="str">
        <f>IF(SUMPRODUCT(--(NOT(ISERR(SEARCH({"T","Ba"},'CDR Project Planner'!$C57))))),'CDR Project Planner'!B57,"")</f>
        <v/>
      </c>
      <c r="C52" s="44" t="str">
        <f>IF(SUMPRODUCT(--(NOT(ISERR(SEARCH({"T","Ba"},'CDR Project Planner'!$C57))))),'CDR Project Planner'!C57,"")</f>
        <v/>
      </c>
      <c r="D52" s="52" t="str">
        <f>IF(SUMPRODUCT(--(NOT(ISERR(SEARCH({"T","Ba"},'CDR Project Planner'!$C57))))),'CDR Project Planner'!D57,"")</f>
        <v/>
      </c>
      <c r="E52" s="52" t="str">
        <f>IF(SUMPRODUCT(--(NOT(ISERR(SEARCH({"T","Ba"},'CDR Project Planner'!$C57))))),'CDR Project Planner'!E57,"")</f>
        <v/>
      </c>
      <c r="F52" s="52" t="str">
        <f>IF(SUMPRODUCT(--(NOT(ISERR(SEARCH({"T","Ba"},'CDR Project Planner'!$C57))))),'CDR Project Planner'!F57,"")</f>
        <v/>
      </c>
      <c r="G52" s="52" t="str">
        <f>IF(SUMPRODUCT(--(NOT(ISERR(SEARCH({"T","Ba"},'CDR Project Planner'!$C57))))),'CDR Project Planner'!G57,"")</f>
        <v/>
      </c>
      <c r="H52" s="52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9:BP37">
    <cfRule type="expression" dxfId="105" priority="2">
      <formula>PercentComplete</formula>
    </cfRule>
    <cfRule type="expression" dxfId="104" priority="3">
      <formula>PercentCompleteBeyond</formula>
    </cfRule>
    <cfRule type="expression" dxfId="103" priority="4">
      <formula>Actual</formula>
    </cfRule>
    <cfRule type="expression" dxfId="102" priority="5">
      <formula>ActualBeyond</formula>
    </cfRule>
    <cfRule type="expression" dxfId="101" priority="6">
      <formula>Plan</formula>
    </cfRule>
    <cfRule type="expression" dxfId="100" priority="7">
      <formula>I$4=period_selected</formula>
    </cfRule>
    <cfRule type="expression" dxfId="99" priority="8">
      <formula>MOD(COLUMN(),2)</formula>
    </cfRule>
    <cfRule type="expression" dxfId="98" priority="9">
      <formula>MOD(COLUMN(),2)=0</formula>
    </cfRule>
  </conditionalFormatting>
  <conditionalFormatting sqref="I4:BP4">
    <cfRule type="expression" dxfId="97" priority="10">
      <formula>I$4=period_selected</formula>
    </cfRule>
  </conditionalFormatting>
  <conditionalFormatting sqref="I5:BP6 I39:BP39 I21:BP28 I42:BP42 I45:BP45 I48:BP48">
    <cfRule type="expression" dxfId="96" priority="11">
      <formula>PercentComplete</formula>
    </cfRule>
    <cfRule type="expression" dxfId="95" priority="12">
      <formula>PercentCompleteBeyond</formula>
    </cfRule>
    <cfRule type="expression" dxfId="94" priority="13">
      <formula>Actual</formula>
    </cfRule>
    <cfRule type="expression" dxfId="93" priority="14">
      <formula>ActualBeyond</formula>
    </cfRule>
    <cfRule type="expression" dxfId="92" priority="15">
      <formula>Plan</formula>
    </cfRule>
    <cfRule type="expression" dxfId="91" priority="16">
      <formula>I$4=period_selected</formula>
    </cfRule>
    <cfRule type="expression" dxfId="90" priority="17">
      <formula>MOD(COLUMN(),2)</formula>
    </cfRule>
    <cfRule type="expression" dxfId="89" priority="18">
      <formula>MOD(COLUMN(),2)=0</formula>
    </cfRule>
  </conditionalFormatting>
  <conditionalFormatting sqref="I38:BP38 I41:BP41 I44:BP44 I47:BP47">
    <cfRule type="expression" dxfId="88" priority="19">
      <formula>PercentComplete</formula>
    </cfRule>
    <cfRule type="expression" dxfId="87" priority="20">
      <formula>PercentCompleteBeyond</formula>
    </cfRule>
    <cfRule type="expression" dxfId="86" priority="21">
      <formula>Actual</formula>
    </cfRule>
    <cfRule type="expression" dxfId="85" priority="22">
      <formula>ActualBeyond</formula>
    </cfRule>
    <cfRule type="expression" dxfId="84" priority="23">
      <formula>Plan</formula>
    </cfRule>
    <cfRule type="expression" dxfId="83" priority="24">
      <formula>I$4=period_selected</formula>
    </cfRule>
    <cfRule type="expression" dxfId="82" priority="25">
      <formula>MOD(COLUMN(),2)</formula>
    </cfRule>
    <cfRule type="expression" dxfId="81" priority="26">
      <formula>MOD(COLUMN(),2)=0</formula>
    </cfRule>
  </conditionalFormatting>
  <conditionalFormatting sqref="I20:BP20">
    <cfRule type="expression" dxfId="80" priority="27">
      <formula>PercentComplete</formula>
    </cfRule>
    <cfRule type="expression" dxfId="79" priority="28">
      <formula>PercentCompleteBeyond</formula>
    </cfRule>
    <cfRule type="expression" dxfId="78" priority="29">
      <formula>Actual</formula>
    </cfRule>
    <cfRule type="expression" dxfId="77" priority="30">
      <formula>ActualBeyond</formula>
    </cfRule>
    <cfRule type="expression" dxfId="76" priority="31">
      <formula>Plan</formula>
    </cfRule>
    <cfRule type="expression" dxfId="75" priority="32">
      <formula>I$4=period_selected</formula>
    </cfRule>
    <cfRule type="expression" dxfId="74" priority="33">
      <formula>MOD(COLUMN(),2)</formula>
    </cfRule>
    <cfRule type="expression" dxfId="73" priority="34">
      <formula>MOD(COLUMN(),2)=0</formula>
    </cfRule>
  </conditionalFormatting>
  <conditionalFormatting sqref="I16:BP16 I18:BP19">
    <cfRule type="expression" dxfId="72" priority="35">
      <formula>PercentComplete</formula>
    </cfRule>
    <cfRule type="expression" dxfId="71" priority="36">
      <formula>PercentCompleteBeyond</formula>
    </cfRule>
    <cfRule type="expression" dxfId="70" priority="37">
      <formula>Actual</formula>
    </cfRule>
    <cfRule type="expression" dxfId="69" priority="38">
      <formula>ActualBeyond</formula>
    </cfRule>
    <cfRule type="expression" dxfId="68" priority="39">
      <formula>Plan</formula>
    </cfRule>
    <cfRule type="expression" dxfId="67" priority="40">
      <formula>I$4=period_selected</formula>
    </cfRule>
    <cfRule type="expression" dxfId="66" priority="41">
      <formula>MOD(COLUMN(),2)</formula>
    </cfRule>
    <cfRule type="expression" dxfId="65" priority="42">
      <formula>MOD(COLUMN(),2)=0</formula>
    </cfRule>
  </conditionalFormatting>
  <conditionalFormatting sqref="I17:BP17">
    <cfRule type="expression" dxfId="64" priority="43">
      <formula>PercentComplete</formula>
    </cfRule>
    <cfRule type="expression" dxfId="63" priority="44">
      <formula>PercentCompleteBeyond</formula>
    </cfRule>
    <cfRule type="expression" dxfId="62" priority="45">
      <formula>Actual</formula>
    </cfRule>
    <cfRule type="expression" dxfId="61" priority="46">
      <formula>ActualBeyond</formula>
    </cfRule>
    <cfRule type="expression" dxfId="60" priority="47">
      <formula>Plan</formula>
    </cfRule>
    <cfRule type="expression" dxfId="59" priority="48">
      <formula>I$4=period_selected</formula>
    </cfRule>
    <cfRule type="expression" dxfId="58" priority="49">
      <formula>MOD(COLUMN(),2)</formula>
    </cfRule>
    <cfRule type="expression" dxfId="57" priority="50">
      <formula>MOD(COLUMN(),2)=0</formula>
    </cfRule>
  </conditionalFormatting>
  <conditionalFormatting sqref="H53:H56">
    <cfRule type="cellIs" dxfId="56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55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  <pageSetUpPr fitToPage="1"/>
  </sheetPr>
  <dimension ref="A1:AMK52"/>
  <sheetViews>
    <sheetView showGridLines="0" zoomScale="70" zoomScaleNormal="70" zoomScalePageLayoutView="80" workbookViewId="0">
      <pane ySplit="4" topLeftCell="A29" activePane="bottomLeft" state="frozen"/>
      <selection activeCell="B47" sqref="B47"/>
      <selection pane="bottomLeft" activeCell="B47" sqref="B47"/>
    </sheetView>
  </sheetViews>
  <sheetFormatPr defaultRowHeight="17.25" outlineLevelRow="1" x14ac:dyDescent="0.3"/>
  <cols>
    <col min="1" max="1" width="3" style="1" customWidth="1"/>
    <col min="2" max="2" width="46.42578125" style="2" customWidth="1"/>
    <col min="3" max="3" width="18.42578125" style="3" customWidth="1"/>
    <col min="4" max="4" width="11.5703125" style="4"/>
    <col min="5" max="5" width="12.28515625" style="4" customWidth="1"/>
    <col min="6" max="6" width="9.7109375" style="4" customWidth="1"/>
    <col min="7" max="7" width="12.28515625" style="4" customWidth="1"/>
    <col min="8" max="8" width="17.42578125" style="5" customWidth="1"/>
    <col min="9" max="28" width="3.140625" style="4" customWidth="1"/>
    <col min="29" max="1025" width="3.140625" style="1" customWidth="1"/>
  </cols>
  <sheetData>
    <row r="1" spans="1:68" ht="54" x14ac:dyDescent="0.8">
      <c r="B1" s="6" t="s">
        <v>62</v>
      </c>
      <c r="C1" s="7"/>
      <c r="D1" s="8"/>
      <c r="E1" s="8"/>
      <c r="F1" s="8"/>
      <c r="G1" s="8"/>
      <c r="H1" s="8"/>
    </row>
    <row r="2" spans="1:68" ht="21" customHeight="1" x14ac:dyDescent="0.25">
      <c r="B2" s="215">
        <f ca="1">NOW()</f>
        <v>43188.720990972222</v>
      </c>
      <c r="C2" s="215"/>
      <c r="D2" s="215"/>
      <c r="E2" s="215"/>
      <c r="F2" s="215"/>
      <c r="G2" s="215"/>
      <c r="H2" s="10" t="s">
        <v>1</v>
      </c>
      <c r="I2" s="11">
        <f ca="1">DAY(NOW())</f>
        <v>29</v>
      </c>
      <c r="K2" s="12"/>
      <c r="L2" s="216" t="s">
        <v>2</v>
      </c>
      <c r="M2" s="216"/>
      <c r="N2" s="216"/>
      <c r="O2" s="216"/>
      <c r="P2" s="216"/>
      <c r="Q2" s="14"/>
      <c r="R2" s="216" t="s">
        <v>3</v>
      </c>
      <c r="S2" s="216"/>
      <c r="T2" s="216"/>
      <c r="U2" s="216"/>
      <c r="V2" s="15"/>
      <c r="W2" s="216" t="s">
        <v>4</v>
      </c>
      <c r="X2" s="216"/>
      <c r="Y2" s="216"/>
      <c r="Z2" s="216"/>
      <c r="AA2" s="16"/>
      <c r="AB2" s="216" t="s">
        <v>5</v>
      </c>
      <c r="AC2" s="216"/>
      <c r="AD2" s="216"/>
      <c r="AE2" s="216"/>
      <c r="AF2" s="216"/>
      <c r="AG2" s="216"/>
      <c r="AH2" s="216"/>
      <c r="AI2" s="18"/>
      <c r="AJ2" s="210" t="s">
        <v>6</v>
      </c>
      <c r="AK2" s="210"/>
      <c r="AL2" s="210"/>
      <c r="AM2" s="210"/>
      <c r="AN2" s="210"/>
      <c r="AO2" s="210"/>
      <c r="AP2" s="210"/>
      <c r="AQ2" s="210"/>
    </row>
    <row r="3" spans="1:68" s="20" customFormat="1" ht="39.950000000000003" customHeight="1" x14ac:dyDescent="0.25">
      <c r="B3" s="211" t="s">
        <v>7</v>
      </c>
      <c r="C3" s="212" t="s">
        <v>8</v>
      </c>
      <c r="D3" s="213" t="s">
        <v>9</v>
      </c>
      <c r="E3" s="213" t="s">
        <v>10</v>
      </c>
      <c r="F3" s="213" t="s">
        <v>11</v>
      </c>
      <c r="G3" s="213" t="s">
        <v>12</v>
      </c>
      <c r="H3" s="214" t="s">
        <v>13</v>
      </c>
      <c r="I3" s="25" t="s">
        <v>14</v>
      </c>
      <c r="J3" s="26"/>
      <c r="K3" s="27"/>
      <c r="L3" s="27"/>
      <c r="M3" s="27"/>
      <c r="N3" s="27"/>
      <c r="O3" s="27"/>
      <c r="P3" s="27"/>
      <c r="Q3" s="27"/>
      <c r="R3" s="27"/>
      <c r="S3" s="28" t="s">
        <v>15</v>
      </c>
      <c r="T3" s="29">
        <v>2</v>
      </c>
      <c r="U3" s="29">
        <v>3</v>
      </c>
      <c r="V3" s="29">
        <v>4</v>
      </c>
      <c r="W3" s="29">
        <v>5</v>
      </c>
      <c r="X3" s="29">
        <v>6</v>
      </c>
      <c r="Y3" s="29">
        <v>7</v>
      </c>
      <c r="Z3" s="29">
        <v>8</v>
      </c>
      <c r="AA3" s="29">
        <v>9</v>
      </c>
      <c r="AB3" s="29">
        <v>10</v>
      </c>
      <c r="AC3" s="29">
        <v>11</v>
      </c>
      <c r="AD3" s="29">
        <v>12</v>
      </c>
      <c r="AE3" s="29">
        <v>13</v>
      </c>
      <c r="AF3" s="29">
        <v>14</v>
      </c>
      <c r="AG3" s="29">
        <v>15</v>
      </c>
      <c r="AH3" s="29">
        <v>16</v>
      </c>
      <c r="AI3" s="29">
        <v>17</v>
      </c>
      <c r="AJ3" s="29">
        <v>18</v>
      </c>
      <c r="AK3" s="29">
        <v>19</v>
      </c>
      <c r="AL3" s="29">
        <v>20</v>
      </c>
      <c r="AM3" s="29">
        <v>21</v>
      </c>
      <c r="AN3" s="29">
        <v>22</v>
      </c>
      <c r="AO3" s="29">
        <v>23</v>
      </c>
      <c r="AP3" s="29">
        <v>24</v>
      </c>
      <c r="AQ3" s="29">
        <v>25</v>
      </c>
      <c r="AR3" s="29">
        <v>26</v>
      </c>
      <c r="AS3" s="29">
        <v>27</v>
      </c>
      <c r="AT3" s="29">
        <v>28</v>
      </c>
      <c r="AU3" s="29">
        <v>29</v>
      </c>
      <c r="AV3" s="29">
        <v>30</v>
      </c>
      <c r="AW3" s="28" t="s">
        <v>16</v>
      </c>
    </row>
    <row r="4" spans="1:68" ht="15.75" customHeight="1" x14ac:dyDescent="0.25">
      <c r="B4" s="211"/>
      <c r="C4" s="212"/>
      <c r="D4" s="213"/>
      <c r="E4" s="213"/>
      <c r="F4" s="213"/>
      <c r="G4" s="213"/>
      <c r="H4" s="214"/>
      <c r="I4" s="30">
        <v>22</v>
      </c>
      <c r="J4" s="30">
        <v>23</v>
      </c>
      <c r="K4" s="30">
        <v>24</v>
      </c>
      <c r="L4" s="30">
        <v>25</v>
      </c>
      <c r="M4" s="30">
        <v>26</v>
      </c>
      <c r="N4" s="30">
        <v>27</v>
      </c>
      <c r="O4" s="30">
        <v>28</v>
      </c>
      <c r="P4" s="30">
        <v>29</v>
      </c>
      <c r="Q4" s="30">
        <v>30</v>
      </c>
      <c r="R4" s="30">
        <v>31</v>
      </c>
      <c r="S4" s="30">
        <v>32</v>
      </c>
      <c r="T4" s="30">
        <v>33</v>
      </c>
      <c r="U4" s="30">
        <v>34</v>
      </c>
      <c r="V4" s="30">
        <v>35</v>
      </c>
      <c r="W4" s="30">
        <v>36</v>
      </c>
      <c r="X4" s="30">
        <v>37</v>
      </c>
      <c r="Y4" s="30">
        <v>38</v>
      </c>
      <c r="Z4" s="30">
        <v>39</v>
      </c>
      <c r="AA4" s="30">
        <v>40</v>
      </c>
      <c r="AB4" s="30">
        <v>41</v>
      </c>
      <c r="AC4" s="30">
        <v>42</v>
      </c>
      <c r="AD4" s="30">
        <v>43</v>
      </c>
      <c r="AE4" s="30">
        <v>44</v>
      </c>
      <c r="AF4" s="30">
        <v>45</v>
      </c>
      <c r="AG4" s="30">
        <v>46</v>
      </c>
      <c r="AH4" s="30">
        <v>47</v>
      </c>
      <c r="AI4" s="30">
        <v>48</v>
      </c>
      <c r="AJ4" s="30">
        <v>49</v>
      </c>
      <c r="AK4" s="30">
        <v>50</v>
      </c>
      <c r="AL4" s="30">
        <v>51</v>
      </c>
      <c r="AM4" s="30">
        <v>52</v>
      </c>
      <c r="AN4" s="30">
        <v>53</v>
      </c>
      <c r="AO4" s="30">
        <v>54</v>
      </c>
      <c r="AP4" s="30">
        <v>55</v>
      </c>
      <c r="AQ4" s="30">
        <v>56</v>
      </c>
      <c r="AR4" s="30">
        <v>57</v>
      </c>
      <c r="AS4" s="30">
        <v>58</v>
      </c>
      <c r="AT4" s="30">
        <v>59</v>
      </c>
      <c r="AU4" s="30">
        <v>60</v>
      </c>
      <c r="AV4" s="30">
        <v>61</v>
      </c>
      <c r="AW4" s="30">
        <v>62</v>
      </c>
      <c r="AX4" s="30">
        <v>63</v>
      </c>
      <c r="AY4" s="30">
        <v>64</v>
      </c>
      <c r="AZ4" s="30">
        <v>65</v>
      </c>
      <c r="BA4" s="30">
        <v>66</v>
      </c>
      <c r="BB4" s="30">
        <v>67</v>
      </c>
      <c r="BC4" s="30">
        <v>68</v>
      </c>
      <c r="BD4" s="30">
        <v>69</v>
      </c>
      <c r="BE4" s="30">
        <v>70</v>
      </c>
      <c r="BF4" s="30">
        <v>71</v>
      </c>
      <c r="BG4" s="30">
        <v>72</v>
      </c>
      <c r="BH4" s="30">
        <v>73</v>
      </c>
      <c r="BI4" s="30">
        <v>74</v>
      </c>
      <c r="BJ4" s="30">
        <v>75</v>
      </c>
      <c r="BK4" s="30">
        <v>76</v>
      </c>
      <c r="BL4" s="30">
        <v>77</v>
      </c>
      <c r="BM4" s="30">
        <v>78</v>
      </c>
      <c r="BN4" s="30">
        <v>79</v>
      </c>
      <c r="BO4" s="30">
        <v>80</v>
      </c>
      <c r="BP4" s="30">
        <v>81</v>
      </c>
    </row>
    <row r="5" spans="1:68" s="31" customFormat="1" x14ac:dyDescent="0.3">
      <c r="B5" s="46" t="str">
        <f>IF(SUMPRODUCT(--(NOT(ISERR(SEARCH({"T","Z"},'CDR Project Planner'!$C5))))),'CDR Project Planner'!B5,"")</f>
        <v>PDR</v>
      </c>
      <c r="C5" s="55" t="str">
        <f>IF(SUMPRODUCT(--(NOT(ISERR(SEARCH({"T","Z"},'CDR Project Planner'!$C5))))),'CDR Project Planner'!C5,"")</f>
        <v>T</v>
      </c>
      <c r="D5" s="55">
        <f>IF(SUMPRODUCT(--(NOT(ISERR(SEARCH({"T","Z"},'CDR Project Planner'!$C5))))),'CDR Project Planner'!D5,"")</f>
        <v>22</v>
      </c>
      <c r="E5" s="55">
        <f>IF(SUMPRODUCT(--(NOT(ISERR(SEARCH({"T","Z"},'CDR Project Planner'!$C5))))),'CDR Project Planner'!E5,"")</f>
        <v>1</v>
      </c>
      <c r="F5" s="55">
        <f>IF(SUMPRODUCT(--(NOT(ISERR(SEARCH({"T","Z"},'CDR Project Planner'!$C5))))),'CDR Project Planner'!F5,"")</f>
        <v>22</v>
      </c>
      <c r="G5" s="55">
        <f>IF(SUMPRODUCT(--(NOT(ISERR(SEARCH({"T","Z"},'CDR Project Planner'!$C5))))),'CDR Project Planner'!G5,"")</f>
        <v>1</v>
      </c>
      <c r="H5" s="58">
        <f>IF(SUMPRODUCT(--(NOT(ISERR(SEARCH({"T","Z"},'CDR Project Planner'!$C5))))),'CDR Project Planner'!H5,"")</f>
        <v>1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</row>
    <row r="6" spans="1:68" x14ac:dyDescent="0.3">
      <c r="B6" s="42" t="str">
        <f>IF(SUMPRODUCT(--(NOT(ISERR(SEARCH({"T","Z"},'CDR Project Planner'!$C6))))),'CDR Project Planner'!B6,"")</f>
        <v/>
      </c>
      <c r="C6" s="43" t="str">
        <f>IF(SUMPRODUCT(--(NOT(ISERR(SEARCH({"T","Z"},'CDR Project Planner'!$C6))))),'CDR Project Planner'!C6,"")</f>
        <v/>
      </c>
      <c r="D6" s="43" t="str">
        <f>IF(SUMPRODUCT(--(NOT(ISERR(SEARCH({"T","Z"},'CDR Project Planner'!$C6))))),'CDR Project Planner'!D6,"")</f>
        <v/>
      </c>
      <c r="E6" s="43" t="str">
        <f>IF(SUMPRODUCT(--(NOT(ISERR(SEARCH({"T","Z"},'CDR Project Planner'!$C6))))),'CDR Project Planner'!E6,"")</f>
        <v/>
      </c>
      <c r="F6" s="43" t="str">
        <f>IF(SUMPRODUCT(--(NOT(ISERR(SEARCH({"T","Z"},'CDR Project Planner'!$C6))))),'CDR Project Planner'!F6,"")</f>
        <v/>
      </c>
      <c r="G6" s="43" t="str">
        <f>IF(SUMPRODUCT(--(NOT(ISERR(SEARCH({"T","Z"},'CDR Project Planner'!$C6))))),'CDR Project Planner'!G6,"")</f>
        <v/>
      </c>
      <c r="H6" s="58" t="str">
        <f>IF(SUMPRODUCT(--(NOT(ISERR(SEARCH({"T","Z"},'CDR Project Planner'!$C6))))),'CDR Project Planner'!H6,"")</f>
        <v/>
      </c>
    </row>
    <row r="7" spans="1:68" s="4" customFormat="1" outlineLevel="1" x14ac:dyDescent="0.3">
      <c r="A7" s="1"/>
      <c r="B7" s="42" t="str">
        <f>IF(SUMPRODUCT(--(NOT(ISERR(SEARCH({"T","Z"},'CDR Project Planner'!$C7))))),'CDR Project Planner'!B7,"")</f>
        <v/>
      </c>
      <c r="C7" s="43" t="str">
        <f>IF(SUMPRODUCT(--(NOT(ISERR(SEARCH({"T","Z"},'CDR Project Planner'!$C7))))),'CDR Project Planner'!C7,"")</f>
        <v/>
      </c>
      <c r="D7" s="43" t="str">
        <f>IF(SUMPRODUCT(--(NOT(ISERR(SEARCH({"T","Z"},'CDR Project Planner'!$C7))))),'CDR Project Planner'!D7,"")</f>
        <v/>
      </c>
      <c r="E7" s="43" t="str">
        <f>IF(SUMPRODUCT(--(NOT(ISERR(SEARCH({"T","Z"},'CDR Project Planner'!$C7))))),'CDR Project Planner'!E7,"")</f>
        <v/>
      </c>
      <c r="F7" s="43" t="str">
        <f>IF(SUMPRODUCT(--(NOT(ISERR(SEARCH({"T","Z"},'CDR Project Planner'!$C7))))),'CDR Project Planner'!F7,"")</f>
        <v/>
      </c>
      <c r="G7" s="43" t="str">
        <f>IF(SUMPRODUCT(--(NOT(ISERR(SEARCH({"T","Z"},'CDR Project Planner'!$C7))))),'CDR Project Planner'!G7,"")</f>
        <v/>
      </c>
      <c r="H7" s="58" t="str">
        <f>IF(SUMPRODUCT(--(NOT(ISERR(SEARCH({"T","Z"},'CDR Project Planner'!$C7))))),'CDR Project Planner'!H7,"")</f>
        <v/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</row>
    <row r="8" spans="1:68" s="4" customFormat="1" outlineLevel="1" x14ac:dyDescent="0.3">
      <c r="A8" s="1"/>
      <c r="B8" s="42" t="str">
        <f>IF(SUMPRODUCT(--(NOT(ISERR(SEARCH({"T","Z"},'CDR Project Planner'!$C8))))),'CDR Project Planner'!B8,"")</f>
        <v/>
      </c>
      <c r="C8" s="43" t="str">
        <f>IF(SUMPRODUCT(--(NOT(ISERR(SEARCH({"T","Z"},'CDR Project Planner'!$C8))))),'CDR Project Planner'!C8,"")</f>
        <v/>
      </c>
      <c r="D8" s="43" t="str">
        <f>IF(SUMPRODUCT(--(NOT(ISERR(SEARCH({"T","Z"},'CDR Project Planner'!$C8))))),'CDR Project Planner'!D8,"")</f>
        <v/>
      </c>
      <c r="E8" s="43" t="str">
        <f>IF(SUMPRODUCT(--(NOT(ISERR(SEARCH({"T","Z"},'CDR Project Planner'!$C8))))),'CDR Project Planner'!E8,"")</f>
        <v/>
      </c>
      <c r="F8" s="43" t="str">
        <f>IF(SUMPRODUCT(--(NOT(ISERR(SEARCH({"T","Z"},'CDR Project Planner'!$C8))))),'CDR Project Planner'!F8,"")</f>
        <v/>
      </c>
      <c r="G8" s="43" t="str">
        <f>IF(SUMPRODUCT(--(NOT(ISERR(SEARCH({"T","Z"},'CDR Project Planner'!$C8))))),'CDR Project Planner'!G8,"")</f>
        <v/>
      </c>
      <c r="H8" s="58" t="str">
        <f>IF(SUMPRODUCT(--(NOT(ISERR(SEARCH({"T","Z"},'CDR Project Planner'!$C8))))),'CDR Project Planner'!H8,"")</f>
        <v/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</row>
    <row r="9" spans="1:68" s="4" customFormat="1" outlineLevel="1" x14ac:dyDescent="0.3">
      <c r="A9" s="1"/>
      <c r="B9" s="42" t="str">
        <f>IF(SUMPRODUCT(--(NOT(ISERR(SEARCH({"T","Z"},'CDR Project Planner'!$C9))))),'CDR Project Planner'!B9,"")</f>
        <v/>
      </c>
      <c r="C9" s="43" t="str">
        <f>IF(SUMPRODUCT(--(NOT(ISERR(SEARCH({"T","Z"},'CDR Project Planner'!$C9))))),'CDR Project Planner'!C9,"")</f>
        <v/>
      </c>
      <c r="D9" s="43" t="str">
        <f>IF(SUMPRODUCT(--(NOT(ISERR(SEARCH({"T","Z"},'CDR Project Planner'!$C9))))),'CDR Project Planner'!D9,"")</f>
        <v/>
      </c>
      <c r="E9" s="43" t="str">
        <f>IF(SUMPRODUCT(--(NOT(ISERR(SEARCH({"T","Z"},'CDR Project Planner'!$C9))))),'CDR Project Planner'!E9,"")</f>
        <v/>
      </c>
      <c r="F9" s="43" t="str">
        <f>IF(SUMPRODUCT(--(NOT(ISERR(SEARCH({"T","Z"},'CDR Project Planner'!$C9))))),'CDR Project Planner'!F9,"")</f>
        <v/>
      </c>
      <c r="G9" s="43" t="str">
        <f>IF(SUMPRODUCT(--(NOT(ISERR(SEARCH({"T","Z"},'CDR Project Planner'!$C9))))),'CDR Project Planner'!G9,"")</f>
        <v/>
      </c>
      <c r="H9" s="58" t="str">
        <f>IF(SUMPRODUCT(--(NOT(ISERR(SEARCH({"T","Z"},'CDR Project Planner'!$C9))))),'CDR Project Planner'!H9,"")</f>
        <v/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</row>
    <row r="10" spans="1:68" s="4" customFormat="1" x14ac:dyDescent="0.3">
      <c r="A10" s="1"/>
      <c r="B10" s="42" t="str">
        <f>IF(SUMPRODUCT(--(NOT(ISERR(SEARCH({"T","Z"},'CDR Project Planner'!$C10))))),'CDR Project Planner'!B10,"")</f>
        <v/>
      </c>
      <c r="C10" s="43" t="str">
        <f>IF(SUMPRODUCT(--(NOT(ISERR(SEARCH({"T","Z"},'CDR Project Planner'!$C10))))),'CDR Project Planner'!C10,"")</f>
        <v/>
      </c>
      <c r="D10" s="43" t="str">
        <f>IF(SUMPRODUCT(--(NOT(ISERR(SEARCH({"T","Z"},'CDR Project Planner'!$C10))))),'CDR Project Planner'!D10,"")</f>
        <v/>
      </c>
      <c r="E10" s="43" t="str">
        <f>IF(SUMPRODUCT(--(NOT(ISERR(SEARCH({"T","Z"},'CDR Project Planner'!$C10))))),'CDR Project Planner'!E10,"")</f>
        <v/>
      </c>
      <c r="F10" s="43" t="str">
        <f>IF(SUMPRODUCT(--(NOT(ISERR(SEARCH({"T","Z"},'CDR Project Planner'!$C10))))),'CDR Project Planner'!F10,"")</f>
        <v/>
      </c>
      <c r="G10" s="43" t="str">
        <f>IF(SUMPRODUCT(--(NOT(ISERR(SEARCH({"T","Z"},'CDR Project Planner'!$C10))))),'CDR Project Planner'!G10,"")</f>
        <v/>
      </c>
      <c r="H10" s="58" t="str">
        <f>IF(SUMPRODUCT(--(NOT(ISERR(SEARCH({"T","Z"},'CDR Project Planner'!$C10))))),'CDR Project Planner'!H10,"")</f>
        <v/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</row>
    <row r="11" spans="1:68" s="4" customFormat="1" x14ac:dyDescent="0.3">
      <c r="A11" s="1"/>
      <c r="B11" s="42" t="str">
        <f>IF(SUMPRODUCT(--(NOT(ISERR(SEARCH({"T","Z"},'CDR Project Planner'!#REF!))))),'CDR Project Planner'!#REF!,"")</f>
        <v/>
      </c>
      <c r="C11" s="43" t="str">
        <f>IF(SUMPRODUCT(--(NOT(ISERR(SEARCH({"T","Z"},'CDR Project Planner'!#REF!))))),'CDR Project Planner'!#REF!,"")</f>
        <v/>
      </c>
      <c r="D11" s="43" t="str">
        <f>IF(SUMPRODUCT(--(NOT(ISERR(SEARCH({"T","Z"},'CDR Project Planner'!#REF!))))),'CDR Project Planner'!#REF!,"")</f>
        <v/>
      </c>
      <c r="E11" s="43" t="str">
        <f>IF(SUMPRODUCT(--(NOT(ISERR(SEARCH({"T","Z"},'CDR Project Planner'!#REF!))))),'CDR Project Planner'!#REF!,"")</f>
        <v/>
      </c>
      <c r="F11" s="43" t="str">
        <f>IF(SUMPRODUCT(--(NOT(ISERR(SEARCH({"T","Z"},'CDR Project Planner'!#REF!))))),'CDR Project Planner'!#REF!,"")</f>
        <v/>
      </c>
      <c r="G11" s="43" t="str">
        <f>IF(SUMPRODUCT(--(NOT(ISERR(SEARCH({"T","Z"},'CDR Project Planner'!#REF!))))),'CDR Project Planner'!#REF!,"")</f>
        <v/>
      </c>
      <c r="H11" s="58" t="str">
        <f>IF(SUMPRODUCT(--(NOT(ISERR(SEARCH({"T","Z"},'CDR Project Planner'!#REF!))))),'CDR Project Planner'!#REF!,"")</f>
        <v/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</row>
    <row r="12" spans="1:68" s="4" customFormat="1" x14ac:dyDescent="0.3">
      <c r="A12" s="1"/>
      <c r="B12" s="42" t="str">
        <f>IF(SUMPRODUCT(--(NOT(ISERR(SEARCH({"T","Z"},'CDR Project Planner'!$C11))))),'CDR Project Planner'!B11,"")</f>
        <v/>
      </c>
      <c r="C12" s="43" t="str">
        <f>IF(SUMPRODUCT(--(NOT(ISERR(SEARCH({"T","Z"},'CDR Project Planner'!$C11))))),'CDR Project Planner'!C11,"")</f>
        <v/>
      </c>
      <c r="D12" s="43" t="str">
        <f>IF(SUMPRODUCT(--(NOT(ISERR(SEARCH({"T","Z"},'CDR Project Planner'!$C11))))),'CDR Project Planner'!D11,"")</f>
        <v/>
      </c>
      <c r="E12" s="43" t="str">
        <f>IF(SUMPRODUCT(--(NOT(ISERR(SEARCH({"T","Z"},'CDR Project Planner'!$C11))))),'CDR Project Planner'!E11,"")</f>
        <v/>
      </c>
      <c r="F12" s="43" t="str">
        <f>IF(SUMPRODUCT(--(NOT(ISERR(SEARCH({"T","Z"},'CDR Project Planner'!$C11))))),'CDR Project Planner'!F11,"")</f>
        <v/>
      </c>
      <c r="G12" s="43" t="str">
        <f>IF(SUMPRODUCT(--(NOT(ISERR(SEARCH({"T","Z"},'CDR Project Planner'!$C11))))),'CDR Project Planner'!G11,"")</f>
        <v/>
      </c>
      <c r="H12" s="58" t="str">
        <f>IF(SUMPRODUCT(--(NOT(ISERR(SEARCH({"T","Z"},'CDR Project Planner'!$C11))))),'CDR Project Planner'!H11,"")</f>
        <v/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</row>
    <row r="13" spans="1:68" s="4" customFormat="1" x14ac:dyDescent="0.3">
      <c r="A13" s="1"/>
      <c r="B13" s="42" t="str">
        <f>IF(SUMPRODUCT(--(NOT(ISERR(SEARCH({"T","Z"},'CDR Project Planner'!$C14))))),'CDR Project Planner'!B14,"")</f>
        <v xml:space="preserve">   Calibration - Python</v>
      </c>
      <c r="C13" s="43" t="str">
        <f>IF(SUMPRODUCT(--(NOT(ISERR(SEARCH({"T","Z"},'CDR Project Planner'!$C14))))),'CDR Project Planner'!C14,"")</f>
        <v>C &amp; Z</v>
      </c>
      <c r="D13" s="43">
        <f>IF(SUMPRODUCT(--(NOT(ISERR(SEARCH({"T","Z"},'CDR Project Planner'!$C14))))),'CDR Project Planner'!D14,"")</f>
        <v>31</v>
      </c>
      <c r="E13" s="43">
        <f>IF(SUMPRODUCT(--(NOT(ISERR(SEARCH({"T","Z"},'CDR Project Planner'!$C14))))),'CDR Project Planner'!E14,"")</f>
        <v>7</v>
      </c>
      <c r="F13" s="43">
        <f>IF(SUMPRODUCT(--(NOT(ISERR(SEARCH({"T","Z"},'CDR Project Planner'!$C14))))),'CDR Project Planner'!F14,"")</f>
        <v>0</v>
      </c>
      <c r="G13" s="43">
        <f>IF(SUMPRODUCT(--(NOT(ISERR(SEARCH({"T","Z"},'CDR Project Planner'!$C14))))),'CDR Project Planner'!G14,"")</f>
        <v>0</v>
      </c>
      <c r="H13" s="58">
        <f>IF(SUMPRODUCT(--(NOT(ISERR(SEARCH({"T","Z"},'CDR Project Planner'!$C14))))),'CDR Project Planner'!H14,"")</f>
        <v>0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</row>
    <row r="14" spans="1:68" s="4" customFormat="1" ht="15" x14ac:dyDescent="0.25">
      <c r="A14" s="1"/>
      <c r="B14" s="42" t="str">
        <f>IF(SUMPRODUCT(--(NOT(ISERR(SEARCH({"T","Z"},'CDR Project Planner'!$C15))))),'CDR Project Planner'!B15,"")</f>
        <v/>
      </c>
      <c r="C14" s="43" t="str">
        <f>IF(SUMPRODUCT(--(NOT(ISERR(SEARCH({"T","Z"},'CDR Project Planner'!$C15))))),'CDR Project Planner'!C15,"")</f>
        <v/>
      </c>
      <c r="D14" s="43" t="str">
        <f>IF(SUMPRODUCT(--(NOT(ISERR(SEARCH({"T","Z"},'CDR Project Planner'!$C15))))),'CDR Project Planner'!D15,"")</f>
        <v/>
      </c>
      <c r="E14" s="43" t="str">
        <f>IF(SUMPRODUCT(--(NOT(ISERR(SEARCH({"T","Z"},'CDR Project Planner'!$C15))))),'CDR Project Planner'!E15,"")</f>
        <v/>
      </c>
      <c r="F14" s="43" t="str">
        <f>IF(SUMPRODUCT(--(NOT(ISERR(SEARCH({"T","Z"},'CDR Project Planner'!$C15))))),'CDR Project Planner'!F15,"")</f>
        <v/>
      </c>
      <c r="G14" s="43" t="str">
        <f>IF(SUMPRODUCT(--(NOT(ISERR(SEARCH({"T","Z"},'CDR Project Planner'!$C15))))),'CDR Project Planner'!G15,"")</f>
        <v/>
      </c>
      <c r="H14" s="59" t="str">
        <f>IF(SUMPRODUCT(--(NOT(ISERR(SEARCH({"T","Z"},'CDR Project Planner'!$C15))))),'CDR Project Planner'!H15,"")</f>
        <v/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</row>
    <row r="15" spans="1:68" s="4" customFormat="1" ht="15" x14ac:dyDescent="0.25">
      <c r="A15" s="1"/>
      <c r="B15" s="42" t="str">
        <f>IF(SUMPRODUCT(--(NOT(ISERR(SEARCH({"T","Z"},'CDR Project Planner'!$C16))))),'CDR Project Planner'!B16,"")</f>
        <v/>
      </c>
      <c r="C15" s="43" t="str">
        <f>IF(SUMPRODUCT(--(NOT(ISERR(SEARCH({"T","Z"},'CDR Project Planner'!$C16))))),'CDR Project Planner'!C16,"")</f>
        <v/>
      </c>
      <c r="D15" s="43" t="str">
        <f>IF(SUMPRODUCT(--(NOT(ISERR(SEARCH({"T","Z"},'CDR Project Planner'!$C16))))),'CDR Project Planner'!D16,"")</f>
        <v/>
      </c>
      <c r="E15" s="43" t="str">
        <f>IF(SUMPRODUCT(--(NOT(ISERR(SEARCH({"T","Z"},'CDR Project Planner'!$C16))))),'CDR Project Planner'!E16,"")</f>
        <v/>
      </c>
      <c r="F15" s="43" t="str">
        <f>IF(SUMPRODUCT(--(NOT(ISERR(SEARCH({"T","Z"},'CDR Project Planner'!$C16))))),'CDR Project Planner'!F16,"")</f>
        <v/>
      </c>
      <c r="G15" s="43" t="str">
        <f>IF(SUMPRODUCT(--(NOT(ISERR(SEARCH({"T","Z"},'CDR Project Planner'!$C16))))),'CDR Project Planner'!G16,"")</f>
        <v/>
      </c>
      <c r="H15" s="59" t="str">
        <f>IF(SUMPRODUCT(--(NOT(ISERR(SEARCH({"T","Z"},'CDR Project Planner'!$C16))))),'CDR Project Planner'!H16,"")</f>
        <v/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</row>
    <row r="16" spans="1:68" s="4" customFormat="1" ht="15" outlineLevel="1" x14ac:dyDescent="0.25">
      <c r="A16" s="1"/>
      <c r="B16" s="42" t="str">
        <f>IF(SUMPRODUCT(--(NOT(ISERR(SEARCH({"T","Z"},'CDR Project Planner'!$C17))))),'CDR Project Planner'!B17,"")</f>
        <v/>
      </c>
      <c r="C16" s="43" t="str">
        <f>IF(SUMPRODUCT(--(NOT(ISERR(SEARCH({"T","Z"},'CDR Project Planner'!$C17))))),'CDR Project Planner'!C17,"")</f>
        <v/>
      </c>
      <c r="D16" s="43" t="str">
        <f>IF(SUMPRODUCT(--(NOT(ISERR(SEARCH({"T","Z"},'CDR Project Planner'!$C17))))),'CDR Project Planner'!D17,"")</f>
        <v/>
      </c>
      <c r="E16" s="43" t="str">
        <f>IF(SUMPRODUCT(--(NOT(ISERR(SEARCH({"T","Z"},'CDR Project Planner'!$C17))))),'CDR Project Planner'!E17,"")</f>
        <v/>
      </c>
      <c r="F16" s="43" t="str">
        <f>IF(SUMPRODUCT(--(NOT(ISERR(SEARCH({"T","Z"},'CDR Project Planner'!$C17))))),'CDR Project Planner'!F17,"")</f>
        <v/>
      </c>
      <c r="G16" s="43" t="str">
        <f>IF(SUMPRODUCT(--(NOT(ISERR(SEARCH({"T","Z"},'CDR Project Planner'!$C17))))),'CDR Project Planner'!G17,"")</f>
        <v/>
      </c>
      <c r="H16" s="59" t="str">
        <f>IF(SUMPRODUCT(--(NOT(ISERR(SEARCH({"T","Z"},'CDR Project Planner'!$C17))))),'CDR Project Planner'!H17,"")</f>
        <v/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</row>
    <row r="17" spans="1:68" s="4" customFormat="1" ht="15" outlineLevel="1" x14ac:dyDescent="0.25">
      <c r="A17" s="1"/>
      <c r="B17" s="42" t="str">
        <f>IF(SUMPRODUCT(--(NOT(ISERR(SEARCH({"T","Z"},'CDR Project Planner'!$C18))))),'CDR Project Planner'!B18,"")</f>
        <v/>
      </c>
      <c r="C17" s="43" t="str">
        <f>IF(SUMPRODUCT(--(NOT(ISERR(SEARCH({"T","Z"},'CDR Project Planner'!$C18))))),'CDR Project Planner'!C18,"")</f>
        <v/>
      </c>
      <c r="D17" s="43" t="str">
        <f>IF(SUMPRODUCT(--(NOT(ISERR(SEARCH({"T","Z"},'CDR Project Planner'!$C18))))),'CDR Project Planner'!D18,"")</f>
        <v/>
      </c>
      <c r="E17" s="43" t="str">
        <f>IF(SUMPRODUCT(--(NOT(ISERR(SEARCH({"T","Z"},'CDR Project Planner'!$C18))))),'CDR Project Planner'!E18,"")</f>
        <v/>
      </c>
      <c r="F17" s="43" t="str">
        <f>IF(SUMPRODUCT(--(NOT(ISERR(SEARCH({"T","Z"},'CDR Project Planner'!$C18))))),'CDR Project Planner'!F18,"")</f>
        <v/>
      </c>
      <c r="G17" s="43" t="str">
        <f>IF(SUMPRODUCT(--(NOT(ISERR(SEARCH({"T","Z"},'CDR Project Planner'!$C18))))),'CDR Project Planner'!G18,"")</f>
        <v/>
      </c>
      <c r="H17" s="59" t="str">
        <f>IF(SUMPRODUCT(--(NOT(ISERR(SEARCH({"T","Z"},'CDR Project Planner'!$C18))))),'CDR Project Planner'!H18,"")</f>
        <v/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</row>
    <row r="18" spans="1:68" s="4" customFormat="1" ht="15" outlineLevel="1" x14ac:dyDescent="0.25">
      <c r="A18" s="1"/>
      <c r="B18" s="42" t="str">
        <f>IF(SUMPRODUCT(--(NOT(ISERR(SEARCH({"T","Z"},'CDR Project Planner'!$C19))))),'CDR Project Planner'!B19,"")</f>
        <v/>
      </c>
      <c r="C18" s="43" t="str">
        <f>IF(SUMPRODUCT(--(NOT(ISERR(SEARCH({"T","Z"},'CDR Project Planner'!$C19))))),'CDR Project Planner'!C19,"")</f>
        <v/>
      </c>
      <c r="D18" s="43" t="str">
        <f>IF(SUMPRODUCT(--(NOT(ISERR(SEARCH({"T","Z"},'CDR Project Planner'!$C19))))),'CDR Project Planner'!D19,"")</f>
        <v/>
      </c>
      <c r="E18" s="43" t="str">
        <f>IF(SUMPRODUCT(--(NOT(ISERR(SEARCH({"T","Z"},'CDR Project Planner'!$C19))))),'CDR Project Planner'!E19,"")</f>
        <v/>
      </c>
      <c r="F18" s="43" t="str">
        <f>IF(SUMPRODUCT(--(NOT(ISERR(SEARCH({"T","Z"},'CDR Project Planner'!$C19))))),'CDR Project Planner'!F19,"")</f>
        <v/>
      </c>
      <c r="G18" s="43" t="str">
        <f>IF(SUMPRODUCT(--(NOT(ISERR(SEARCH({"T","Z"},'CDR Project Planner'!$C19))))),'CDR Project Planner'!G19,"")</f>
        <v/>
      </c>
      <c r="H18" s="59" t="str">
        <f>IF(SUMPRODUCT(--(NOT(ISERR(SEARCH({"T","Z"},'CDR Project Planner'!$C19))))),'CDR Project Planner'!H19,"")</f>
        <v/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</row>
    <row r="19" spans="1:68" s="4" customFormat="1" ht="15" outlineLevel="1" x14ac:dyDescent="0.25">
      <c r="A19" s="1"/>
      <c r="B19" s="42" t="str">
        <f>IF(SUMPRODUCT(--(NOT(ISERR(SEARCH({"T","Z"},'CDR Project Planner'!#REF!))))),'CDR Project Planner'!#REF!,"")</f>
        <v/>
      </c>
      <c r="C19" s="43" t="str">
        <f>IF(SUMPRODUCT(--(NOT(ISERR(SEARCH({"T","Z"},'CDR Project Planner'!#REF!))))),'CDR Project Planner'!#REF!,"")</f>
        <v/>
      </c>
      <c r="D19" s="43" t="str">
        <f>IF(SUMPRODUCT(--(NOT(ISERR(SEARCH({"T","Z"},'CDR Project Planner'!#REF!))))),'CDR Project Planner'!#REF!,"")</f>
        <v/>
      </c>
      <c r="E19" s="43" t="str">
        <f>IF(SUMPRODUCT(--(NOT(ISERR(SEARCH({"T","Z"},'CDR Project Planner'!#REF!))))),'CDR Project Planner'!#REF!,"")</f>
        <v/>
      </c>
      <c r="F19" s="43" t="str">
        <f>IF(SUMPRODUCT(--(NOT(ISERR(SEARCH({"T","Z"},'CDR Project Planner'!#REF!))))),'CDR Project Planner'!#REF!,"")</f>
        <v/>
      </c>
      <c r="G19" s="43" t="str">
        <f>IF(SUMPRODUCT(--(NOT(ISERR(SEARCH({"T","Z"},'CDR Project Planner'!#REF!))))),'CDR Project Planner'!#REF!,"")</f>
        <v/>
      </c>
      <c r="H19" s="59" t="str">
        <f>IF(SUMPRODUCT(--(NOT(ISERR(SEARCH({"T","Z"},'CDR Project Planner'!#REF!))))),'CDR Project Planner'!#REF!,"")</f>
        <v/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</row>
    <row r="20" spans="1:68" s="4" customFormat="1" ht="15" outlineLevel="1" x14ac:dyDescent="0.25">
      <c r="A20" s="1"/>
      <c r="B20" s="42" t="str">
        <f>IF(SUMPRODUCT(--(NOT(ISERR(SEARCH({"T","Z"},'CDR Project Planner'!#REF!))))),'CDR Project Planner'!#REF!,"")</f>
        <v/>
      </c>
      <c r="C20" s="43" t="str">
        <f>IF(SUMPRODUCT(--(NOT(ISERR(SEARCH({"T","Z"},'CDR Project Planner'!#REF!))))),'CDR Project Planner'!#REF!,"")</f>
        <v/>
      </c>
      <c r="D20" s="43" t="str">
        <f>IF(SUMPRODUCT(--(NOT(ISERR(SEARCH({"T","Z"},'CDR Project Planner'!#REF!))))),'CDR Project Planner'!#REF!,"")</f>
        <v/>
      </c>
      <c r="E20" s="43" t="str">
        <f>IF(SUMPRODUCT(--(NOT(ISERR(SEARCH({"T","Z"},'CDR Project Planner'!#REF!))))),'CDR Project Planner'!#REF!,"")</f>
        <v/>
      </c>
      <c r="F20" s="43" t="str">
        <f>IF(SUMPRODUCT(--(NOT(ISERR(SEARCH({"T","Z"},'CDR Project Planner'!#REF!))))),'CDR Project Planner'!#REF!,"")</f>
        <v/>
      </c>
      <c r="G20" s="43" t="str">
        <f>IF(SUMPRODUCT(--(NOT(ISERR(SEARCH({"T","Z"},'CDR Project Planner'!#REF!))))),'CDR Project Planner'!#REF!,"")</f>
        <v/>
      </c>
      <c r="H20" s="59" t="str">
        <f>IF(SUMPRODUCT(--(NOT(ISERR(SEARCH({"T","Z"},'CDR Project Planner'!#REF!))))),'CDR Project Planner'!#REF!,"")</f>
        <v/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</row>
    <row r="21" spans="1:68" s="4" customFormat="1" x14ac:dyDescent="0.3">
      <c r="A21" s="1"/>
      <c r="B21" s="50" t="str">
        <f>IF(SUMPRODUCT(--(NOT(ISERR(SEARCH({"T","Z"},'CDR Project Planner'!$C21))))),'CDR Project Planner'!B21,"")</f>
        <v>Python</v>
      </c>
      <c r="C21" s="43" t="str">
        <f>IF(SUMPRODUCT(--(NOT(ISERR(SEARCH({"T","Z"},'CDR Project Planner'!$C21))))),'CDR Project Planner'!C21,"")</f>
        <v>C &amp; Z</v>
      </c>
      <c r="D21" s="43"/>
      <c r="E21" s="43"/>
      <c r="F21" s="43"/>
      <c r="G21" s="43"/>
      <c r="H21" s="58">
        <f>IF(SUMPRODUCT(--(NOT(ISERR(SEARCH({"T","Z"},'CDR Project Planner'!$C21))))),'CDR Project Planner'!H21,"")</f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</row>
    <row r="22" spans="1:68" s="4" customFormat="1" x14ac:dyDescent="0.3">
      <c r="A22" s="1"/>
      <c r="B22" s="51" t="str">
        <f>IF(SUMPRODUCT(--(NOT(ISERR(SEARCH({"T","Z"},'CDR Project Planner'!$C22))))),'CDR Project Planner'!B22,"")</f>
        <v>GUI - Create camera feed</v>
      </c>
      <c r="C22" s="43" t="str">
        <f>IF(SUMPRODUCT(--(NOT(ISERR(SEARCH({"T","Z"},'CDR Project Planner'!$C22))))),'CDR Project Planner'!C22,"")</f>
        <v>Z</v>
      </c>
      <c r="D22" s="43">
        <f>IF(SUMPRODUCT(--(NOT(ISERR(SEARCH({"T","Z"},'CDR Project Planner'!$C22))))),'CDR Project Planner'!D22,"")</f>
        <v>23</v>
      </c>
      <c r="E22" s="43">
        <f>IF(SUMPRODUCT(--(NOT(ISERR(SEARCH({"T","Z"},'CDR Project Planner'!$C22))))),'CDR Project Planner'!E22,"")</f>
        <v>10</v>
      </c>
      <c r="F22" s="43">
        <f>IF(SUMPRODUCT(--(NOT(ISERR(SEARCH({"T","Z"},'CDR Project Planner'!$C22))))),'CDR Project Planner'!F22,"")</f>
        <v>0</v>
      </c>
      <c r="G22" s="43">
        <f>IF(SUMPRODUCT(--(NOT(ISERR(SEARCH({"T","Z"},'CDR Project Planner'!$C22))))),'CDR Project Planner'!G22,"")</f>
        <v>0</v>
      </c>
      <c r="H22" s="58">
        <f>IF(SUMPRODUCT(--(NOT(ISERR(SEARCH({"T","Z"},'CDR Project Planner'!$C22))))),'CDR Project Planner'!H22,"")</f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</row>
    <row r="23" spans="1:68" s="4" customFormat="1" x14ac:dyDescent="0.3">
      <c r="A23" s="1"/>
      <c r="B23" s="51" t="str">
        <f>IF(SUMPRODUCT(--(NOT(ISERR(SEARCH({"T","Z"},'CDR Project Planner'!$C23))))),'CDR Project Planner'!B23,"")</f>
        <v/>
      </c>
      <c r="C23" s="43" t="str">
        <f>IF(SUMPRODUCT(--(NOT(ISERR(SEARCH({"T","Z"},'CDR Project Planner'!$C23))))),'CDR Project Planner'!C23,"")</f>
        <v/>
      </c>
      <c r="D23" s="43" t="str">
        <f>IF(SUMPRODUCT(--(NOT(ISERR(SEARCH({"T","Z"},'CDR Project Planner'!$C23))))),'CDR Project Planner'!D23,"")</f>
        <v/>
      </c>
      <c r="E23" s="43" t="str">
        <f>IF(SUMPRODUCT(--(NOT(ISERR(SEARCH({"T","Z"},'CDR Project Planner'!$C23))))),'CDR Project Planner'!E23,"")</f>
        <v/>
      </c>
      <c r="F23" s="43" t="str">
        <f>IF(SUMPRODUCT(--(NOT(ISERR(SEARCH({"T","Z"},'CDR Project Planner'!$C23))))),'CDR Project Planner'!F23,"")</f>
        <v/>
      </c>
      <c r="G23" s="43" t="str">
        <f>IF(SUMPRODUCT(--(NOT(ISERR(SEARCH({"T","Z"},'CDR Project Planner'!$C23))))),'CDR Project Planner'!G23,"")</f>
        <v/>
      </c>
      <c r="H23" s="58" t="str">
        <f>IF(SUMPRODUCT(--(NOT(ISERR(SEARCH({"T","Z"},'CDR Project Planner'!$C23))))),'CDR Project Planner'!H23,"")</f>
        <v/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</row>
    <row r="24" spans="1:68" s="4" customFormat="1" x14ac:dyDescent="0.3">
      <c r="A24" s="1"/>
      <c r="B24" s="51" t="str">
        <f>IF(SUMPRODUCT(--(NOT(ISERR(SEARCH({"T","Z"},'CDR Project Planner'!$C24))))),'CDR Project Planner'!B24,"")</f>
        <v>Create Movement functions</v>
      </c>
      <c r="C24" s="43" t="str">
        <f>IF(SUMPRODUCT(--(NOT(ISERR(SEARCH({"T","Z"},'CDR Project Planner'!$C24))))),'CDR Project Planner'!C24,"")</f>
        <v>Z</v>
      </c>
      <c r="D24" s="43">
        <f>IF(SUMPRODUCT(--(NOT(ISERR(SEARCH({"T","Z"},'CDR Project Planner'!$C24))))),'CDR Project Planner'!D24,"")</f>
        <v>32</v>
      </c>
      <c r="E24" s="43">
        <f>IF(SUMPRODUCT(--(NOT(ISERR(SEARCH({"T","Z"},'CDR Project Planner'!$C24))))),'CDR Project Planner'!E24,"")</f>
        <v>5</v>
      </c>
      <c r="F24" s="43">
        <f>IF(SUMPRODUCT(--(NOT(ISERR(SEARCH({"T","Z"},'CDR Project Planner'!$C24))))),'CDR Project Planner'!F24,"")</f>
        <v>0</v>
      </c>
      <c r="G24" s="43">
        <f>IF(SUMPRODUCT(--(NOT(ISERR(SEARCH({"T","Z"},'CDR Project Planner'!$C24))))),'CDR Project Planner'!G24,"")</f>
        <v>0</v>
      </c>
      <c r="H24" s="58">
        <f>IF(SUMPRODUCT(--(NOT(ISERR(SEARCH({"T","Z"},'CDR Project Planner'!$C24))))),'CDR Project Planner'!H24,"")</f>
        <v>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</row>
    <row r="25" spans="1:68" s="4" customFormat="1" x14ac:dyDescent="0.3">
      <c r="A25" s="1"/>
      <c r="B25" s="51" t="str">
        <f>IF(SUMPRODUCT(--(NOT(ISERR(SEARCH({"T","Z"},'CDR Project Planner'!#REF!))))),'CDR Project Planner'!#REF!,"")</f>
        <v/>
      </c>
      <c r="C25" s="43" t="str">
        <f>IF(SUMPRODUCT(--(NOT(ISERR(SEARCH({"T","Z"},'CDR Project Planner'!#REF!))))),'CDR Project Planner'!#REF!,"")</f>
        <v/>
      </c>
      <c r="D25" s="43" t="str">
        <f>IF(SUMPRODUCT(--(NOT(ISERR(SEARCH({"T","Z"},'CDR Project Planner'!#REF!))))),'CDR Project Planner'!#REF!,"")</f>
        <v/>
      </c>
      <c r="E25" s="43" t="str">
        <f>IF(SUMPRODUCT(--(NOT(ISERR(SEARCH({"T","Z"},'CDR Project Planner'!#REF!))))),'CDR Project Planner'!#REF!,"")</f>
        <v/>
      </c>
      <c r="F25" s="43" t="str">
        <f>IF(SUMPRODUCT(--(NOT(ISERR(SEARCH({"T","Z"},'CDR Project Planner'!#REF!))))),'CDR Project Planner'!#REF!,"")</f>
        <v/>
      </c>
      <c r="G25" s="43" t="str">
        <f>IF(SUMPRODUCT(--(NOT(ISERR(SEARCH({"T","Z"},'CDR Project Planner'!#REF!))))),'CDR Project Planner'!#REF!,"")</f>
        <v/>
      </c>
      <c r="H25" s="58" t="str">
        <f>IF(SUMPRODUCT(--(NOT(ISERR(SEARCH({"T","Z"},'CDR Project Planner'!#REF!))))),'CDR Project Planner'!#REF!,"")</f>
        <v/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</row>
    <row r="26" spans="1:68" s="4" customFormat="1" outlineLevel="1" x14ac:dyDescent="0.3">
      <c r="A26" s="1"/>
      <c r="B26" s="51" t="str">
        <f>IF(SUMPRODUCT(--(NOT(ISERR(SEARCH({"T","Z"},'CDR Project Planner'!$C28))))),'CDR Project Planner'!B28,"")</f>
        <v>Make turning smart with gyro</v>
      </c>
      <c r="C26" s="43" t="str">
        <f>IF(SUMPRODUCT(--(NOT(ISERR(SEARCH({"T","Z"},'CDR Project Planner'!$C28))))),'CDR Project Planner'!C28,"")</f>
        <v>C &amp; Z</v>
      </c>
      <c r="D26" s="43">
        <f>IF(SUMPRODUCT(--(NOT(ISERR(SEARCH({"T","Z"},'CDR Project Planner'!$C28))))),'CDR Project Planner'!D28,"")</f>
        <v>35</v>
      </c>
      <c r="E26" s="43">
        <f>IF(SUMPRODUCT(--(NOT(ISERR(SEARCH({"T","Z"},'CDR Project Planner'!$C28))))),'CDR Project Planner'!E28,"")</f>
        <v>5</v>
      </c>
      <c r="F26" s="43">
        <f>IF(SUMPRODUCT(--(NOT(ISERR(SEARCH({"T","Z"},'CDR Project Planner'!$C28))))),'CDR Project Planner'!F28,"")</f>
        <v>0</v>
      </c>
      <c r="G26" s="43">
        <f>IF(SUMPRODUCT(--(NOT(ISERR(SEARCH({"T","Z"},'CDR Project Planner'!$C28))))),'CDR Project Planner'!G28,"")</f>
        <v>0</v>
      </c>
      <c r="H26" s="58">
        <f>IF(SUMPRODUCT(--(NOT(ISERR(SEARCH({"T","Z"},'CDR Project Planner'!$C28))))),'CDR Project Planner'!H28,"")</f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</row>
    <row r="27" spans="1:68" s="4" customFormat="1" x14ac:dyDescent="0.3">
      <c r="A27" s="1"/>
      <c r="B27" s="50" t="str">
        <f>IF(SUMPRODUCT(--(NOT(ISERR(SEARCH({"T","Z"},'CDR Project Planner'!$C29))))),'CDR Project Planner'!B29,"")</f>
        <v/>
      </c>
      <c r="C27" s="43" t="str">
        <f>IF(SUMPRODUCT(--(NOT(ISERR(SEARCH({"T","Z"},'CDR Project Planner'!$C29))))),'CDR Project Planner'!C29,"")</f>
        <v/>
      </c>
      <c r="D27" s="43"/>
      <c r="E27" s="43"/>
      <c r="F27" s="43"/>
      <c r="G27" s="43"/>
      <c r="H27" s="58" t="str">
        <f>IF(SUMPRODUCT(--(NOT(ISERR(SEARCH({"T","Z"},'CDR Project Planner'!$C29))))),'CDR Project Planner'!H29,"")</f>
        <v/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</row>
    <row r="28" spans="1:68" s="4" customFormat="1" x14ac:dyDescent="0.3">
      <c r="A28" s="1"/>
      <c r="B28" s="51" t="str">
        <f>IF(SUMPRODUCT(--(NOT(ISERR(SEARCH({"T","Z"},'CDR Project Planner'!#REF!))))),'CDR Project Planner'!#REF!,"")</f>
        <v/>
      </c>
      <c r="C28" s="43" t="str">
        <f>IF(SUMPRODUCT(--(NOT(ISERR(SEARCH({"T","Z"},'CDR Project Planner'!#REF!))))),'CDR Project Planner'!#REF!,"")</f>
        <v/>
      </c>
      <c r="D28" s="43" t="str">
        <f>IF(SUMPRODUCT(--(NOT(ISERR(SEARCH({"T","Z"},'CDR Project Planner'!#REF!))))),'CDR Project Planner'!#REF!,"")</f>
        <v/>
      </c>
      <c r="E28" s="43" t="str">
        <f>IF(SUMPRODUCT(--(NOT(ISERR(SEARCH({"T","Z"},'CDR Project Planner'!#REF!))))),'CDR Project Planner'!#REF!,"")</f>
        <v/>
      </c>
      <c r="F28" s="43" t="str">
        <f>IF(SUMPRODUCT(--(NOT(ISERR(SEARCH({"T","Z"},'CDR Project Planner'!#REF!))))),'CDR Project Planner'!#REF!,"")</f>
        <v/>
      </c>
      <c r="G28" s="43" t="str">
        <f>IF(SUMPRODUCT(--(NOT(ISERR(SEARCH({"T","Z"},'CDR Project Planner'!#REF!))))),'CDR Project Planner'!#REF!,"")</f>
        <v/>
      </c>
      <c r="H28" s="58" t="str">
        <f>IF(SUMPRODUCT(--(NOT(ISERR(SEARCH({"T","Z"},'CDR Project Planner'!#REF!))))),'CDR Project Planner'!#REF!,"")</f>
        <v/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</row>
    <row r="29" spans="1:68" s="4" customFormat="1" outlineLevel="1" x14ac:dyDescent="0.3">
      <c r="A29" s="1"/>
      <c r="B29" s="42" t="str">
        <f>IF(SUMPRODUCT(--(NOT(ISERR(SEARCH({"T","Z"},'CDR Project Planner'!$C30))))),'CDR Project Planner'!B30,"")</f>
        <v/>
      </c>
      <c r="C29" s="43" t="str">
        <f>IF(SUMPRODUCT(--(NOT(ISERR(SEARCH({"T","Z"},'CDR Project Planner'!$C30))))),'CDR Project Planner'!C30,"")</f>
        <v/>
      </c>
      <c r="D29" s="43" t="str">
        <f>IF(SUMPRODUCT(--(NOT(ISERR(SEARCH({"T","Z"},'CDR Project Planner'!$C30))))),'CDR Project Planner'!D30,"")</f>
        <v/>
      </c>
      <c r="E29" s="43" t="str">
        <f>IF(SUMPRODUCT(--(NOT(ISERR(SEARCH({"T","Z"},'CDR Project Planner'!$C30))))),'CDR Project Planner'!E30,"")</f>
        <v/>
      </c>
      <c r="F29" s="43" t="str">
        <f>IF(SUMPRODUCT(--(NOT(ISERR(SEARCH({"T","Z"},'CDR Project Planner'!$C30))))),'CDR Project Planner'!F30,"")</f>
        <v/>
      </c>
      <c r="G29" s="43" t="str">
        <f>IF(SUMPRODUCT(--(NOT(ISERR(SEARCH({"T","Z"},'CDR Project Planner'!$C30))))),'CDR Project Planner'!G30,"")</f>
        <v/>
      </c>
      <c r="H29" s="58" t="str">
        <f>IF(SUMPRODUCT(--(NOT(ISERR(SEARCH({"T","Z"},'CDR Project Planner'!$C30))))),'CDR Project Planner'!H30,"")</f>
        <v/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</row>
    <row r="30" spans="1:68" s="4" customFormat="1" outlineLevel="1" x14ac:dyDescent="0.3">
      <c r="A30" s="1"/>
      <c r="B30" s="50" t="str">
        <f>IF(SUMPRODUCT(--(NOT(ISERR(SEARCH({"T","Z"},'CDR Project Planner'!$C35))))),'CDR Project Planner'!B35,"")</f>
        <v>Project Management</v>
      </c>
      <c r="C30" s="43" t="str">
        <f>IF(SUMPRODUCT(--(NOT(ISERR(SEARCH({"T","Z"},'CDR Project Planner'!$C35))))),'CDR Project Planner'!C35,"")</f>
        <v>An &amp; T &amp; ?</v>
      </c>
      <c r="D30" s="43"/>
      <c r="E30" s="43"/>
      <c r="F30" s="43"/>
      <c r="G30" s="43"/>
      <c r="H30" s="58">
        <f>IF(SUMPRODUCT(--(NOT(ISERR(SEARCH({"T","Z"},'CDR Project Planner'!$C35))))),'CDR Project Planner'!H35,"")</f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</row>
    <row r="31" spans="1:68" s="4" customFormat="1" outlineLevel="1" x14ac:dyDescent="0.3">
      <c r="A31" s="1"/>
      <c r="B31" s="42" t="str">
        <f>IF(SUMPRODUCT(--(NOT(ISERR(SEARCH({"T","Z"},'CDR Project Planner'!$C36))))),'CDR Project Planner'!B36,"")</f>
        <v/>
      </c>
      <c r="C31" s="43" t="str">
        <f>IF(SUMPRODUCT(--(NOT(ISERR(SEARCH({"T","Z"},'CDR Project Planner'!$C36))))),'CDR Project Planner'!C36,"")</f>
        <v/>
      </c>
      <c r="D31" s="43" t="str">
        <f>IF(SUMPRODUCT(--(NOT(ISERR(SEARCH({"T","Z"},'CDR Project Planner'!$C36))))),'CDR Project Planner'!D36,"")</f>
        <v/>
      </c>
      <c r="E31" s="43" t="str">
        <f>IF(SUMPRODUCT(--(NOT(ISERR(SEARCH({"T","Z"},'CDR Project Planner'!$C36))))),'CDR Project Planner'!E36,"")</f>
        <v/>
      </c>
      <c r="F31" s="43" t="str">
        <f>IF(SUMPRODUCT(--(NOT(ISERR(SEARCH({"T","Z"},'CDR Project Planner'!$C36))))),'CDR Project Planner'!F36,"")</f>
        <v/>
      </c>
      <c r="G31" s="43" t="str">
        <f>IF(SUMPRODUCT(--(NOT(ISERR(SEARCH({"T","Z"},'CDR Project Planner'!$C36))))),'CDR Project Planner'!G36,"")</f>
        <v/>
      </c>
      <c r="H31" s="58" t="str">
        <f>IF(SUMPRODUCT(--(NOT(ISERR(SEARCH({"T","Z"},'CDR Project Planner'!$C36))))),'CDR Project Planner'!H36,"")</f>
        <v/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</row>
    <row r="32" spans="1:68" s="4" customFormat="1" outlineLevel="1" x14ac:dyDescent="0.3">
      <c r="A32" s="1"/>
      <c r="B32" s="42" t="str">
        <f>IF(SUMPRODUCT(--(NOT(ISERR(SEARCH({"T","Z"},'CDR Project Planner'!$C37))))),'CDR Project Planner'!B37,"")</f>
        <v/>
      </c>
      <c r="C32" s="43" t="str">
        <f>IF(SUMPRODUCT(--(NOT(ISERR(SEARCH({"T","Z"},'CDR Project Planner'!$C37))))),'CDR Project Planner'!C37,"")</f>
        <v/>
      </c>
      <c r="D32" s="43" t="str">
        <f>IF(SUMPRODUCT(--(NOT(ISERR(SEARCH({"T","Z"},'CDR Project Planner'!$C37))))),'CDR Project Planner'!D37,"")</f>
        <v/>
      </c>
      <c r="E32" s="43" t="str">
        <f>IF(SUMPRODUCT(--(NOT(ISERR(SEARCH({"T","Z"},'CDR Project Planner'!$C37))))),'CDR Project Planner'!E37,"")</f>
        <v/>
      </c>
      <c r="F32" s="43" t="str">
        <f>IF(SUMPRODUCT(--(NOT(ISERR(SEARCH({"T","Z"},'CDR Project Planner'!$C37))))),'CDR Project Planner'!F37,"")</f>
        <v/>
      </c>
      <c r="G32" s="43" t="str">
        <f>IF(SUMPRODUCT(--(NOT(ISERR(SEARCH({"T","Z"},'CDR Project Planner'!$C37))))),'CDR Project Planner'!G37,"")</f>
        <v/>
      </c>
      <c r="H32" s="58" t="str">
        <f>IF(SUMPRODUCT(--(NOT(ISERR(SEARCH({"T","Z"},'CDR Project Planner'!$C37))))),'CDR Project Planner'!H37,"")</f>
        <v/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</row>
    <row r="33" spans="1:68" s="4" customFormat="1" outlineLevel="1" x14ac:dyDescent="0.3">
      <c r="A33" s="1"/>
      <c r="B33" s="42" t="str">
        <f>IF(SUMPRODUCT(--(NOT(ISERR(SEARCH({"T","Z"},'CDR Project Planner'!$C38))))),'CDR Project Planner'!B38,"")</f>
        <v/>
      </c>
      <c r="C33" s="43" t="str">
        <f>IF(SUMPRODUCT(--(NOT(ISERR(SEARCH({"T","Z"},'CDR Project Planner'!$C38))))),'CDR Project Planner'!C38,"")</f>
        <v/>
      </c>
      <c r="D33" s="43" t="str">
        <f>IF(SUMPRODUCT(--(NOT(ISERR(SEARCH({"T","Z"},'CDR Project Planner'!$C38))))),'CDR Project Planner'!D38,"")</f>
        <v/>
      </c>
      <c r="E33" s="43" t="str">
        <f>IF(SUMPRODUCT(--(NOT(ISERR(SEARCH({"T","Z"},'CDR Project Planner'!$C38))))),'CDR Project Planner'!E38,"")</f>
        <v/>
      </c>
      <c r="F33" s="43" t="str">
        <f>IF(SUMPRODUCT(--(NOT(ISERR(SEARCH({"T","Z"},'CDR Project Planner'!$C38))))),'CDR Project Planner'!F38,"")</f>
        <v/>
      </c>
      <c r="G33" s="43" t="str">
        <f>IF(SUMPRODUCT(--(NOT(ISERR(SEARCH({"T","Z"},'CDR Project Planner'!$C38))))),'CDR Project Planner'!G38,"")</f>
        <v/>
      </c>
      <c r="H33" s="58" t="str">
        <f>IF(SUMPRODUCT(--(NOT(ISERR(SEARCH({"T","Z"},'CDR Project Planner'!$C38))))),'CDR Project Planner'!H38,"")</f>
        <v/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</row>
    <row r="34" spans="1:68" s="4" customFormat="1" outlineLevel="1" x14ac:dyDescent="0.3">
      <c r="A34" s="1"/>
      <c r="B34" s="42" t="str">
        <f>IF(SUMPRODUCT(--(NOT(ISERR(SEARCH({"T","Z"},'CDR Project Planner'!$C39))))),'CDR Project Planner'!B39,"")</f>
        <v/>
      </c>
      <c r="C34" s="43" t="str">
        <f>IF(SUMPRODUCT(--(NOT(ISERR(SEARCH({"T","Z"},'CDR Project Planner'!$C39))))),'CDR Project Planner'!C39,"")</f>
        <v/>
      </c>
      <c r="D34" s="43" t="str">
        <f>IF(SUMPRODUCT(--(NOT(ISERR(SEARCH({"T","Z"},'CDR Project Planner'!$C39))))),'CDR Project Planner'!D39,"")</f>
        <v/>
      </c>
      <c r="E34" s="43" t="str">
        <f>IF(SUMPRODUCT(--(NOT(ISERR(SEARCH({"T","Z"},'CDR Project Planner'!$C39))))),'CDR Project Planner'!E39,"")</f>
        <v/>
      </c>
      <c r="F34" s="43" t="str">
        <f>IF(SUMPRODUCT(--(NOT(ISERR(SEARCH({"T","Z"},'CDR Project Planner'!$C39))))),'CDR Project Planner'!F39,"")</f>
        <v/>
      </c>
      <c r="G34" s="43" t="str">
        <f>IF(SUMPRODUCT(--(NOT(ISERR(SEARCH({"T","Z"},'CDR Project Planner'!$C39))))),'CDR Project Planner'!G39,"")</f>
        <v/>
      </c>
      <c r="H34" s="58" t="str">
        <f>IF(SUMPRODUCT(--(NOT(ISERR(SEARCH({"T","Z"},'CDR Project Planner'!$C39))))),'CDR Project Planner'!H39,"")</f>
        <v/>
      </c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</row>
    <row r="35" spans="1:68" s="4" customFormat="1" outlineLevel="1" x14ac:dyDescent="0.3">
      <c r="A35" s="1"/>
      <c r="B35" s="51" t="str">
        <f>IF(SUMPRODUCT(--(NOT(ISERR(SEARCH({"T","Z"},'CDR Project Planner'!$C40))))),'CDR Project Planner'!B40,"")</f>
        <v>CDR PowerPoint</v>
      </c>
      <c r="C35" s="43" t="str">
        <f>IF(SUMPRODUCT(--(NOT(ISERR(SEARCH({"T","Z"},'CDR Project Planner'!$C40))))),'CDR Project Planner'!C40,"")</f>
        <v>T</v>
      </c>
      <c r="D35" s="43">
        <f>IF(SUMPRODUCT(--(NOT(ISERR(SEARCH({"T","Z"},'CDR Project Planner'!$C40))))),'CDR Project Planner'!D40,"")</f>
        <v>45</v>
      </c>
      <c r="E35" s="43">
        <f>IF(SUMPRODUCT(--(NOT(ISERR(SEARCH({"T","Z"},'CDR Project Planner'!$C40))))),'CDR Project Planner'!E40,"")</f>
        <v>10</v>
      </c>
      <c r="F35" s="43">
        <f>IF(SUMPRODUCT(--(NOT(ISERR(SEARCH({"T","Z"},'CDR Project Planner'!$C40))))),'CDR Project Planner'!F40,"")</f>
        <v>0</v>
      </c>
      <c r="G35" s="43">
        <f>IF(SUMPRODUCT(--(NOT(ISERR(SEARCH({"T","Z"},'CDR Project Planner'!$C40))))),'CDR Project Planner'!G40,"")</f>
        <v>0</v>
      </c>
      <c r="H35" s="58">
        <f>IF(SUMPRODUCT(--(NOT(ISERR(SEARCH({"T","Z"},'CDR Project Planner'!$C40))))),'CDR Project Planner'!H40,"")</f>
        <v>0</v>
      </c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</row>
    <row r="36" spans="1:68" s="4" customFormat="1" x14ac:dyDescent="0.3">
      <c r="A36" s="31"/>
      <c r="B36" s="46" t="str">
        <f>IF(SUMPRODUCT(--(NOT(ISERR(SEARCH({"T","Z"},'CDR Project Planner'!$C41))))),'CDR Project Planner'!B41,"")</f>
        <v>CDR</v>
      </c>
      <c r="C36" s="47" t="str">
        <f>IF(SUMPRODUCT(--(NOT(ISERR(SEARCH({"T","Z"},'CDR Project Planner'!$C41))))),'CDR Project Planner'!C41,"")</f>
        <v>T</v>
      </c>
      <c r="D36" s="47">
        <f>IF(SUMPRODUCT(--(NOT(ISERR(SEARCH({"T","Z"},'CDR Project Planner'!$C41))))),'CDR Project Planner'!D41,"")</f>
        <v>55</v>
      </c>
      <c r="E36" s="47">
        <f>IF(SUMPRODUCT(--(NOT(ISERR(SEARCH({"T","Z"},'CDR Project Planner'!$C41))))),'CDR Project Planner'!E41,"")</f>
        <v>1</v>
      </c>
      <c r="F36" s="47">
        <f>IF(SUMPRODUCT(--(NOT(ISERR(SEARCH({"T","Z"},'CDR Project Planner'!$C41))))),'CDR Project Planner'!F41,"")</f>
        <v>55</v>
      </c>
      <c r="G36" s="47">
        <f>IF(SUMPRODUCT(--(NOT(ISERR(SEARCH({"T","Z"},'CDR Project Planner'!$C41))))),'CDR Project Planner'!G41,"")</f>
        <v>1</v>
      </c>
      <c r="H36" s="58">
        <f>IF(SUMPRODUCT(--(NOT(ISERR(SEARCH({"T","Z"},'CDR Project Planner'!$C41))))),'CDR Project Planner'!H41,"")</f>
        <v>0</v>
      </c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</row>
    <row r="37" spans="1:68" s="4" customFormat="1" x14ac:dyDescent="0.3">
      <c r="A37" s="1"/>
      <c r="B37" s="42" t="str">
        <f>IF(SUMPRODUCT(--(NOT(ISERR(SEARCH({"T","Z"},'CDR Project Planner'!$C42))))),'CDR Project Planner'!B42,"")</f>
        <v/>
      </c>
      <c r="C37" s="43" t="str">
        <f>IF(SUMPRODUCT(--(NOT(ISERR(SEARCH({"T","Z"},'CDR Project Planner'!$C42))))),'CDR Project Planner'!C42,"")</f>
        <v/>
      </c>
      <c r="D37" s="43" t="str">
        <f>IF(SUMPRODUCT(--(NOT(ISERR(SEARCH({"T","Z"},'CDR Project Planner'!$C42))))),'CDR Project Planner'!D42,"")</f>
        <v/>
      </c>
      <c r="E37" s="43" t="str">
        <f>IF(SUMPRODUCT(--(NOT(ISERR(SEARCH({"T","Z"},'CDR Project Planner'!$C42))))),'CDR Project Planner'!E42,"")</f>
        <v/>
      </c>
      <c r="F37" s="43" t="str">
        <f>IF(SUMPRODUCT(--(NOT(ISERR(SEARCH({"T","Z"},'CDR Project Planner'!$C42))))),'CDR Project Planner'!F42,"")</f>
        <v/>
      </c>
      <c r="G37" s="43" t="str">
        <f>IF(SUMPRODUCT(--(NOT(ISERR(SEARCH({"T","Z"},'CDR Project Planner'!$C42))))),'CDR Project Planner'!G42,"")</f>
        <v/>
      </c>
      <c r="H37" s="58" t="str">
        <f>IF(SUMPRODUCT(--(NOT(ISERR(SEARCH({"T","Z"},'CDR Project Planner'!$C42))))),'CDR Project Planner'!H42,"")</f>
        <v/>
      </c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</row>
    <row r="38" spans="1:68" s="4" customFormat="1" x14ac:dyDescent="0.3">
      <c r="A38" s="1"/>
      <c r="B38" s="42" t="str">
        <f>IF(SUMPRODUCT(--(NOT(ISERR(SEARCH({"T","Z"},'CDR Project Planner'!$C43))))),'CDR Project Planner'!B43,"")</f>
        <v/>
      </c>
      <c r="C38" s="43" t="str">
        <f>IF(SUMPRODUCT(--(NOT(ISERR(SEARCH({"T","Z"},'CDR Project Planner'!$C43))))),'CDR Project Planner'!C43,"")</f>
        <v/>
      </c>
      <c r="D38" s="43" t="str">
        <f>IF(SUMPRODUCT(--(NOT(ISERR(SEARCH({"T","Z"},'CDR Project Planner'!$C43))))),'CDR Project Planner'!D43,"")</f>
        <v/>
      </c>
      <c r="E38" s="43" t="str">
        <f>IF(SUMPRODUCT(--(NOT(ISERR(SEARCH({"T","Z"},'CDR Project Planner'!$C43))))),'CDR Project Planner'!E43,"")</f>
        <v/>
      </c>
      <c r="F38" s="43" t="str">
        <f>IF(SUMPRODUCT(--(NOT(ISERR(SEARCH({"T","Z"},'CDR Project Planner'!$C43))))),'CDR Project Planner'!F43,"")</f>
        <v/>
      </c>
      <c r="G38" s="43" t="str">
        <f>IF(SUMPRODUCT(--(NOT(ISERR(SEARCH({"T","Z"},'CDR Project Planner'!$C43))))),'CDR Project Planner'!G43,"")</f>
        <v/>
      </c>
      <c r="H38" s="58" t="str">
        <f>IF(SUMPRODUCT(--(NOT(ISERR(SEARCH({"T","Z"},'CDR Project Planner'!$C43))))),'CDR Project Planner'!H43,"")</f>
        <v/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</row>
    <row r="39" spans="1:68" s="4" customFormat="1" x14ac:dyDescent="0.3">
      <c r="A39" s="1"/>
      <c r="B39" s="42" t="str">
        <f>IF(SUMPRODUCT(--(NOT(ISERR(SEARCH({"T","Z"},'CDR Project Planner'!$C44))))),'CDR Project Planner'!B44,"")</f>
        <v/>
      </c>
      <c r="C39" s="43" t="str">
        <f>IF(SUMPRODUCT(--(NOT(ISERR(SEARCH({"T","Z"},'CDR Project Planner'!$C44))))),'CDR Project Planner'!C44,"")</f>
        <v/>
      </c>
      <c r="D39" s="43" t="str">
        <f>IF(SUMPRODUCT(--(NOT(ISERR(SEARCH({"T","Z"},'CDR Project Planner'!$C44))))),'CDR Project Planner'!D44,"")</f>
        <v/>
      </c>
      <c r="E39" s="43" t="str">
        <f>IF(SUMPRODUCT(--(NOT(ISERR(SEARCH({"T","Z"},'CDR Project Planner'!$C44))))),'CDR Project Planner'!E44,"")</f>
        <v/>
      </c>
      <c r="F39" s="43" t="str">
        <f>IF(SUMPRODUCT(--(NOT(ISERR(SEARCH({"T","Z"},'CDR Project Planner'!$C44))))),'CDR Project Planner'!F44,"")</f>
        <v/>
      </c>
      <c r="G39" s="43" t="str">
        <f>IF(SUMPRODUCT(--(NOT(ISERR(SEARCH({"T","Z"},'CDR Project Planner'!$C44))))),'CDR Project Planner'!G44,"")</f>
        <v/>
      </c>
      <c r="H39" s="58" t="str">
        <f>IF(SUMPRODUCT(--(NOT(ISERR(SEARCH({"T","Z"},'CDR Project Planner'!$C44))))),'CDR Project Planner'!H44,"")</f>
        <v/>
      </c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</row>
    <row r="40" spans="1:68" s="4" customFormat="1" x14ac:dyDescent="0.3">
      <c r="A40" s="1"/>
      <c r="B40" s="42" t="str">
        <f>IF(SUMPRODUCT(--(NOT(ISERR(SEARCH({"T","Z"},'CDR Project Planner'!$C45))))),'CDR Project Planner'!B45,"")</f>
        <v/>
      </c>
      <c r="C40" s="43" t="str">
        <f>IF(SUMPRODUCT(--(NOT(ISERR(SEARCH({"T","Z"},'CDR Project Planner'!$C45))))),'CDR Project Planner'!C45,"")</f>
        <v/>
      </c>
      <c r="D40" s="43" t="str">
        <f>IF(SUMPRODUCT(--(NOT(ISERR(SEARCH({"T","Z"},'CDR Project Planner'!$C45))))),'CDR Project Planner'!D45,"")</f>
        <v/>
      </c>
      <c r="E40" s="43" t="str">
        <f>IF(SUMPRODUCT(--(NOT(ISERR(SEARCH({"T","Z"},'CDR Project Planner'!$C45))))),'CDR Project Planner'!E45,"")</f>
        <v/>
      </c>
      <c r="F40" s="43" t="str">
        <f>IF(SUMPRODUCT(--(NOT(ISERR(SEARCH({"T","Z"},'CDR Project Planner'!$C45))))),'CDR Project Planner'!F45,"")</f>
        <v/>
      </c>
      <c r="G40" s="43" t="str">
        <f>IF(SUMPRODUCT(--(NOT(ISERR(SEARCH({"T","Z"},'CDR Project Planner'!$C45))))),'CDR Project Planner'!G45,"")</f>
        <v/>
      </c>
      <c r="H40" s="58" t="str">
        <f>IF(SUMPRODUCT(--(NOT(ISERR(SEARCH({"T","Z"},'CDR Project Planner'!$C45))))),'CDR Project Planner'!H45,"")</f>
        <v/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</row>
    <row r="41" spans="1:68" ht="30" customHeight="1" x14ac:dyDescent="0.3">
      <c r="B41" s="42" t="str">
        <f>IF(SUMPRODUCT(--(NOT(ISERR(SEARCH({"T","Z"},'CDR Project Planner'!$C46))))),'CDR Project Planner'!B46,"")</f>
        <v/>
      </c>
      <c r="C41" s="43" t="str">
        <f>IF(SUMPRODUCT(--(NOT(ISERR(SEARCH({"T","Z"},'CDR Project Planner'!$C46))))),'CDR Project Planner'!C46,"")</f>
        <v/>
      </c>
      <c r="D41" s="43" t="str">
        <f>IF(SUMPRODUCT(--(NOT(ISERR(SEARCH({"T","Z"},'CDR Project Planner'!$C46))))),'CDR Project Planner'!D46,"")</f>
        <v/>
      </c>
      <c r="E41" s="43" t="str">
        <f>IF(SUMPRODUCT(--(NOT(ISERR(SEARCH({"T","Z"},'CDR Project Planner'!$C46))))),'CDR Project Planner'!E46,"")</f>
        <v/>
      </c>
      <c r="F41" s="43" t="str">
        <f>IF(SUMPRODUCT(--(NOT(ISERR(SEARCH({"T","Z"},'CDR Project Planner'!$C46))))),'CDR Project Planner'!F46,"")</f>
        <v/>
      </c>
      <c r="G41" s="43" t="str">
        <f>IF(SUMPRODUCT(--(NOT(ISERR(SEARCH({"T","Z"},'CDR Project Planner'!$C46))))),'CDR Project Planner'!G46,"")</f>
        <v/>
      </c>
      <c r="H41" s="58" t="str">
        <f>IF(SUMPRODUCT(--(NOT(ISERR(SEARCH({"T","Z"},'CDR Project Planner'!$C46))))),'CDR Project Planner'!H46,"")</f>
        <v/>
      </c>
    </row>
    <row r="42" spans="1:68" ht="30" customHeight="1" x14ac:dyDescent="0.3">
      <c r="B42" s="42" t="str">
        <f>IF(SUMPRODUCT(--(NOT(ISERR(SEARCH({"T","Z"},'CDR Project Planner'!$C47))))),'CDR Project Planner'!B47,"")</f>
        <v/>
      </c>
      <c r="C42" s="43" t="str">
        <f>IF(SUMPRODUCT(--(NOT(ISERR(SEARCH({"T","Z"},'CDR Project Planner'!$C47))))),'CDR Project Planner'!C47,"")</f>
        <v/>
      </c>
      <c r="D42" s="43" t="str">
        <f>IF(SUMPRODUCT(--(NOT(ISERR(SEARCH({"T","Z"},'CDR Project Planner'!$C47))))),'CDR Project Planner'!D47,"")</f>
        <v/>
      </c>
      <c r="E42" s="43" t="str">
        <f>IF(SUMPRODUCT(--(NOT(ISERR(SEARCH({"T","Z"},'CDR Project Planner'!$C47))))),'CDR Project Planner'!E47,"")</f>
        <v/>
      </c>
      <c r="F42" s="43" t="str">
        <f>IF(SUMPRODUCT(--(NOT(ISERR(SEARCH({"T","Z"},'CDR Project Planner'!$C47))))),'CDR Project Planner'!F47,"")</f>
        <v/>
      </c>
      <c r="G42" s="43" t="str">
        <f>IF(SUMPRODUCT(--(NOT(ISERR(SEARCH({"T","Z"},'CDR Project Planner'!$C47))))),'CDR Project Planner'!G47,"")</f>
        <v/>
      </c>
      <c r="H42" s="58" t="str">
        <f>IF(SUMPRODUCT(--(NOT(ISERR(SEARCH({"T","Z"},'CDR Project Planner'!$C47))))),'CDR Project Planner'!H47,"")</f>
        <v/>
      </c>
    </row>
    <row r="43" spans="1:68" ht="30" customHeight="1" x14ac:dyDescent="0.3">
      <c r="B43" s="42" t="str">
        <f>IF(SUMPRODUCT(--(NOT(ISERR(SEARCH({"T","Z"},'CDR Project Planner'!$C48))))),'CDR Project Planner'!B48,"")</f>
        <v/>
      </c>
      <c r="C43" s="43" t="str">
        <f>IF(SUMPRODUCT(--(NOT(ISERR(SEARCH({"T","Z"},'CDR Project Planner'!$C48))))),'CDR Project Planner'!C48,"")</f>
        <v/>
      </c>
      <c r="D43" s="43" t="str">
        <f>IF(SUMPRODUCT(--(NOT(ISERR(SEARCH({"T","Z"},'CDR Project Planner'!$C48))))),'CDR Project Planner'!D48,"")</f>
        <v/>
      </c>
      <c r="E43" s="43" t="str">
        <f>IF(SUMPRODUCT(--(NOT(ISERR(SEARCH({"T","Z"},'CDR Project Planner'!$C48))))),'CDR Project Planner'!E48,"")</f>
        <v/>
      </c>
      <c r="F43" s="43" t="str">
        <f>IF(SUMPRODUCT(--(NOT(ISERR(SEARCH({"T","Z"},'CDR Project Planner'!$C48))))),'CDR Project Planner'!F48,"")</f>
        <v/>
      </c>
      <c r="G43" s="43" t="str">
        <f>IF(SUMPRODUCT(--(NOT(ISERR(SEARCH({"T","Z"},'CDR Project Planner'!$C48))))),'CDR Project Planner'!G48,"")</f>
        <v/>
      </c>
      <c r="H43" s="58" t="str">
        <f>IF(SUMPRODUCT(--(NOT(ISERR(SEARCH({"T","Z"},'CDR Project Planner'!$C48))))),'CDR Project Planner'!H48,"")</f>
        <v/>
      </c>
    </row>
    <row r="44" spans="1:68" s="4" customFormat="1" ht="30" customHeight="1" x14ac:dyDescent="0.3">
      <c r="A44" s="1"/>
      <c r="B44" s="42" t="str">
        <f>IF(SUMPRODUCT(--(NOT(ISERR(SEARCH({"T","Z"},'CDR Project Planner'!$C49))))),'CDR Project Planner'!B49,"")</f>
        <v/>
      </c>
      <c r="C44" s="43" t="str">
        <f>IF(SUMPRODUCT(--(NOT(ISERR(SEARCH({"T","Z"},'CDR Project Planner'!$C49))))),'CDR Project Planner'!C49,"")</f>
        <v/>
      </c>
      <c r="D44" s="43" t="str">
        <f>IF(SUMPRODUCT(--(NOT(ISERR(SEARCH({"T","Z"},'CDR Project Planner'!$C49))))),'CDR Project Planner'!D49,"")</f>
        <v/>
      </c>
      <c r="E44" s="43" t="str">
        <f>IF(SUMPRODUCT(--(NOT(ISERR(SEARCH({"T","Z"},'CDR Project Planner'!$C49))))),'CDR Project Planner'!E49,"")</f>
        <v/>
      </c>
      <c r="F44" s="43" t="str">
        <f>IF(SUMPRODUCT(--(NOT(ISERR(SEARCH({"T","Z"},'CDR Project Planner'!$C49))))),'CDR Project Planner'!F49,"")</f>
        <v/>
      </c>
      <c r="G44" s="43" t="str">
        <f>IF(SUMPRODUCT(--(NOT(ISERR(SEARCH({"T","Z"},'CDR Project Planner'!$C49))))),'CDR Project Planner'!G49,"")</f>
        <v/>
      </c>
      <c r="H44" s="58" t="str">
        <f>IF(SUMPRODUCT(--(NOT(ISERR(SEARCH({"T","Z"},'CDR Project Planner'!$C49))))),'CDR Project Planner'!H49,"")</f>
        <v/>
      </c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</row>
    <row r="45" spans="1:68" s="4" customFormat="1" ht="30" customHeight="1" x14ac:dyDescent="0.3">
      <c r="A45" s="1"/>
      <c r="B45" s="42" t="str">
        <f>IF(SUMPRODUCT(--(NOT(ISERR(SEARCH({"T","Z"},'CDR Project Planner'!$C50))))),'CDR Project Planner'!B50,"")</f>
        <v/>
      </c>
      <c r="C45" s="43" t="str">
        <f>IF(SUMPRODUCT(--(NOT(ISERR(SEARCH({"T","Z"},'CDR Project Planner'!$C50))))),'CDR Project Planner'!C50,"")</f>
        <v/>
      </c>
      <c r="D45" s="43" t="str">
        <f>IF(SUMPRODUCT(--(NOT(ISERR(SEARCH({"T","Z"},'CDR Project Planner'!$C50))))),'CDR Project Planner'!D50,"")</f>
        <v/>
      </c>
      <c r="E45" s="43" t="str">
        <f>IF(SUMPRODUCT(--(NOT(ISERR(SEARCH({"T","Z"},'CDR Project Planner'!$C50))))),'CDR Project Planner'!E50,"")</f>
        <v/>
      </c>
      <c r="F45" s="43" t="str">
        <f>IF(SUMPRODUCT(--(NOT(ISERR(SEARCH({"T","Z"},'CDR Project Planner'!$C50))))),'CDR Project Planner'!F50,"")</f>
        <v/>
      </c>
      <c r="G45" s="43" t="str">
        <f>IF(SUMPRODUCT(--(NOT(ISERR(SEARCH({"T","Z"},'CDR Project Planner'!$C50))))),'CDR Project Planner'!G50,"")</f>
        <v/>
      </c>
      <c r="H45" s="58" t="str">
        <f>IF(SUMPRODUCT(--(NOT(ISERR(SEARCH({"T","Z"},'CDR Project Planner'!$C50))))),'CDR Project Planner'!H50,"")</f>
        <v/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</row>
    <row r="46" spans="1:68" s="4" customFormat="1" ht="30" customHeight="1" x14ac:dyDescent="0.3">
      <c r="A46" s="1"/>
      <c r="B46" s="42" t="str">
        <f>IF(SUMPRODUCT(--(NOT(ISERR(SEARCH({"T","Z"},'CDR Project Planner'!$C51))))),'CDR Project Planner'!B51,"")</f>
        <v/>
      </c>
      <c r="C46" s="43" t="str">
        <f>IF(SUMPRODUCT(--(NOT(ISERR(SEARCH({"T","Z"},'CDR Project Planner'!$C51))))),'CDR Project Planner'!C51,"")</f>
        <v/>
      </c>
      <c r="D46" s="43" t="str">
        <f>IF(SUMPRODUCT(--(NOT(ISERR(SEARCH({"T","Z"},'CDR Project Planner'!$C51))))),'CDR Project Planner'!D51,"")</f>
        <v/>
      </c>
      <c r="E46" s="43" t="str">
        <f>IF(SUMPRODUCT(--(NOT(ISERR(SEARCH({"T","Z"},'CDR Project Planner'!$C51))))),'CDR Project Planner'!E51,"")</f>
        <v/>
      </c>
      <c r="F46" s="43" t="str">
        <f>IF(SUMPRODUCT(--(NOT(ISERR(SEARCH({"T","Z"},'CDR Project Planner'!$C51))))),'CDR Project Planner'!F51,"")</f>
        <v/>
      </c>
      <c r="G46" s="43" t="str">
        <f>IF(SUMPRODUCT(--(NOT(ISERR(SEARCH({"T","Z"},'CDR Project Planner'!$C51))))),'CDR Project Planner'!G51,"")</f>
        <v/>
      </c>
      <c r="H46" s="58" t="str">
        <f>IF(SUMPRODUCT(--(NOT(ISERR(SEARCH({"T","Z"},'CDR Project Planner'!$C51))))),'CDR Project Planner'!H51,"")</f>
        <v/>
      </c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</row>
    <row r="47" spans="1:68" s="4" customFormat="1" ht="30" customHeight="1" x14ac:dyDescent="0.3">
      <c r="A47" s="1"/>
      <c r="B47" s="42" t="str">
        <f>IF(SUMPRODUCT(--(NOT(ISERR(SEARCH({"T","Z"},'CDR Project Planner'!$C52))))),'CDR Project Planner'!B52,"")</f>
        <v/>
      </c>
      <c r="C47" s="43" t="str">
        <f>IF(SUMPRODUCT(--(NOT(ISERR(SEARCH({"T","Z"},'CDR Project Planner'!$C52))))),'CDR Project Planner'!C52,"")</f>
        <v/>
      </c>
      <c r="D47" s="43" t="str">
        <f>IF(SUMPRODUCT(--(NOT(ISERR(SEARCH({"T","Z"},'CDR Project Planner'!$C52))))),'CDR Project Planner'!D52,"")</f>
        <v/>
      </c>
      <c r="E47" s="43" t="str">
        <f>IF(SUMPRODUCT(--(NOT(ISERR(SEARCH({"T","Z"},'CDR Project Planner'!$C52))))),'CDR Project Planner'!E52,"")</f>
        <v/>
      </c>
      <c r="F47" s="43" t="str">
        <f>IF(SUMPRODUCT(--(NOT(ISERR(SEARCH({"T","Z"},'CDR Project Planner'!$C52))))),'CDR Project Planner'!F52,"")</f>
        <v/>
      </c>
      <c r="G47" s="43" t="str">
        <f>IF(SUMPRODUCT(--(NOT(ISERR(SEARCH({"T","Z"},'CDR Project Planner'!$C52))))),'CDR Project Planner'!G52,"")</f>
        <v/>
      </c>
      <c r="H47" s="58" t="str">
        <f>IF(SUMPRODUCT(--(NOT(ISERR(SEARCH({"T","Z"},'CDR Project Planner'!$C52))))),'CDR Project Planner'!H52,"")</f>
        <v/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</row>
    <row r="48" spans="1:68" s="4" customFormat="1" x14ac:dyDescent="0.3">
      <c r="A48" s="1"/>
      <c r="B48" s="42" t="str">
        <f>IF(SUMPRODUCT(--(NOT(ISERR(SEARCH({"T","Z"},'CDR Project Planner'!$C53))))),'CDR Project Planner'!B53,"")</f>
        <v/>
      </c>
      <c r="C48" s="43" t="str">
        <f>IF(SUMPRODUCT(--(NOT(ISERR(SEARCH({"T","Z"},'CDR Project Planner'!$C53))))),'CDR Project Planner'!C53,"")</f>
        <v/>
      </c>
      <c r="D48" s="43" t="str">
        <f>IF(SUMPRODUCT(--(NOT(ISERR(SEARCH({"T","Z"},'CDR Project Planner'!$C53))))),'CDR Project Planner'!D53,"")</f>
        <v/>
      </c>
      <c r="E48" s="43" t="str">
        <f>IF(SUMPRODUCT(--(NOT(ISERR(SEARCH({"T","Z"},'CDR Project Planner'!$C53))))),'CDR Project Planner'!E53,"")</f>
        <v/>
      </c>
      <c r="F48" s="43" t="str">
        <f>IF(SUMPRODUCT(--(NOT(ISERR(SEARCH({"T","Z"},'CDR Project Planner'!$C53))))),'CDR Project Planner'!F53,"")</f>
        <v/>
      </c>
      <c r="G48" s="43" t="str">
        <f>IF(SUMPRODUCT(--(NOT(ISERR(SEARCH({"T","Z"},'CDR Project Planner'!$C53))))),'CDR Project Planner'!G53,"")</f>
        <v/>
      </c>
      <c r="H48" s="58" t="str">
        <f>IF(SUMPRODUCT(--(NOT(ISERR(SEARCH({"T","Z"},'CDR Project Planner'!$C53))))),'CDR Project Planner'!H53,"")</f>
        <v/>
      </c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</row>
    <row r="49" spans="1:68" s="4" customFormat="1" ht="30" customHeight="1" x14ac:dyDescent="0.3">
      <c r="A49" s="1"/>
      <c r="B49" s="42" t="str">
        <f>IF(SUMPRODUCT(--(NOT(ISERR(SEARCH({"T","Z"},'CDR Project Planner'!$C54))))),'CDR Project Planner'!B54,"")</f>
        <v/>
      </c>
      <c r="C49" s="43" t="str">
        <f>IF(SUMPRODUCT(--(NOT(ISERR(SEARCH({"T","Z"},'CDR Project Planner'!$C54))))),'CDR Project Planner'!C54,"")</f>
        <v/>
      </c>
      <c r="D49" s="43" t="str">
        <f>IF(SUMPRODUCT(--(NOT(ISERR(SEARCH({"T","Z"},'CDR Project Planner'!$C54))))),'CDR Project Planner'!D54,"")</f>
        <v/>
      </c>
      <c r="E49" s="43" t="str">
        <f>IF(SUMPRODUCT(--(NOT(ISERR(SEARCH({"T","Z"},'CDR Project Planner'!$C54))))),'CDR Project Planner'!E54,"")</f>
        <v/>
      </c>
      <c r="F49" s="43" t="str">
        <f>IF(SUMPRODUCT(--(NOT(ISERR(SEARCH({"T","Z"},'CDR Project Planner'!$C54))))),'CDR Project Planner'!F54,"")</f>
        <v/>
      </c>
      <c r="G49" s="43" t="str">
        <f>IF(SUMPRODUCT(--(NOT(ISERR(SEARCH({"T","Z"},'CDR Project Planner'!$C54))))),'CDR Project Planner'!G54,"")</f>
        <v/>
      </c>
      <c r="H49" s="58" t="str">
        <f>IF(SUMPRODUCT(--(NOT(ISERR(SEARCH({"T","Z"},'CDR Project Planner'!$C54))))),'CDR Project Planner'!H54,"")</f>
        <v/>
      </c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</row>
    <row r="50" spans="1:68" s="4" customFormat="1" ht="30" customHeight="1" x14ac:dyDescent="0.25">
      <c r="A50" s="1"/>
      <c r="B50" s="44" t="str">
        <f>IF(SUMPRODUCT(--(NOT(ISERR(SEARCH({"T","Ba"},'CDR Project Planner'!$C55))))),'CDR Project Planner'!B55,"")</f>
        <v/>
      </c>
      <c r="C50" s="44" t="str">
        <f>IF(SUMPRODUCT(--(NOT(ISERR(SEARCH({"T","Ba"},'CDR Project Planner'!$C55))))),'CDR Project Planner'!C55,"")</f>
        <v/>
      </c>
      <c r="D50" s="52" t="str">
        <f>IF(SUMPRODUCT(--(NOT(ISERR(SEARCH({"T","Ba"},'CDR Project Planner'!$C55))))),'CDR Project Planner'!D55,"")</f>
        <v/>
      </c>
      <c r="E50" s="52" t="str">
        <f>IF(SUMPRODUCT(--(NOT(ISERR(SEARCH({"T","Ba"},'CDR Project Planner'!$C55))))),'CDR Project Planner'!E55,"")</f>
        <v/>
      </c>
      <c r="F50" s="52" t="str">
        <f>IF(SUMPRODUCT(--(NOT(ISERR(SEARCH({"T","Ba"},'CDR Project Planner'!$C55))))),'CDR Project Planner'!F55,"")</f>
        <v/>
      </c>
      <c r="G50" s="52" t="str">
        <f>IF(SUMPRODUCT(--(NOT(ISERR(SEARCH({"T","Ba"},'CDR Project Planner'!$C55))))),'CDR Project Planner'!G55,"")</f>
        <v/>
      </c>
      <c r="H50" s="52" t="str">
        <f>IF(SUMPRODUCT(--(NOT(ISERR(SEARCH({"T","Ba"},'CDR Project Planner'!$C55))))),'CDR Project Planner'!H55,"")</f>
        <v/>
      </c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</row>
    <row r="51" spans="1:68" s="4" customFormat="1" ht="30" customHeight="1" x14ac:dyDescent="0.25">
      <c r="A51" s="1"/>
      <c r="B51" s="44" t="str">
        <f>IF(SUMPRODUCT(--(NOT(ISERR(SEARCH({"T","Ba"},'CDR Project Planner'!$C56))))),'CDR Project Planner'!B56,"")</f>
        <v/>
      </c>
      <c r="C51" s="44" t="str">
        <f>IF(SUMPRODUCT(--(NOT(ISERR(SEARCH({"T","Ba"},'CDR Project Planner'!$C56))))),'CDR Project Planner'!C56,"")</f>
        <v/>
      </c>
      <c r="D51" s="52" t="str">
        <f>IF(SUMPRODUCT(--(NOT(ISERR(SEARCH({"T","Ba"},'CDR Project Planner'!$C56))))),'CDR Project Planner'!D56,"")</f>
        <v/>
      </c>
      <c r="E51" s="52" t="str">
        <f>IF(SUMPRODUCT(--(NOT(ISERR(SEARCH({"T","Ba"},'CDR Project Planner'!$C56))))),'CDR Project Planner'!E56,"")</f>
        <v/>
      </c>
      <c r="F51" s="52" t="str">
        <f>IF(SUMPRODUCT(--(NOT(ISERR(SEARCH({"T","Ba"},'CDR Project Planner'!$C56))))),'CDR Project Planner'!F56,"")</f>
        <v/>
      </c>
      <c r="G51" s="52" t="str">
        <f>IF(SUMPRODUCT(--(NOT(ISERR(SEARCH({"T","Ba"},'CDR Project Planner'!$C56))))),'CDR Project Planner'!G56,"")</f>
        <v/>
      </c>
      <c r="H51" s="52" t="str">
        <f>IF(SUMPRODUCT(--(NOT(ISERR(SEARCH({"T","Ba"},'CDR Project Planner'!$C56))))),'CDR Project Planner'!H56,"")</f>
        <v/>
      </c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</row>
    <row r="52" spans="1:68" s="4" customFormat="1" ht="30" customHeight="1" x14ac:dyDescent="0.25">
      <c r="A52" s="1"/>
      <c r="B52" s="44" t="str">
        <f>IF(SUMPRODUCT(--(NOT(ISERR(SEARCH({"T","Ba"},'CDR Project Planner'!$C57))))),'CDR Project Planner'!B57,"")</f>
        <v/>
      </c>
      <c r="C52" s="44" t="str">
        <f>IF(SUMPRODUCT(--(NOT(ISERR(SEARCH({"T","Ba"},'CDR Project Planner'!$C57))))),'CDR Project Planner'!C57,"")</f>
        <v/>
      </c>
      <c r="D52" s="52" t="str">
        <f>IF(SUMPRODUCT(--(NOT(ISERR(SEARCH({"T","Ba"},'CDR Project Planner'!$C57))))),'CDR Project Planner'!D57,"")</f>
        <v/>
      </c>
      <c r="E52" s="52" t="str">
        <f>IF(SUMPRODUCT(--(NOT(ISERR(SEARCH({"T","Ba"},'CDR Project Planner'!$C57))))),'CDR Project Planner'!E57,"")</f>
        <v/>
      </c>
      <c r="F52" s="52" t="str">
        <f>IF(SUMPRODUCT(--(NOT(ISERR(SEARCH({"T","Ba"},'CDR Project Planner'!$C57))))),'CDR Project Planner'!F57,"")</f>
        <v/>
      </c>
      <c r="G52" s="52" t="str">
        <f>IF(SUMPRODUCT(--(NOT(ISERR(SEARCH({"T","Ba"},'CDR Project Planner'!$C57))))),'CDR Project Planner'!G57,"")</f>
        <v/>
      </c>
      <c r="H52" s="52" t="str">
        <f>IF(SUMPRODUCT(--(NOT(ISERR(SEARCH({"T","Ba"},'CDR Project Planner'!$C57))))),'CDR Project Planner'!H57,"")</f>
        <v/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</row>
  </sheetData>
  <mergeCells count="13">
    <mergeCell ref="AJ2:AQ2"/>
    <mergeCell ref="B3:B4"/>
    <mergeCell ref="C3:C4"/>
    <mergeCell ref="D3:D4"/>
    <mergeCell ref="E3:E4"/>
    <mergeCell ref="F3:F4"/>
    <mergeCell ref="G3:G4"/>
    <mergeCell ref="H3:H4"/>
    <mergeCell ref="B2:G2"/>
    <mergeCell ref="L2:P2"/>
    <mergeCell ref="R2:U2"/>
    <mergeCell ref="W2:Z2"/>
    <mergeCell ref="AB2:AH2"/>
  </mergeCells>
  <conditionalFormatting sqref="I40:BP40 I43:BP43 I46:BP46 I49:BP49 I7:BP15 I21:BP26 I29:BP37">
    <cfRule type="expression" dxfId="54" priority="2">
      <formula>PercentComplete</formula>
    </cfRule>
    <cfRule type="expression" dxfId="53" priority="3">
      <formula>PercentCompleteBeyond</formula>
    </cfRule>
    <cfRule type="expression" dxfId="52" priority="4">
      <formula>Actual</formula>
    </cfRule>
    <cfRule type="expression" dxfId="51" priority="5">
      <formula>ActualBeyond</formula>
    </cfRule>
    <cfRule type="expression" dxfId="50" priority="6">
      <formula>Plan</formula>
    </cfRule>
    <cfRule type="expression" dxfId="49" priority="7">
      <formula>I$4=period_selected</formula>
    </cfRule>
    <cfRule type="expression" dxfId="48" priority="8">
      <formula>MOD(COLUMN(),2)</formula>
    </cfRule>
    <cfRule type="expression" dxfId="47" priority="9">
      <formula>MOD(COLUMN(),2)=0</formula>
    </cfRule>
  </conditionalFormatting>
  <conditionalFormatting sqref="I4:BP4">
    <cfRule type="expression" dxfId="46" priority="10">
      <formula>I$4=period_selected</formula>
    </cfRule>
  </conditionalFormatting>
  <conditionalFormatting sqref="I5:BP6 I39:BP39 I27:BP28 I42:BP42 I45:BP45 I48:BP48">
    <cfRule type="expression" dxfId="45" priority="11">
      <formula>PercentComplete</formula>
    </cfRule>
    <cfRule type="expression" dxfId="44" priority="12">
      <formula>PercentCompleteBeyond</formula>
    </cfRule>
    <cfRule type="expression" dxfId="43" priority="13">
      <formula>Actual</formula>
    </cfRule>
    <cfRule type="expression" dxfId="42" priority="14">
      <formula>ActualBeyond</formula>
    </cfRule>
    <cfRule type="expression" dxfId="41" priority="15">
      <formula>Plan</formula>
    </cfRule>
    <cfRule type="expression" dxfId="40" priority="16">
      <formula>I$4=period_selected</formula>
    </cfRule>
    <cfRule type="expression" dxfId="39" priority="17">
      <formula>MOD(COLUMN(),2)</formula>
    </cfRule>
    <cfRule type="expression" dxfId="38" priority="18">
      <formula>MOD(COLUMN(),2)=0</formula>
    </cfRule>
  </conditionalFormatting>
  <conditionalFormatting sqref="I38:BP38 I41:BP41 I44:BP44 I47:BP47">
    <cfRule type="expression" dxfId="37" priority="19">
      <formula>PercentComplete</formula>
    </cfRule>
    <cfRule type="expression" dxfId="36" priority="20">
      <formula>PercentCompleteBeyond</formula>
    </cfRule>
    <cfRule type="expression" dxfId="35" priority="21">
      <formula>Actual</formula>
    </cfRule>
    <cfRule type="expression" dxfId="34" priority="22">
      <formula>ActualBeyond</formula>
    </cfRule>
    <cfRule type="expression" dxfId="33" priority="23">
      <formula>Plan</formula>
    </cfRule>
    <cfRule type="expression" dxfId="32" priority="24">
      <formula>I$4=period_selected</formula>
    </cfRule>
    <cfRule type="expression" dxfId="31" priority="25">
      <formula>MOD(COLUMN(),2)</formula>
    </cfRule>
    <cfRule type="expression" dxfId="30" priority="26">
      <formula>MOD(COLUMN(),2)=0</formula>
    </cfRule>
  </conditionalFormatting>
  <conditionalFormatting sqref="I20:BP20">
    <cfRule type="expression" dxfId="29" priority="27">
      <formula>PercentComplete</formula>
    </cfRule>
    <cfRule type="expression" dxfId="28" priority="28">
      <formula>PercentCompleteBeyond</formula>
    </cfRule>
    <cfRule type="expression" dxfId="27" priority="29">
      <formula>Actual</formula>
    </cfRule>
    <cfRule type="expression" dxfId="26" priority="30">
      <formula>ActualBeyond</formula>
    </cfRule>
    <cfRule type="expression" dxfId="25" priority="31">
      <formula>Plan</formula>
    </cfRule>
    <cfRule type="expression" dxfId="24" priority="32">
      <formula>I$4=period_selected</formula>
    </cfRule>
    <cfRule type="expression" dxfId="23" priority="33">
      <formula>MOD(COLUMN(),2)</formula>
    </cfRule>
    <cfRule type="expression" dxfId="22" priority="34">
      <formula>MOD(COLUMN(),2)=0</formula>
    </cfRule>
  </conditionalFormatting>
  <conditionalFormatting sqref="I16:BP16 I18:BP19">
    <cfRule type="expression" dxfId="21" priority="35">
      <formula>PercentComplete</formula>
    </cfRule>
    <cfRule type="expression" dxfId="20" priority="36">
      <formula>PercentCompleteBeyond</formula>
    </cfRule>
    <cfRule type="expression" dxfId="19" priority="37">
      <formula>Actual</formula>
    </cfRule>
    <cfRule type="expression" dxfId="18" priority="38">
      <formula>ActualBeyond</formula>
    </cfRule>
    <cfRule type="expression" dxfId="17" priority="39">
      <formula>Plan</formula>
    </cfRule>
    <cfRule type="expression" dxfId="16" priority="40">
      <formula>I$4=period_selected</formula>
    </cfRule>
    <cfRule type="expression" dxfId="15" priority="41">
      <formula>MOD(COLUMN(),2)</formula>
    </cfRule>
    <cfRule type="expression" dxfId="14" priority="42">
      <formula>MOD(COLUMN(),2)=0</formula>
    </cfRule>
  </conditionalFormatting>
  <conditionalFormatting sqref="I17:BP17">
    <cfRule type="expression" dxfId="13" priority="43">
      <formula>PercentComplete</formula>
    </cfRule>
    <cfRule type="expression" dxfId="12" priority="44">
      <formula>PercentCompleteBeyond</formula>
    </cfRule>
    <cfRule type="expression" dxfId="11" priority="45">
      <formula>Actual</formula>
    </cfRule>
    <cfRule type="expression" dxfId="10" priority="46">
      <formula>ActualBeyond</formula>
    </cfRule>
    <cfRule type="expression" dxfId="9" priority="47">
      <formula>Plan</formula>
    </cfRule>
    <cfRule type="expression" dxfId="8" priority="48">
      <formula>I$4=period_selected</formula>
    </cfRule>
    <cfRule type="expression" dxfId="7" priority="49">
      <formula>MOD(COLUMN(),2)</formula>
    </cfRule>
    <cfRule type="expression" dxfId="6" priority="50">
      <formula>MOD(COLUMN(),2)=0</formula>
    </cfRule>
  </conditionalFormatting>
  <conditionalFormatting sqref="H53:H56">
    <cfRule type="cellIs" dxfId="5" priority="51" operator="equal">
      <formula>isblank</formula>
    </cfRule>
    <cfRule type="colorScale" priority="52">
      <colorScale>
        <cfvo type="min"/>
        <cfvo type="percentile" val="50"/>
        <cfvo type="max"/>
        <color rgb="FFC00000"/>
        <color rgb="FFFFEB84"/>
        <color rgb="FF70AD47"/>
      </colorScale>
    </cfRule>
  </conditionalFormatting>
  <conditionalFormatting sqref="H5:H49">
    <cfRule type="expression" dxfId="4" priority="53">
      <formula>LEN(TRIM(H5))=0</formula>
    </cfRule>
    <cfRule type="colorScale" priority="54">
      <colorScale>
        <cfvo type="min"/>
        <cfvo type="percentile" val="50"/>
        <cfvo type="max"/>
        <color rgb="FF0070C0"/>
        <color rgb="FFFFEB84"/>
        <color rgb="FF00B050"/>
      </colorScale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>
      <formula1>0</formula1>
      <formula2>0</formula2>
    </dataValidation>
    <dataValidation allowBlank="1" showInputMessage="1" showErrorMessage="1" prompt="This legend cell indicates plan duration" sqref="K2">
      <formula1>0</formula1>
      <formula2>0</formula2>
    </dataValidation>
    <dataValidation allowBlank="1" showInputMessage="1" showErrorMessage="1" prompt="This legend cell indicates actual duration" sqref="Q2">
      <formula1>0</formula1>
      <formula2>0</formula2>
    </dataValidation>
    <dataValidation allowBlank="1" showInputMessage="1" showErrorMessage="1" prompt="This legend cell indicates the percentage of project completed" sqref="V2">
      <formula1>0</formula1>
      <formula2>0</formula2>
    </dataValidation>
    <dataValidation allowBlank="1" showInputMessage="1" showErrorMessage="1" prompt="This legend cell indicates actual duration beyond plan" sqref="AA2">
      <formula1>0</formula1>
      <formula2>0</formula2>
    </dataValidation>
    <dataValidation allowBlank="1" showInputMessage="1" showErrorMessage="1" prompt="This legend cell indicates the percentage of project completed beyond plan" sqref="AI2">
      <formula1>0</formula1>
      <formula2>0</formula2>
    </dataValidation>
    <dataValidation allowBlank="1" showInputMessage="1" showErrorMessage="1" prompt="Periods are charted from 1 to 60 starting from cell H4 to cell BO4 " sqref="I3">
      <formula1>0</formula1>
      <formula2>0</formula2>
    </dataValidation>
    <dataValidation allowBlank="1" showInputMessage="1" showErrorMessage="1" prompt="Enter activity in column B, starting with cell B5_x000a_" sqref="B3:C3 B4">
      <formula1>0</formula1>
      <formula2>0</formula2>
    </dataValidation>
    <dataValidation allowBlank="1" showInputMessage="1" showErrorMessage="1" prompt="Enter plan start period in column C, starting with cell C5" sqref="D3:D4">
      <formula1>0</formula1>
      <formula2>0</formula2>
    </dataValidation>
    <dataValidation allowBlank="1" showInputMessage="1" showErrorMessage="1" prompt="Enter plan duration period in column D, starting with cell D5" sqref="E3:E4">
      <formula1>0</formula1>
      <formula2>0</formula2>
    </dataValidation>
    <dataValidation allowBlank="1" showInputMessage="1" showErrorMessage="1" prompt="Enter actual start period in column E, starting with cell E5" sqref="F3:F4">
      <formula1>0</formula1>
      <formula2>0</formula2>
    </dataValidation>
    <dataValidation allowBlank="1" showInputMessage="1" showErrorMessage="1" prompt="Enter actual duration period in column F, starting with cell F5" sqref="G3:G4">
      <formula1>0</formula1>
      <formula2>0</formula2>
    </dataValidation>
    <dataValidation allowBlank="1" showInputMessage="1" showErrorMessage="1" prompt="Enter the percentage of project completed in column G, starting with cell G5" sqref="H3:H4">
      <formula1>0</formula1>
      <formula2>0</formula2>
    </dataValidation>
    <dataValidation allowBlank="1" showInputMessage="1" showErrorMessage="1" prompt="Title of the project. Enter a new title in this cell. Highlight a period in H2. Chart legend is in J2 to AI2" sqref="B1:C1">
      <formula1>0</formula1>
      <formula2>0</formula2>
    </dataValidation>
    <dataValidation allowBlank="1" showInputMessage="1" showErrorMessage="1" prompt="Select a period to highlight in H2. A Chart legend is in J2 to AI2" sqref="B2:G2">
      <formula1>0</formula1>
      <formula2>0</formula2>
    </dataValidation>
    <dataValidation type="list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I2">
      <formula1>"1,2,3,4,5,6,7,8,9,10,11,12,13,14,15,16,17,18,19,20,21,22,23,24,25,26,27,28,29,30,31,32,33,34,35,36,37,38,39,40,41,42,43,44,45,46,47,48,49,50,51,52,53,54,55,56,57,58,59,60"</formula1>
      <formula2>0</formula2>
    </dataValidation>
  </dataValidations>
  <printOptions horizontalCentered="1"/>
  <pageMargins left="0.45" right="0.45" top="0.5" bottom="0.5" header="0.51180555555555496" footer="0.3"/>
  <pageSetup firstPageNumber="0" fitToHeight="0" orientation="landscape" horizontalDpi="300" verticalDpi="300"/>
  <headerFooter>
    <oddFooter>&amp;CPage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K26"/>
  <sheetViews>
    <sheetView zoomScaleNormal="100" workbookViewId="0">
      <selection activeCell="Q7" sqref="Q7"/>
    </sheetView>
  </sheetViews>
  <sheetFormatPr defaultColWidth="8.85546875" defaultRowHeight="15" outlineLevelCol="1" x14ac:dyDescent="0.25"/>
  <cols>
    <col min="1" max="1" width="11.7109375" style="179" customWidth="1"/>
    <col min="2" max="2" width="42.7109375" style="179" bestFit="1" customWidth="1"/>
    <col min="3" max="3" width="8.140625" style="139" customWidth="1"/>
    <col min="4" max="9" width="9" style="139" customWidth="1"/>
    <col min="10" max="10" width="16.42578125" style="178" customWidth="1"/>
    <col min="11" max="11" width="8.7109375" style="139" customWidth="1"/>
    <col min="12" max="12" width="9.28515625" style="139" customWidth="1"/>
    <col min="13" max="14" width="8.7109375" style="139" customWidth="1"/>
    <col min="15" max="15" width="15" style="139" customWidth="1"/>
    <col min="16" max="16" width="10.42578125" style="139" hidden="1" customWidth="1" outlineLevel="1"/>
    <col min="17" max="17" width="8.85546875" style="139" hidden="1" customWidth="1" outlineLevel="1"/>
    <col min="18" max="21" width="10.42578125" style="139" hidden="1" customWidth="1" outlineLevel="1"/>
    <col min="22" max="22" width="10.42578125" style="139" customWidth="1" collapsed="1"/>
    <col min="23" max="23" width="19.7109375" style="139" customWidth="1"/>
    <col min="24" max="29" width="8.7109375" style="139" hidden="1" customWidth="1" outlineLevel="1"/>
    <col min="30" max="30" width="8.7109375" style="139" customWidth="1" collapsed="1"/>
    <col min="31" max="1025" width="8.7109375" style="139" customWidth="1"/>
    <col min="1026" max="16384" width="8.85546875" style="86"/>
  </cols>
  <sheetData>
    <row r="1" spans="1:29" ht="15.75" thickBot="1" x14ac:dyDescent="0.3">
      <c r="A1" s="205"/>
      <c r="B1" s="204" t="s">
        <v>190</v>
      </c>
      <c r="C1" s="203"/>
      <c r="D1" s="203"/>
      <c r="E1" s="203"/>
      <c r="F1" s="203"/>
      <c r="G1" s="203"/>
      <c r="H1" s="203"/>
      <c r="I1" s="203"/>
      <c r="J1" s="202"/>
      <c r="K1" s="151"/>
      <c r="O1" s="176" t="s">
        <v>189</v>
      </c>
      <c r="Q1" s="176"/>
      <c r="W1" s="162" t="s">
        <v>188</v>
      </c>
    </row>
    <row r="2" spans="1:29" x14ac:dyDescent="0.25">
      <c r="A2" s="201" t="s">
        <v>140</v>
      </c>
      <c r="B2" s="200" t="s">
        <v>203</v>
      </c>
      <c r="C2" s="199" t="s">
        <v>152</v>
      </c>
      <c r="D2" s="198" t="s">
        <v>102</v>
      </c>
      <c r="E2" s="198" t="s">
        <v>67</v>
      </c>
      <c r="F2" s="198" t="s">
        <v>138</v>
      </c>
      <c r="G2" s="198" t="s">
        <v>75</v>
      </c>
      <c r="H2" s="198" t="s">
        <v>137</v>
      </c>
      <c r="I2" s="198" t="s">
        <v>192</v>
      </c>
      <c r="J2" s="197" t="s">
        <v>191</v>
      </c>
      <c r="L2" s="162" t="s">
        <v>202</v>
      </c>
      <c r="M2" s="139">
        <v>100</v>
      </c>
      <c r="P2" s="162" t="s">
        <v>102</v>
      </c>
      <c r="Q2" s="167" t="s">
        <v>67</v>
      </c>
      <c r="R2" s="167" t="s">
        <v>138</v>
      </c>
      <c r="S2" s="167" t="s">
        <v>75</v>
      </c>
      <c r="T2" s="167" t="s">
        <v>137</v>
      </c>
      <c r="U2" s="167" t="s">
        <v>127</v>
      </c>
      <c r="V2" s="162"/>
      <c r="W2" s="162"/>
      <c r="X2" s="162" t="s">
        <v>102</v>
      </c>
      <c r="Y2" s="162" t="s">
        <v>67</v>
      </c>
      <c r="Z2" s="162" t="s">
        <v>138</v>
      </c>
      <c r="AA2" s="162" t="s">
        <v>75</v>
      </c>
      <c r="AB2" s="162" t="s">
        <v>137</v>
      </c>
      <c r="AC2" s="162" t="s">
        <v>127</v>
      </c>
    </row>
    <row r="3" spans="1:29" x14ac:dyDescent="0.25">
      <c r="A3" s="196">
        <v>43132</v>
      </c>
      <c r="B3" s="195"/>
      <c r="C3" s="158">
        <v>0.5</v>
      </c>
      <c r="D3" s="164">
        <v>1</v>
      </c>
      <c r="E3" s="164">
        <v>1</v>
      </c>
      <c r="F3" s="164">
        <v>1</v>
      </c>
      <c r="G3" s="164">
        <v>1</v>
      </c>
      <c r="H3" s="164">
        <v>1</v>
      </c>
      <c r="I3" s="164">
        <v>1</v>
      </c>
      <c r="J3" s="190">
        <f>SUM(D3:I3)*Overview!$K$1*C3</f>
        <v>300</v>
      </c>
      <c r="L3" s="162"/>
      <c r="P3" s="184">
        <f>IF(D3=1,Overview!$K$1*$C3,0)</f>
        <v>50</v>
      </c>
      <c r="Q3" s="184">
        <f>IF(E3=1,Overview!$K$1*$C3,0)</f>
        <v>50</v>
      </c>
      <c r="R3" s="184">
        <f>IF(F3=1,Overview!$K$1*$C3,0)</f>
        <v>50</v>
      </c>
      <c r="S3" s="184">
        <f>IF(G3=1,Overview!$K$1*$C3,0)</f>
        <v>50</v>
      </c>
      <c r="T3" s="184">
        <f>IF(H3=1,Overview!$K$1*$C3,0)</f>
        <v>50</v>
      </c>
      <c r="U3" s="184">
        <f>IF(I3=1,Overview!$K$1*$C3,0)</f>
        <v>50</v>
      </c>
      <c r="V3" s="184"/>
      <c r="X3" s="139">
        <f t="shared" ref="X3:X24" si="0">IF(D3=1,$C3,0)</f>
        <v>0.5</v>
      </c>
      <c r="Y3" s="139">
        <f t="shared" ref="Y3:Y24" si="1">IF(E3=1,$C3,0)</f>
        <v>0.5</v>
      </c>
      <c r="Z3" s="139">
        <f t="shared" ref="Z3:Z24" si="2">IF(F3=1,$C3,0)</f>
        <v>0.5</v>
      </c>
      <c r="AA3" s="139">
        <f t="shared" ref="AA3:AA24" si="3">IF(G3=1,$C3,0)</f>
        <v>0.5</v>
      </c>
      <c r="AB3" s="139">
        <f t="shared" ref="AB3:AB24" si="4">IF(H3=1,$C3,0)</f>
        <v>0.5</v>
      </c>
      <c r="AC3" s="139">
        <f t="shared" ref="AC3:AC24" si="5">IF(I3=1,$C3,0)</f>
        <v>0.5</v>
      </c>
    </row>
    <row r="4" spans="1:29" x14ac:dyDescent="0.25">
      <c r="A4" s="194">
        <v>43137</v>
      </c>
      <c r="B4" s="193"/>
      <c r="C4" s="160">
        <v>0.5</v>
      </c>
      <c r="D4" s="156">
        <v>1</v>
      </c>
      <c r="E4" s="156">
        <v>1</v>
      </c>
      <c r="F4" s="156">
        <v>1</v>
      </c>
      <c r="G4" s="156">
        <v>1</v>
      </c>
      <c r="H4" s="156">
        <v>1</v>
      </c>
      <c r="I4" s="156">
        <v>1</v>
      </c>
      <c r="J4" s="190">
        <f>SUM(D4:I4)*Overview!$K$1*C4</f>
        <v>300</v>
      </c>
      <c r="P4" s="184">
        <f>IF(D4=1,Overview!$K$1*$C4,0)</f>
        <v>50</v>
      </c>
      <c r="Q4" s="184">
        <f>IF(E4=1,Overview!$K$1*$C4,0)</f>
        <v>50</v>
      </c>
      <c r="R4" s="184">
        <f>IF(F4=1,Overview!$K$1*$C4,0)</f>
        <v>50</v>
      </c>
      <c r="S4" s="184">
        <f>IF(G4=1,Overview!$K$1*$C4,0)</f>
        <v>50</v>
      </c>
      <c r="T4" s="184">
        <f>IF(H4=1,Overview!$K$1*$C4,0)</f>
        <v>50</v>
      </c>
      <c r="U4" s="184">
        <f>IF(I4=1,Overview!$K$1*$C4,0)</f>
        <v>50</v>
      </c>
      <c r="V4" s="184"/>
      <c r="X4" s="139">
        <f t="shared" si="0"/>
        <v>0.5</v>
      </c>
      <c r="Y4" s="139">
        <f t="shared" si="1"/>
        <v>0.5</v>
      </c>
      <c r="Z4" s="139">
        <f t="shared" si="2"/>
        <v>0.5</v>
      </c>
      <c r="AA4" s="139">
        <f t="shared" si="3"/>
        <v>0.5</v>
      </c>
      <c r="AB4" s="139">
        <f t="shared" si="4"/>
        <v>0.5</v>
      </c>
      <c r="AC4" s="139">
        <f t="shared" si="5"/>
        <v>0.5</v>
      </c>
    </row>
    <row r="5" spans="1:29" x14ac:dyDescent="0.25">
      <c r="A5" s="194">
        <v>43139</v>
      </c>
      <c r="B5" s="193"/>
      <c r="C5" s="160">
        <v>0.5</v>
      </c>
      <c r="D5" s="156">
        <v>1</v>
      </c>
      <c r="E5" s="156">
        <v>1</v>
      </c>
      <c r="F5" s="156">
        <v>1</v>
      </c>
      <c r="G5" s="156">
        <v>1</v>
      </c>
      <c r="H5" s="156">
        <v>1</v>
      </c>
      <c r="I5" s="156">
        <v>1</v>
      </c>
      <c r="J5" s="190">
        <f>SUM(D5:I5)*Overview!$K$1*C5</f>
        <v>300</v>
      </c>
      <c r="P5" s="184">
        <f>IF(D5=1,Overview!$K$1*$C5,0)</f>
        <v>50</v>
      </c>
      <c r="Q5" s="184">
        <f>IF(E5=1,Overview!$K$1*$C5,0)</f>
        <v>50</v>
      </c>
      <c r="R5" s="184">
        <f>IF(F5=1,Overview!$K$1*$C5,0)</f>
        <v>50</v>
      </c>
      <c r="S5" s="184">
        <f>IF(G5=1,Overview!$K$1*$C5,0)</f>
        <v>50</v>
      </c>
      <c r="T5" s="184">
        <f>IF(H5=1,Overview!$K$1*$C5,0)</f>
        <v>50</v>
      </c>
      <c r="U5" s="184">
        <f>IF(I5=1,Overview!$K$1*$C5,0)</f>
        <v>50</v>
      </c>
      <c r="V5" s="184"/>
      <c r="X5" s="139">
        <f t="shared" si="0"/>
        <v>0.5</v>
      </c>
      <c r="Y5" s="139">
        <f t="shared" si="1"/>
        <v>0.5</v>
      </c>
      <c r="Z5" s="139">
        <f t="shared" si="2"/>
        <v>0.5</v>
      </c>
      <c r="AA5" s="139">
        <f t="shared" si="3"/>
        <v>0.5</v>
      </c>
      <c r="AB5" s="139">
        <f t="shared" si="4"/>
        <v>0.5</v>
      </c>
      <c r="AC5" s="139">
        <f t="shared" si="5"/>
        <v>0.5</v>
      </c>
    </row>
    <row r="6" spans="1:29" x14ac:dyDescent="0.25">
      <c r="A6" s="194">
        <v>43144</v>
      </c>
      <c r="B6" s="193"/>
      <c r="C6" s="160">
        <v>0.75</v>
      </c>
      <c r="D6" s="156">
        <v>1</v>
      </c>
      <c r="E6" s="156"/>
      <c r="F6" s="156">
        <v>1</v>
      </c>
      <c r="G6" s="156">
        <v>1</v>
      </c>
      <c r="H6" s="156">
        <v>1</v>
      </c>
      <c r="I6" s="156">
        <v>1</v>
      </c>
      <c r="J6" s="190">
        <f>SUM(D6:I6)*Overview!$K$1*C6</f>
        <v>375</v>
      </c>
      <c r="P6" s="184">
        <f>IF(D6=1,Overview!$K$1*$C6,0)</f>
        <v>75</v>
      </c>
      <c r="Q6" s="184">
        <f>IF(E6=1,Overview!$K$1*$C6,0)</f>
        <v>0</v>
      </c>
      <c r="R6" s="184">
        <f>IF(F6=1,Overview!$K$1*$C6,0)</f>
        <v>75</v>
      </c>
      <c r="S6" s="184">
        <f>IF(G6=1,Overview!$K$1*$C6,0)</f>
        <v>75</v>
      </c>
      <c r="T6" s="184">
        <f>IF(H6=1,Overview!$K$1*$C6,0)</f>
        <v>75</v>
      </c>
      <c r="U6" s="184">
        <f>IF(I6=1,Overview!$K$1*$C6,0)</f>
        <v>75</v>
      </c>
      <c r="V6" s="184"/>
      <c r="X6" s="139">
        <f t="shared" si="0"/>
        <v>0.75</v>
      </c>
      <c r="Y6" s="139">
        <f t="shared" si="1"/>
        <v>0</v>
      </c>
      <c r="Z6" s="139">
        <f t="shared" si="2"/>
        <v>0.75</v>
      </c>
      <c r="AA6" s="139">
        <f t="shared" si="3"/>
        <v>0.75</v>
      </c>
      <c r="AB6" s="139">
        <f t="shared" si="4"/>
        <v>0.75</v>
      </c>
      <c r="AC6" s="139">
        <f t="shared" si="5"/>
        <v>0.75</v>
      </c>
    </row>
    <row r="7" spans="1:29" x14ac:dyDescent="0.25">
      <c r="A7" s="194">
        <v>43151</v>
      </c>
      <c r="B7" s="193" t="s">
        <v>201</v>
      </c>
      <c r="C7" s="160">
        <v>1</v>
      </c>
      <c r="D7" s="156">
        <v>1</v>
      </c>
      <c r="E7" s="156">
        <v>1</v>
      </c>
      <c r="F7" s="156">
        <v>1</v>
      </c>
      <c r="G7" s="156">
        <v>1</v>
      </c>
      <c r="H7" s="156">
        <v>1</v>
      </c>
      <c r="I7" s="156">
        <v>1</v>
      </c>
      <c r="J7" s="190">
        <f>SUM(D7:I7)*Overview!$K$1*C7</f>
        <v>600</v>
      </c>
      <c r="P7" s="184">
        <f>IF(D7=1,Overview!$K$1*$C7,0)</f>
        <v>100</v>
      </c>
      <c r="Q7" s="184">
        <f>IF(E7=1,Overview!$K$1*$C7,0)</f>
        <v>100</v>
      </c>
      <c r="R7" s="184">
        <f>IF(F7=1,Overview!$K$1*$C7,0)</f>
        <v>100</v>
      </c>
      <c r="S7" s="184">
        <f>IF(G7=1,Overview!$K$1*$C7,0)</f>
        <v>100</v>
      </c>
      <c r="T7" s="184">
        <f>IF(H7=1,Overview!$K$1*$C7,0)</f>
        <v>100</v>
      </c>
      <c r="U7" s="184">
        <f>IF(I7=1,Overview!$K$1*$C7,0)</f>
        <v>100</v>
      </c>
      <c r="V7" s="184"/>
      <c r="X7" s="139">
        <f t="shared" si="0"/>
        <v>1</v>
      </c>
      <c r="Y7" s="139">
        <f t="shared" si="1"/>
        <v>1</v>
      </c>
      <c r="Z7" s="139">
        <f t="shared" si="2"/>
        <v>1</v>
      </c>
      <c r="AA7" s="139">
        <f t="shared" si="3"/>
        <v>1</v>
      </c>
      <c r="AB7" s="139">
        <f t="shared" si="4"/>
        <v>1</v>
      </c>
      <c r="AC7" s="139">
        <f t="shared" si="5"/>
        <v>1</v>
      </c>
    </row>
    <row r="8" spans="1:29" x14ac:dyDescent="0.25">
      <c r="A8" s="194">
        <v>43153</v>
      </c>
      <c r="B8" s="193" t="s">
        <v>200</v>
      </c>
      <c r="C8" s="160">
        <v>1</v>
      </c>
      <c r="D8" s="156"/>
      <c r="E8" s="156">
        <v>1</v>
      </c>
      <c r="F8" s="156">
        <v>1</v>
      </c>
      <c r="G8" s="156">
        <v>1</v>
      </c>
      <c r="H8" s="156">
        <v>1</v>
      </c>
      <c r="I8" s="156">
        <v>1</v>
      </c>
      <c r="J8" s="190">
        <f>SUM(D8:I8)*Overview!$K$1*C8</f>
        <v>500</v>
      </c>
      <c r="P8" s="184">
        <f>IF(D8=1,Overview!$K$1*$C8,0)</f>
        <v>0</v>
      </c>
      <c r="Q8" s="184">
        <f>IF(E8=1,Overview!$K$1*$C8,0)</f>
        <v>100</v>
      </c>
      <c r="R8" s="184">
        <f>IF(F8=1,Overview!$K$1*$C8,0)</f>
        <v>100</v>
      </c>
      <c r="S8" s="184">
        <f>IF(G8=1,Overview!$K$1*$C8,0)</f>
        <v>100</v>
      </c>
      <c r="T8" s="184">
        <f>IF(H8=1,Overview!$K$1*$C8,0)</f>
        <v>100</v>
      </c>
      <c r="U8" s="184">
        <f>IF(I8=1,Overview!$K$1*$C8,0)</f>
        <v>100</v>
      </c>
      <c r="V8" s="184"/>
      <c r="X8" s="139">
        <f t="shared" si="0"/>
        <v>0</v>
      </c>
      <c r="Y8" s="139">
        <f t="shared" si="1"/>
        <v>1</v>
      </c>
      <c r="Z8" s="139">
        <f t="shared" si="2"/>
        <v>1</v>
      </c>
      <c r="AA8" s="139">
        <f t="shared" si="3"/>
        <v>1</v>
      </c>
      <c r="AB8" s="139">
        <f t="shared" si="4"/>
        <v>1</v>
      </c>
      <c r="AC8" s="139">
        <f t="shared" si="5"/>
        <v>1</v>
      </c>
    </row>
    <row r="9" spans="1:29" x14ac:dyDescent="0.25">
      <c r="A9" s="194">
        <v>43158</v>
      </c>
      <c r="B9" s="193" t="s">
        <v>199</v>
      </c>
      <c r="C9" s="160">
        <v>1.5</v>
      </c>
      <c r="D9" s="156">
        <v>1</v>
      </c>
      <c r="E9" s="156">
        <v>1</v>
      </c>
      <c r="F9" s="156">
        <v>1</v>
      </c>
      <c r="G9" s="156">
        <v>1</v>
      </c>
      <c r="H9" s="156">
        <v>1</v>
      </c>
      <c r="I9" s="156">
        <v>1</v>
      </c>
      <c r="J9" s="190">
        <f>SUM(D9:I9)*Overview!$K$1*C9</f>
        <v>900</v>
      </c>
      <c r="P9" s="184">
        <f>IF(D9=1,Overview!$K$1*$C9,0)</f>
        <v>150</v>
      </c>
      <c r="Q9" s="184">
        <f>IF(E9=1,Overview!$K$1*$C9,0)</f>
        <v>150</v>
      </c>
      <c r="R9" s="184">
        <f>IF(F9=1,Overview!$K$1*$C9,0)</f>
        <v>150</v>
      </c>
      <c r="S9" s="184">
        <f>IF(G9=1,Overview!$K$1*$C9,0)</f>
        <v>150</v>
      </c>
      <c r="T9" s="184">
        <f>IF(H9=1,Overview!$K$1*$C9,0)</f>
        <v>150</v>
      </c>
      <c r="U9" s="184">
        <f>IF(I9=1,Overview!$K$1*$C9,0)</f>
        <v>150</v>
      </c>
      <c r="V9" s="184"/>
      <c r="X9" s="139">
        <f t="shared" si="0"/>
        <v>1.5</v>
      </c>
      <c r="Y9" s="139">
        <f t="shared" si="1"/>
        <v>1.5</v>
      </c>
      <c r="Z9" s="139">
        <f t="shared" si="2"/>
        <v>1.5</v>
      </c>
      <c r="AA9" s="139">
        <f t="shared" si="3"/>
        <v>1.5</v>
      </c>
      <c r="AB9" s="139">
        <f t="shared" si="4"/>
        <v>1.5</v>
      </c>
      <c r="AC9" s="139">
        <f t="shared" si="5"/>
        <v>1.5</v>
      </c>
    </row>
    <row r="10" spans="1:29" x14ac:dyDescent="0.25">
      <c r="A10" s="194">
        <v>43160</v>
      </c>
      <c r="B10" s="193" t="s">
        <v>198</v>
      </c>
      <c r="C10" s="160">
        <v>2</v>
      </c>
      <c r="D10" s="156">
        <v>1</v>
      </c>
      <c r="E10" s="156">
        <v>1</v>
      </c>
      <c r="F10" s="156">
        <v>1</v>
      </c>
      <c r="G10" s="156">
        <v>1</v>
      </c>
      <c r="H10" s="156">
        <v>1</v>
      </c>
      <c r="I10" s="156">
        <v>1</v>
      </c>
      <c r="J10" s="190">
        <f>SUM(D10:I10)*Overview!$K$1*C10</f>
        <v>1200</v>
      </c>
      <c r="P10" s="184">
        <f>IF(D10=1,Overview!$K$1*$C10,0)</f>
        <v>200</v>
      </c>
      <c r="Q10" s="184">
        <f>IF(E10=1,Overview!$K$1*$C10,0)</f>
        <v>200</v>
      </c>
      <c r="R10" s="184">
        <f>IF(F10=1,Overview!$K$1*$C10,0)</f>
        <v>200</v>
      </c>
      <c r="S10" s="184">
        <f>IF(G10=1,Overview!$K$1*$C10,0)</f>
        <v>200</v>
      </c>
      <c r="T10" s="184">
        <f>IF(H10=1,Overview!$K$1*$C10,0)</f>
        <v>200</v>
      </c>
      <c r="U10" s="184">
        <f>IF(I10=1,Overview!$K$1*$C10,0)</f>
        <v>200</v>
      </c>
      <c r="V10" s="184"/>
      <c r="X10" s="139">
        <f t="shared" si="0"/>
        <v>2</v>
      </c>
      <c r="Y10" s="139">
        <f t="shared" si="1"/>
        <v>2</v>
      </c>
      <c r="Z10" s="139">
        <f t="shared" si="2"/>
        <v>2</v>
      </c>
      <c r="AA10" s="139">
        <f t="shared" si="3"/>
        <v>2</v>
      </c>
      <c r="AB10" s="139">
        <f t="shared" si="4"/>
        <v>2</v>
      </c>
      <c r="AC10" s="139">
        <f t="shared" si="5"/>
        <v>2</v>
      </c>
    </row>
    <row r="11" spans="1:29" x14ac:dyDescent="0.25">
      <c r="A11" s="194">
        <v>43164</v>
      </c>
      <c r="B11" s="193" t="s">
        <v>197</v>
      </c>
      <c r="C11" s="160">
        <v>0.5</v>
      </c>
      <c r="D11" s="156">
        <v>1</v>
      </c>
      <c r="E11" s="156">
        <v>1</v>
      </c>
      <c r="F11" s="156">
        <v>1</v>
      </c>
      <c r="G11" s="156">
        <v>1</v>
      </c>
      <c r="H11" s="156">
        <v>1</v>
      </c>
      <c r="I11" s="156">
        <v>1</v>
      </c>
      <c r="J11" s="190">
        <f>SUM(D11:I11)*Overview!$K$1*C11</f>
        <v>300</v>
      </c>
      <c r="P11" s="184">
        <f>IF(D11=1,Overview!$K$1*$C11,0)</f>
        <v>50</v>
      </c>
      <c r="Q11" s="184">
        <f>IF(E11=1,Overview!$K$1*$C11,0)</f>
        <v>50</v>
      </c>
      <c r="R11" s="184">
        <f>IF(F11=1,Overview!$K$1*$C11,0)</f>
        <v>50</v>
      </c>
      <c r="S11" s="184">
        <f>IF(G11=1,Overview!$K$1*$C11,0)</f>
        <v>50</v>
      </c>
      <c r="T11" s="184">
        <f>IF(H11=1,Overview!$K$1*$C11,0)</f>
        <v>50</v>
      </c>
      <c r="U11" s="184">
        <f>IF(I11=1,Overview!$K$1*$C11,0)</f>
        <v>50</v>
      </c>
      <c r="V11" s="184"/>
      <c r="X11" s="139">
        <f t="shared" si="0"/>
        <v>0.5</v>
      </c>
      <c r="Y11" s="139">
        <f t="shared" si="1"/>
        <v>0.5</v>
      </c>
      <c r="Z11" s="139">
        <f t="shared" si="2"/>
        <v>0.5</v>
      </c>
      <c r="AA11" s="139">
        <f t="shared" si="3"/>
        <v>0.5</v>
      </c>
      <c r="AB11" s="139">
        <f t="shared" si="4"/>
        <v>0.5</v>
      </c>
      <c r="AC11" s="139">
        <f t="shared" si="5"/>
        <v>0.5</v>
      </c>
    </row>
    <row r="12" spans="1:29" x14ac:dyDescent="0.25">
      <c r="A12" s="194">
        <v>43165</v>
      </c>
      <c r="B12" s="193" t="s">
        <v>196</v>
      </c>
      <c r="C12" s="160">
        <v>1</v>
      </c>
      <c r="D12" s="156">
        <v>1</v>
      </c>
      <c r="E12" s="156">
        <v>1</v>
      </c>
      <c r="F12" s="156">
        <v>1</v>
      </c>
      <c r="G12" s="156">
        <v>1</v>
      </c>
      <c r="H12" s="156">
        <v>1</v>
      </c>
      <c r="I12" s="156">
        <v>1</v>
      </c>
      <c r="J12" s="190">
        <f>SUM(D12:I12)*Overview!$K$1*C12</f>
        <v>600</v>
      </c>
      <c r="P12" s="184">
        <f>IF(D12=1,Overview!$K$1*$C12,0)</f>
        <v>100</v>
      </c>
      <c r="Q12" s="184">
        <f>IF(E12=1,Overview!$K$1*$C12,0)</f>
        <v>100</v>
      </c>
      <c r="R12" s="184">
        <f>IF(F12=1,Overview!$K$1*$C12,0)</f>
        <v>100</v>
      </c>
      <c r="S12" s="184">
        <f>IF(G12=1,Overview!$K$1*$C12,0)</f>
        <v>100</v>
      </c>
      <c r="T12" s="184">
        <f>IF(H12=1,Overview!$K$1*$C12,0)</f>
        <v>100</v>
      </c>
      <c r="U12" s="184">
        <f>IF(I12=1,Overview!$K$1*$C12,0)</f>
        <v>100</v>
      </c>
      <c r="V12" s="184"/>
      <c r="X12" s="139">
        <f t="shared" si="0"/>
        <v>1</v>
      </c>
      <c r="Y12" s="139">
        <f t="shared" si="1"/>
        <v>1</v>
      </c>
      <c r="Z12" s="139">
        <f t="shared" si="2"/>
        <v>1</v>
      </c>
      <c r="AA12" s="139">
        <f t="shared" si="3"/>
        <v>1</v>
      </c>
      <c r="AB12" s="139">
        <f t="shared" si="4"/>
        <v>1</v>
      </c>
      <c r="AC12" s="139">
        <f t="shared" si="5"/>
        <v>1</v>
      </c>
    </row>
    <row r="13" spans="1:29" x14ac:dyDescent="0.25">
      <c r="A13" s="194">
        <v>43167</v>
      </c>
      <c r="B13" s="193" t="s">
        <v>195</v>
      </c>
      <c r="C13" s="160">
        <v>0.5</v>
      </c>
      <c r="D13" s="156">
        <v>1</v>
      </c>
      <c r="E13" s="156">
        <v>1</v>
      </c>
      <c r="F13" s="156">
        <v>1</v>
      </c>
      <c r="G13" s="156">
        <v>1</v>
      </c>
      <c r="H13" s="156">
        <v>1</v>
      </c>
      <c r="I13" s="156">
        <v>1</v>
      </c>
      <c r="J13" s="190">
        <f>SUM(D13:I13)*Overview!$K$1*C13</f>
        <v>300</v>
      </c>
      <c r="P13" s="184">
        <f>IF(D13=1,Overview!$K$1*$C13,0)</f>
        <v>50</v>
      </c>
      <c r="Q13" s="184">
        <f>IF(E13=1,Overview!$K$1*$C13,0)</f>
        <v>50</v>
      </c>
      <c r="R13" s="184">
        <f>IF(F13=1,Overview!$K$1*$C13,0)</f>
        <v>50</v>
      </c>
      <c r="S13" s="184">
        <f>IF(G13=1,Overview!$K$1*$C13,0)</f>
        <v>50</v>
      </c>
      <c r="T13" s="184">
        <f>IF(H13=1,Overview!$K$1*$C13,0)</f>
        <v>50</v>
      </c>
      <c r="U13" s="184">
        <f>IF(I13=1,Overview!$K$1*$C13,0)</f>
        <v>50</v>
      </c>
      <c r="V13" s="184"/>
      <c r="X13" s="139">
        <f t="shared" si="0"/>
        <v>0.5</v>
      </c>
      <c r="Y13" s="139">
        <f t="shared" si="1"/>
        <v>0.5</v>
      </c>
      <c r="Z13" s="139">
        <f t="shared" si="2"/>
        <v>0.5</v>
      </c>
      <c r="AA13" s="139">
        <f t="shared" si="3"/>
        <v>0.5</v>
      </c>
      <c r="AB13" s="139">
        <f t="shared" si="4"/>
        <v>0.5</v>
      </c>
      <c r="AC13" s="139">
        <f t="shared" si="5"/>
        <v>0.5</v>
      </c>
    </row>
    <row r="14" spans="1:29" x14ac:dyDescent="0.25">
      <c r="A14" s="194">
        <v>43179</v>
      </c>
      <c r="B14" s="193" t="s">
        <v>194</v>
      </c>
      <c r="C14" s="160">
        <v>2</v>
      </c>
      <c r="D14" s="156">
        <v>1</v>
      </c>
      <c r="E14" s="156"/>
      <c r="F14" s="156">
        <v>1</v>
      </c>
      <c r="G14" s="156">
        <v>1</v>
      </c>
      <c r="H14" s="156">
        <v>1</v>
      </c>
      <c r="I14" s="156">
        <v>1</v>
      </c>
      <c r="J14" s="190">
        <f>SUM(D14:I14)*Overview!$K$1*C14</f>
        <v>1000</v>
      </c>
      <c r="P14" s="184">
        <f>IF(D14=1,Overview!$K$1*$C14,0)</f>
        <v>200</v>
      </c>
      <c r="Q14" s="184">
        <f>IF(E14=1,Overview!$K$1*$C14,0)</f>
        <v>0</v>
      </c>
      <c r="R14" s="184">
        <f>IF(F14=1,Overview!$K$1*$C14,0)</f>
        <v>200</v>
      </c>
      <c r="S14" s="184">
        <f>IF(G14=1,Overview!$K$1*$C14,0)</f>
        <v>200</v>
      </c>
      <c r="T14" s="184">
        <f>IF(H14=1,Overview!$K$1*$C14,0)</f>
        <v>200</v>
      </c>
      <c r="U14" s="184">
        <f>IF(I14=1,Overview!$K$1*$C14,0)</f>
        <v>200</v>
      </c>
      <c r="V14" s="184"/>
      <c r="X14" s="139">
        <f t="shared" si="0"/>
        <v>2</v>
      </c>
      <c r="Y14" s="139">
        <f t="shared" si="1"/>
        <v>0</v>
      </c>
      <c r="Z14" s="139">
        <f t="shared" si="2"/>
        <v>2</v>
      </c>
      <c r="AA14" s="139">
        <f t="shared" si="3"/>
        <v>2</v>
      </c>
      <c r="AB14" s="139">
        <f t="shared" si="4"/>
        <v>2</v>
      </c>
      <c r="AC14" s="139">
        <f t="shared" si="5"/>
        <v>2</v>
      </c>
    </row>
    <row r="15" spans="1:29" ht="26.25" x14ac:dyDescent="0.25">
      <c r="A15" s="194">
        <v>43186</v>
      </c>
      <c r="B15" s="193" t="s">
        <v>193</v>
      </c>
      <c r="C15" s="160">
        <v>0.5</v>
      </c>
      <c r="D15" s="191">
        <v>1</v>
      </c>
      <c r="E15" s="191">
        <v>1</v>
      </c>
      <c r="F15" s="191">
        <v>1</v>
      </c>
      <c r="G15" s="191">
        <v>1</v>
      </c>
      <c r="H15" s="191">
        <v>1</v>
      </c>
      <c r="I15" s="191">
        <v>1</v>
      </c>
      <c r="J15" s="190">
        <f>SUM(D15:I15)*Overview!$K$1*C15</f>
        <v>300</v>
      </c>
      <c r="P15" s="184">
        <f>IF(D15=1,Overview!$K$1*$C15,0)</f>
        <v>50</v>
      </c>
      <c r="Q15" s="184">
        <f>IF(E15=1,Overview!$K$1*$C15,0)</f>
        <v>50</v>
      </c>
      <c r="R15" s="184">
        <f>IF(F15=1,Overview!$K$1*$C15,0)</f>
        <v>50</v>
      </c>
      <c r="S15" s="184">
        <f>IF(G15=1,Overview!$K$1*$C15,0)</f>
        <v>50</v>
      </c>
      <c r="T15" s="184">
        <f>IF(H15=1,Overview!$K$1*$C15,0)</f>
        <v>50</v>
      </c>
      <c r="U15" s="184">
        <f>IF(I15=1,Overview!$K$1*$C15,0)</f>
        <v>50</v>
      </c>
      <c r="V15" s="184"/>
      <c r="X15" s="139">
        <f t="shared" si="0"/>
        <v>0.5</v>
      </c>
      <c r="Y15" s="139">
        <f t="shared" si="1"/>
        <v>0.5</v>
      </c>
      <c r="Z15" s="139">
        <f t="shared" si="2"/>
        <v>0.5</v>
      </c>
      <c r="AA15" s="139">
        <f t="shared" si="3"/>
        <v>0.5</v>
      </c>
      <c r="AB15" s="139">
        <f t="shared" si="4"/>
        <v>0.5</v>
      </c>
      <c r="AC15" s="139">
        <f t="shared" si="5"/>
        <v>0.5</v>
      </c>
    </row>
    <row r="16" spans="1:29" x14ac:dyDescent="0.25">
      <c r="A16" s="194"/>
      <c r="B16" s="193"/>
      <c r="C16" s="160"/>
      <c r="D16" s="191"/>
      <c r="E16" s="191"/>
      <c r="F16" s="191"/>
      <c r="G16" s="191"/>
      <c r="H16" s="191"/>
      <c r="I16" s="191"/>
      <c r="J16" s="190">
        <f>SUM(D16:I16)*Overview!$K$1*C16</f>
        <v>0</v>
      </c>
      <c r="P16" s="184">
        <f>IF(D16=1,Overview!$K$1*$C16,0)</f>
        <v>0</v>
      </c>
      <c r="Q16" s="184">
        <f>IF(E16=1,Overview!$K$1*$C16,0)</f>
        <v>0</v>
      </c>
      <c r="R16" s="184">
        <f>IF(F16=1,Overview!$K$1*$C16,0)</f>
        <v>0</v>
      </c>
      <c r="S16" s="184">
        <f>IF(G16=1,Overview!$K$1*$C16,0)</f>
        <v>0</v>
      </c>
      <c r="T16" s="184">
        <f>IF(H16=1,Overview!$K$1*$C16,0)</f>
        <v>0</v>
      </c>
      <c r="U16" s="184">
        <f>IF(I16=1,Overview!$K$1*$C16,0)</f>
        <v>0</v>
      </c>
      <c r="V16" s="184"/>
      <c r="X16" s="139">
        <f t="shared" si="0"/>
        <v>0</v>
      </c>
      <c r="Y16" s="139">
        <f t="shared" si="1"/>
        <v>0</v>
      </c>
      <c r="Z16" s="139">
        <f t="shared" si="2"/>
        <v>0</v>
      </c>
      <c r="AA16" s="139">
        <f t="shared" si="3"/>
        <v>0</v>
      </c>
      <c r="AB16" s="139">
        <f t="shared" si="4"/>
        <v>0</v>
      </c>
      <c r="AC16" s="139">
        <f t="shared" si="5"/>
        <v>0</v>
      </c>
    </row>
    <row r="17" spans="1:30" x14ac:dyDescent="0.25">
      <c r="A17" s="194"/>
      <c r="B17" s="193"/>
      <c r="C17" s="160"/>
      <c r="D17" s="191"/>
      <c r="E17" s="191"/>
      <c r="F17" s="191"/>
      <c r="G17" s="191"/>
      <c r="H17" s="191"/>
      <c r="I17" s="191"/>
      <c r="J17" s="190">
        <f>SUM(D17:I17)*Overview!$K$1*C17</f>
        <v>0</v>
      </c>
      <c r="P17" s="184">
        <f>IF(D17=1,Overview!$K$1*$C17,0)</f>
        <v>0</v>
      </c>
      <c r="Q17" s="184">
        <f>IF(E17=1,Overview!$K$1*$C17,0)</f>
        <v>0</v>
      </c>
      <c r="R17" s="184">
        <f>IF(F17=1,Overview!$K$1*$C17,0)</f>
        <v>0</v>
      </c>
      <c r="S17" s="184">
        <f>IF(G17=1,Overview!$K$1*$C17,0)</f>
        <v>0</v>
      </c>
      <c r="T17" s="184">
        <f>IF(H17=1,Overview!$K$1*$C17,0)</f>
        <v>0</v>
      </c>
      <c r="U17" s="184">
        <f>IF(I17=1,Overview!$K$1*$C17,0)</f>
        <v>0</v>
      </c>
      <c r="V17" s="184"/>
      <c r="X17" s="139">
        <f t="shared" si="0"/>
        <v>0</v>
      </c>
      <c r="Y17" s="139">
        <f t="shared" si="1"/>
        <v>0</v>
      </c>
      <c r="Z17" s="139">
        <f t="shared" si="2"/>
        <v>0</v>
      </c>
      <c r="AA17" s="139">
        <f t="shared" si="3"/>
        <v>0</v>
      </c>
      <c r="AB17" s="139">
        <f t="shared" si="4"/>
        <v>0</v>
      </c>
      <c r="AC17" s="139">
        <f t="shared" si="5"/>
        <v>0</v>
      </c>
    </row>
    <row r="18" spans="1:30" x14ac:dyDescent="0.25">
      <c r="A18" s="194"/>
      <c r="B18" s="193"/>
      <c r="C18" s="160"/>
      <c r="D18" s="191"/>
      <c r="E18" s="191"/>
      <c r="F18" s="191"/>
      <c r="G18" s="191"/>
      <c r="H18" s="191"/>
      <c r="I18" s="191"/>
      <c r="J18" s="190">
        <f>SUM(D18:I18)*Overview!$K$1*C18</f>
        <v>0</v>
      </c>
      <c r="P18" s="184">
        <f>IF(D18=1,Overview!$K$1*$C18,0)</f>
        <v>0</v>
      </c>
      <c r="Q18" s="184">
        <f>IF(E18=1,Overview!$K$1*$C18,0)</f>
        <v>0</v>
      </c>
      <c r="R18" s="184">
        <f>IF(F18=1,Overview!$K$1*$C18,0)</f>
        <v>0</v>
      </c>
      <c r="S18" s="184">
        <f>IF(G18=1,Overview!$K$1*$C18,0)</f>
        <v>0</v>
      </c>
      <c r="T18" s="184">
        <f>IF(H18=1,Overview!$K$1*$C18,0)</f>
        <v>0</v>
      </c>
      <c r="U18" s="184">
        <f>IF(I18=1,Overview!$K$1*$C18,0)</f>
        <v>0</v>
      </c>
      <c r="V18" s="184"/>
      <c r="X18" s="139">
        <f t="shared" si="0"/>
        <v>0</v>
      </c>
      <c r="Y18" s="139">
        <f t="shared" si="1"/>
        <v>0</v>
      </c>
      <c r="Z18" s="139">
        <f t="shared" si="2"/>
        <v>0</v>
      </c>
      <c r="AA18" s="139">
        <f t="shared" si="3"/>
        <v>0</v>
      </c>
      <c r="AB18" s="139">
        <f t="shared" si="4"/>
        <v>0</v>
      </c>
      <c r="AC18" s="139">
        <f t="shared" si="5"/>
        <v>0</v>
      </c>
    </row>
    <row r="19" spans="1:30" x14ac:dyDescent="0.25">
      <c r="A19" s="194"/>
      <c r="B19" s="193"/>
      <c r="C19" s="160"/>
      <c r="D19" s="191"/>
      <c r="E19" s="191"/>
      <c r="F19" s="191"/>
      <c r="G19" s="191"/>
      <c r="H19" s="191"/>
      <c r="I19" s="191"/>
      <c r="J19" s="190">
        <f>SUM(D19:I19)*Overview!$K$1*C19</f>
        <v>0</v>
      </c>
      <c r="P19" s="184">
        <f>IF(D19=1,Overview!$K$1*$C19,0)</f>
        <v>0</v>
      </c>
      <c r="Q19" s="184">
        <f>IF(E19=1,Overview!$K$1*$C19,0)</f>
        <v>0</v>
      </c>
      <c r="R19" s="184">
        <f>IF(F19=1,Overview!$K$1*$C19,0)</f>
        <v>0</v>
      </c>
      <c r="S19" s="184">
        <f>IF(G19=1,Overview!$K$1*$C19,0)</f>
        <v>0</v>
      </c>
      <c r="T19" s="184">
        <f>IF(H19=1,Overview!$K$1*$C19,0)</f>
        <v>0</v>
      </c>
      <c r="U19" s="184">
        <f>IF(I19=1,Overview!$K$1*$C19,0)</f>
        <v>0</v>
      </c>
      <c r="V19" s="184"/>
      <c r="X19" s="139">
        <f t="shared" si="0"/>
        <v>0</v>
      </c>
      <c r="Y19" s="139">
        <f t="shared" si="1"/>
        <v>0</v>
      </c>
      <c r="Z19" s="139">
        <f t="shared" si="2"/>
        <v>0</v>
      </c>
      <c r="AA19" s="139">
        <f t="shared" si="3"/>
        <v>0</v>
      </c>
      <c r="AB19" s="139">
        <f t="shared" si="4"/>
        <v>0</v>
      </c>
      <c r="AC19" s="139">
        <f t="shared" si="5"/>
        <v>0</v>
      </c>
    </row>
    <row r="20" spans="1:30" x14ac:dyDescent="0.25">
      <c r="A20" s="194"/>
      <c r="B20" s="193"/>
      <c r="C20" s="160"/>
      <c r="D20" s="191"/>
      <c r="E20" s="191"/>
      <c r="F20" s="191"/>
      <c r="G20" s="191"/>
      <c r="H20" s="191"/>
      <c r="I20" s="191"/>
      <c r="J20" s="190">
        <f>SUM(D20:I20)*Overview!$K$1*C20</f>
        <v>0</v>
      </c>
      <c r="P20" s="184">
        <f>IF(D20=1,Overview!$K$1*$C20,0)</f>
        <v>0</v>
      </c>
      <c r="Q20" s="184">
        <f>IF(E20=1,Overview!$K$1*$C20,0)</f>
        <v>0</v>
      </c>
      <c r="R20" s="184">
        <f>IF(F20=1,Overview!$K$1*$C20,0)</f>
        <v>0</v>
      </c>
      <c r="S20" s="184">
        <f>IF(G20=1,Overview!$K$1*$C20,0)</f>
        <v>0</v>
      </c>
      <c r="T20" s="184">
        <f>IF(H20=1,Overview!$K$1*$C20,0)</f>
        <v>0</v>
      </c>
      <c r="U20" s="184">
        <f>IF(I20=1,Overview!$K$1*$C20,0)</f>
        <v>0</v>
      </c>
      <c r="V20" s="184"/>
      <c r="X20" s="139">
        <f t="shared" si="0"/>
        <v>0</v>
      </c>
      <c r="Y20" s="139">
        <f t="shared" si="1"/>
        <v>0</v>
      </c>
      <c r="Z20" s="139">
        <f t="shared" si="2"/>
        <v>0</v>
      </c>
      <c r="AA20" s="139">
        <f t="shared" si="3"/>
        <v>0</v>
      </c>
      <c r="AB20" s="139">
        <f t="shared" si="4"/>
        <v>0</v>
      </c>
      <c r="AC20" s="139">
        <f t="shared" si="5"/>
        <v>0</v>
      </c>
    </row>
    <row r="21" spans="1:30" x14ac:dyDescent="0.25">
      <c r="A21" s="194"/>
      <c r="B21" s="193"/>
      <c r="C21" s="160"/>
      <c r="D21" s="191"/>
      <c r="E21" s="191"/>
      <c r="F21" s="191"/>
      <c r="G21" s="191"/>
      <c r="H21" s="191"/>
      <c r="I21" s="191"/>
      <c r="J21" s="190">
        <f>SUM(D21:I21)*Overview!$K$1*C21</f>
        <v>0</v>
      </c>
      <c r="P21" s="184">
        <f>IF(D21=1,Overview!$K$1*$C21,0)</f>
        <v>0</v>
      </c>
      <c r="Q21" s="184">
        <f>IF(E21=1,Overview!$K$1*$C21,0)</f>
        <v>0</v>
      </c>
      <c r="R21" s="184">
        <f>IF(F21=1,Overview!$K$1*$C21,0)</f>
        <v>0</v>
      </c>
      <c r="S21" s="184">
        <f>IF(G21=1,Overview!$K$1*$C21,0)</f>
        <v>0</v>
      </c>
      <c r="T21" s="184">
        <f>IF(H21=1,Overview!$K$1*$C21,0)</f>
        <v>0</v>
      </c>
      <c r="U21" s="184">
        <f>IF(I21=1,Overview!$K$1*$C21,0)</f>
        <v>0</v>
      </c>
      <c r="V21" s="184"/>
      <c r="X21" s="139">
        <f t="shared" si="0"/>
        <v>0</v>
      </c>
      <c r="Y21" s="139">
        <f t="shared" si="1"/>
        <v>0</v>
      </c>
      <c r="Z21" s="139">
        <f t="shared" si="2"/>
        <v>0</v>
      </c>
      <c r="AA21" s="139">
        <f t="shared" si="3"/>
        <v>0</v>
      </c>
      <c r="AB21" s="139">
        <f t="shared" si="4"/>
        <v>0</v>
      </c>
      <c r="AC21" s="139">
        <f t="shared" si="5"/>
        <v>0</v>
      </c>
    </row>
    <row r="22" spans="1:30" x14ac:dyDescent="0.25">
      <c r="A22" s="194"/>
      <c r="B22" s="193"/>
      <c r="C22" s="160"/>
      <c r="D22" s="191"/>
      <c r="E22" s="191"/>
      <c r="F22" s="191"/>
      <c r="G22" s="191"/>
      <c r="H22" s="191"/>
      <c r="I22" s="191"/>
      <c r="J22" s="190">
        <f>SUM(D22:I22)*Overview!$K$1*C22</f>
        <v>0</v>
      </c>
      <c r="P22" s="184">
        <f>IF(D22=1,Overview!$K$1*$C22,0)</f>
        <v>0</v>
      </c>
      <c r="Q22" s="184">
        <f>IF(E22=1,Overview!$K$1*$C22,0)</f>
        <v>0</v>
      </c>
      <c r="R22" s="184">
        <f>IF(F22=1,Overview!$K$1*$C22,0)</f>
        <v>0</v>
      </c>
      <c r="S22" s="184">
        <f>IF(G22=1,Overview!$K$1*$C22,0)</f>
        <v>0</v>
      </c>
      <c r="T22" s="184">
        <f>IF(H22=1,Overview!$K$1*$C22,0)</f>
        <v>0</v>
      </c>
      <c r="U22" s="184">
        <f>IF(I22=1,Overview!$K$1*$C22,0)</f>
        <v>0</v>
      </c>
      <c r="V22" s="184"/>
      <c r="X22" s="139">
        <f t="shared" si="0"/>
        <v>0</v>
      </c>
      <c r="Y22" s="139">
        <f t="shared" si="1"/>
        <v>0</v>
      </c>
      <c r="Z22" s="139">
        <f t="shared" si="2"/>
        <v>0</v>
      </c>
      <c r="AA22" s="139">
        <f t="shared" si="3"/>
        <v>0</v>
      </c>
      <c r="AB22" s="139">
        <f t="shared" si="4"/>
        <v>0</v>
      </c>
      <c r="AC22" s="139">
        <f t="shared" si="5"/>
        <v>0</v>
      </c>
    </row>
    <row r="23" spans="1:30" x14ac:dyDescent="0.25">
      <c r="A23" s="194"/>
      <c r="B23" s="193"/>
      <c r="C23" s="160"/>
      <c r="D23" s="191"/>
      <c r="E23" s="191"/>
      <c r="F23" s="191"/>
      <c r="G23" s="191"/>
      <c r="H23" s="191"/>
      <c r="I23" s="191"/>
      <c r="J23" s="190">
        <f>SUM(D23:I23)*Overview!$K$1*C23</f>
        <v>0</v>
      </c>
      <c r="P23" s="184">
        <f>IF(D23=1,Overview!$K$1*$C23,0)</f>
        <v>0</v>
      </c>
      <c r="Q23" s="184">
        <f>IF(E23=1,Overview!$K$1*$C23,0)</f>
        <v>0</v>
      </c>
      <c r="R23" s="184">
        <f>IF(F23=1,Overview!$K$1*$C23,0)</f>
        <v>0</v>
      </c>
      <c r="S23" s="184">
        <f>IF(G23=1,Overview!$K$1*$C23,0)</f>
        <v>0</v>
      </c>
      <c r="T23" s="184">
        <f>IF(H23=1,Overview!$K$1*$C23,0)</f>
        <v>0</v>
      </c>
      <c r="U23" s="184">
        <f>IF(I23=1,Overview!$K$1*$C23,0)</f>
        <v>0</v>
      </c>
      <c r="V23" s="184"/>
      <c r="X23" s="139">
        <f t="shared" si="0"/>
        <v>0</v>
      </c>
      <c r="Y23" s="139">
        <f t="shared" si="1"/>
        <v>0</v>
      </c>
      <c r="Z23" s="139">
        <f t="shared" si="2"/>
        <v>0</v>
      </c>
      <c r="AA23" s="139">
        <f t="shared" si="3"/>
        <v>0</v>
      </c>
      <c r="AB23" s="139">
        <f t="shared" si="4"/>
        <v>0</v>
      </c>
      <c r="AC23" s="139">
        <f t="shared" si="5"/>
        <v>0</v>
      </c>
    </row>
    <row r="24" spans="1:30" ht="15.75" thickBot="1" x14ac:dyDescent="0.3">
      <c r="A24" s="194"/>
      <c r="B24" s="193"/>
      <c r="C24" s="192"/>
      <c r="D24" s="191"/>
      <c r="E24" s="191"/>
      <c r="F24" s="191"/>
      <c r="G24" s="191"/>
      <c r="H24" s="191"/>
      <c r="I24" s="191"/>
      <c r="J24" s="190">
        <f>SUM(D24:I24)*Overview!$K$1*C24</f>
        <v>0</v>
      </c>
      <c r="P24" s="184">
        <f>IF(D24=1,Overview!$K$1*$C24,0)</f>
        <v>0</v>
      </c>
      <c r="Q24" s="184">
        <f>IF(E24=1,Overview!$K$1*$C24,0)</f>
        <v>0</v>
      </c>
      <c r="R24" s="184">
        <f>IF(F24=1,Overview!$K$1*$C24,0)</f>
        <v>0</v>
      </c>
      <c r="S24" s="184">
        <f>IF(G24=1,Overview!$K$1*$C24,0)</f>
        <v>0</v>
      </c>
      <c r="T24" s="184">
        <f>IF(H24=1,Overview!$K$1*$C24,0)</f>
        <v>0</v>
      </c>
      <c r="U24" s="184">
        <f>IF(I24=1,Overview!$K$1*$C24,0)</f>
        <v>0</v>
      </c>
      <c r="V24" s="184"/>
      <c r="X24" s="139">
        <f t="shared" si="0"/>
        <v>0</v>
      </c>
      <c r="Y24" s="139">
        <f t="shared" si="1"/>
        <v>0</v>
      </c>
      <c r="Z24" s="139">
        <f t="shared" si="2"/>
        <v>0</v>
      </c>
      <c r="AA24" s="139">
        <f t="shared" si="3"/>
        <v>0</v>
      </c>
      <c r="AB24" s="139">
        <f t="shared" si="4"/>
        <v>0</v>
      </c>
      <c r="AC24" s="139">
        <f t="shared" si="5"/>
        <v>0</v>
      </c>
    </row>
    <row r="25" spans="1:30" ht="15.75" thickBot="1" x14ac:dyDescent="0.3">
      <c r="A25" s="189"/>
      <c r="B25" s="148" t="s">
        <v>134</v>
      </c>
      <c r="C25" s="188">
        <f t="shared" ref="C25:J25" si="6">SUM(C3:C24)</f>
        <v>12.25</v>
      </c>
      <c r="D25" s="187">
        <f t="shared" si="6"/>
        <v>12</v>
      </c>
      <c r="E25" s="187">
        <f t="shared" si="6"/>
        <v>11</v>
      </c>
      <c r="F25" s="187">
        <f t="shared" si="6"/>
        <v>13</v>
      </c>
      <c r="G25" s="187">
        <f t="shared" si="6"/>
        <v>13</v>
      </c>
      <c r="H25" s="187">
        <f t="shared" si="6"/>
        <v>13</v>
      </c>
      <c r="I25" s="186">
        <f t="shared" si="6"/>
        <v>13</v>
      </c>
      <c r="J25" s="185">
        <f t="shared" si="6"/>
        <v>6975</v>
      </c>
      <c r="O25" s="139" t="s">
        <v>134</v>
      </c>
      <c r="P25" s="184">
        <f t="shared" ref="P25:U25" si="7">SUM(P3:P24)</f>
        <v>1125</v>
      </c>
      <c r="Q25" s="184">
        <f t="shared" si="7"/>
        <v>950</v>
      </c>
      <c r="R25" s="184">
        <f t="shared" si="7"/>
        <v>1225</v>
      </c>
      <c r="S25" s="184">
        <f t="shared" si="7"/>
        <v>1225</v>
      </c>
      <c r="T25" s="184">
        <f t="shared" si="7"/>
        <v>1225</v>
      </c>
      <c r="U25" s="184">
        <f t="shared" si="7"/>
        <v>1225</v>
      </c>
      <c r="V25" s="184">
        <f>SUM(P25:U25)</f>
        <v>6975</v>
      </c>
      <c r="X25" s="139">
        <f t="shared" ref="X25:AC25" si="8">SUM(X3:X24)</f>
        <v>11.25</v>
      </c>
      <c r="Y25" s="139">
        <f t="shared" si="8"/>
        <v>9.5</v>
      </c>
      <c r="Z25" s="139">
        <f t="shared" si="8"/>
        <v>12.25</v>
      </c>
      <c r="AA25" s="139">
        <f t="shared" si="8"/>
        <v>12.25</v>
      </c>
      <c r="AB25" s="139">
        <f t="shared" si="8"/>
        <v>12.25</v>
      </c>
      <c r="AC25" s="139">
        <f t="shared" si="8"/>
        <v>12.25</v>
      </c>
      <c r="AD25" s="139">
        <f>SUM(X25:AC25)</f>
        <v>69.75</v>
      </c>
    </row>
    <row r="26" spans="1:30" x14ac:dyDescent="0.25">
      <c r="B26" s="183"/>
      <c r="C26" s="182" t="s">
        <v>152</v>
      </c>
      <c r="D26" s="181" t="s">
        <v>102</v>
      </c>
      <c r="E26" s="181" t="s">
        <v>67</v>
      </c>
      <c r="F26" s="181" t="s">
        <v>138</v>
      </c>
      <c r="G26" s="181" t="s">
        <v>75</v>
      </c>
      <c r="H26" s="181" t="s">
        <v>137</v>
      </c>
      <c r="I26" s="181" t="s">
        <v>192</v>
      </c>
      <c r="J26" s="180" t="s">
        <v>191</v>
      </c>
    </row>
  </sheetData>
  <autoFilter ref="A2:J2"/>
  <conditionalFormatting sqref="D3:I24">
    <cfRule type="cellIs" dxfId="3" priority="1" operator="equal">
      <formula>0</formula>
    </cfRule>
    <cfRule type="cellIs" dxfId="2" priority="2" operator="equal">
      <formula>1</formula>
    </cfRule>
  </conditionalFormatting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6"/>
  <sheetViews>
    <sheetView zoomScale="85" zoomScaleNormal="85" workbookViewId="0">
      <selection activeCell="B31" sqref="B31"/>
    </sheetView>
  </sheetViews>
  <sheetFormatPr defaultRowHeight="12.75" x14ac:dyDescent="0.2"/>
  <cols>
    <col min="1" max="1" width="35.7109375" customWidth="1"/>
    <col min="2" max="2" width="18.28515625" customWidth="1"/>
    <col min="3" max="4" width="14.42578125" customWidth="1"/>
    <col min="5" max="1025" width="8.7109375" customWidth="1"/>
  </cols>
  <sheetData>
    <row r="1" spans="1:4" x14ac:dyDescent="0.2">
      <c r="A1" s="69" t="s">
        <v>109</v>
      </c>
      <c r="B1" s="69" t="s">
        <v>110</v>
      </c>
      <c r="C1" s="69" t="s">
        <v>111</v>
      </c>
      <c r="D1" s="69" t="s">
        <v>112</v>
      </c>
    </row>
    <row r="2" spans="1:4" ht="17.25" x14ac:dyDescent="0.3">
      <c r="A2" s="38" t="s">
        <v>19</v>
      </c>
      <c r="B2" s="70"/>
      <c r="D2" s="71"/>
    </row>
    <row r="3" spans="1:4" ht="15.75" x14ac:dyDescent="0.25">
      <c r="A3" s="64" t="s">
        <v>113</v>
      </c>
      <c r="B3" s="62" t="s">
        <v>114</v>
      </c>
      <c r="D3" s="71">
        <f t="shared" ref="D3:D35" si="0">C3*100</f>
        <v>0</v>
      </c>
    </row>
    <row r="4" spans="1:4" ht="15.75" x14ac:dyDescent="0.25">
      <c r="A4" s="65" t="s">
        <v>72</v>
      </c>
      <c r="B4" s="62" t="s">
        <v>73</v>
      </c>
      <c r="C4">
        <v>2</v>
      </c>
      <c r="D4" s="71">
        <f t="shared" si="0"/>
        <v>200</v>
      </c>
    </row>
    <row r="5" spans="1:4" ht="15.75" x14ac:dyDescent="0.25">
      <c r="A5" s="65" t="s">
        <v>74</v>
      </c>
      <c r="B5" s="62" t="s">
        <v>75</v>
      </c>
      <c r="C5">
        <v>1</v>
      </c>
      <c r="D5" s="71">
        <f t="shared" si="0"/>
        <v>100</v>
      </c>
    </row>
    <row r="6" spans="1:4" ht="15.75" x14ac:dyDescent="0.25">
      <c r="A6" s="65" t="s">
        <v>76</v>
      </c>
      <c r="B6" s="62" t="s">
        <v>73</v>
      </c>
      <c r="C6">
        <v>2</v>
      </c>
      <c r="D6" s="71">
        <f t="shared" si="0"/>
        <v>200</v>
      </c>
    </row>
    <row r="7" spans="1:4" ht="15.75" x14ac:dyDescent="0.25">
      <c r="A7" s="72" t="s">
        <v>115</v>
      </c>
      <c r="B7" s="70" t="s">
        <v>67</v>
      </c>
      <c r="D7" s="71">
        <f t="shared" si="0"/>
        <v>0</v>
      </c>
    </row>
    <row r="8" spans="1:4" ht="15.75" x14ac:dyDescent="0.25">
      <c r="A8" s="73" t="s">
        <v>116</v>
      </c>
      <c r="B8" s="70" t="s">
        <v>67</v>
      </c>
      <c r="C8">
        <v>1</v>
      </c>
      <c r="D8" s="71">
        <f t="shared" si="0"/>
        <v>100</v>
      </c>
    </row>
    <row r="9" spans="1:4" ht="15.75" x14ac:dyDescent="0.25">
      <c r="A9" s="73" t="s">
        <v>117</v>
      </c>
      <c r="B9" s="70" t="s">
        <v>67</v>
      </c>
      <c r="C9">
        <v>2</v>
      </c>
      <c r="D9" s="71">
        <f t="shared" si="0"/>
        <v>200</v>
      </c>
    </row>
    <row r="10" spans="1:4" ht="15.75" x14ac:dyDescent="0.25">
      <c r="A10" s="73" t="s">
        <v>118</v>
      </c>
      <c r="B10" s="70" t="s">
        <v>67</v>
      </c>
      <c r="C10">
        <v>1.5</v>
      </c>
      <c r="D10" s="71">
        <f t="shared" si="0"/>
        <v>150</v>
      </c>
    </row>
    <row r="11" spans="1:4" ht="15.75" x14ac:dyDescent="0.25">
      <c r="A11" s="74" t="s">
        <v>119</v>
      </c>
      <c r="B11" s="70" t="s">
        <v>67</v>
      </c>
      <c r="D11" s="71">
        <f t="shared" si="0"/>
        <v>0</v>
      </c>
    </row>
    <row r="12" spans="1:4" ht="15.75" x14ac:dyDescent="0.25">
      <c r="A12" s="74" t="s">
        <v>120</v>
      </c>
      <c r="B12" s="70" t="s">
        <v>121</v>
      </c>
      <c r="C12">
        <v>4</v>
      </c>
      <c r="D12" s="71">
        <f t="shared" si="0"/>
        <v>400</v>
      </c>
    </row>
    <row r="13" spans="1:4" ht="15.75" x14ac:dyDescent="0.25">
      <c r="A13" s="74" t="s">
        <v>122</v>
      </c>
      <c r="B13" s="70" t="s">
        <v>123</v>
      </c>
      <c r="C13">
        <v>3</v>
      </c>
      <c r="D13" s="71">
        <f t="shared" si="0"/>
        <v>300</v>
      </c>
    </row>
    <row r="14" spans="1:4" ht="17.25" x14ac:dyDescent="0.3">
      <c r="A14" s="38" t="s">
        <v>26</v>
      </c>
      <c r="B14" s="70"/>
      <c r="D14" s="71">
        <f t="shared" si="0"/>
        <v>0</v>
      </c>
    </row>
    <row r="15" spans="1:4" ht="15.75" x14ac:dyDescent="0.25">
      <c r="A15" s="64" t="s">
        <v>27</v>
      </c>
      <c r="B15" s="75" t="s">
        <v>124</v>
      </c>
      <c r="C15">
        <v>2</v>
      </c>
      <c r="D15" s="71">
        <f t="shared" si="0"/>
        <v>200</v>
      </c>
    </row>
    <row r="16" spans="1:4" ht="15.75" x14ac:dyDescent="0.25">
      <c r="A16" s="64" t="s">
        <v>28</v>
      </c>
      <c r="B16" s="75" t="s">
        <v>124</v>
      </c>
      <c r="C16">
        <v>2</v>
      </c>
      <c r="D16" s="71">
        <f t="shared" si="0"/>
        <v>200</v>
      </c>
    </row>
    <row r="17" spans="1:4" ht="15.75" x14ac:dyDescent="0.25">
      <c r="A17" s="64" t="s">
        <v>29</v>
      </c>
      <c r="B17" s="75" t="s">
        <v>124</v>
      </c>
      <c r="C17">
        <v>1.5</v>
      </c>
      <c r="D17" s="71">
        <f t="shared" si="0"/>
        <v>150</v>
      </c>
    </row>
    <row r="18" spans="1:4" ht="15.75" x14ac:dyDescent="0.25">
      <c r="A18" s="64" t="s">
        <v>24</v>
      </c>
      <c r="B18" s="75" t="s">
        <v>124</v>
      </c>
      <c r="C18">
        <v>2</v>
      </c>
      <c r="D18" s="71">
        <f t="shared" si="0"/>
        <v>200</v>
      </c>
    </row>
    <row r="19" spans="1:4" ht="15.75" x14ac:dyDescent="0.25">
      <c r="A19" s="64" t="s">
        <v>30</v>
      </c>
      <c r="B19" s="75" t="s">
        <v>124</v>
      </c>
      <c r="C19">
        <v>3</v>
      </c>
      <c r="D19" s="71">
        <f t="shared" si="0"/>
        <v>300</v>
      </c>
    </row>
    <row r="20" spans="1:4" ht="17.25" x14ac:dyDescent="0.3">
      <c r="A20" s="38" t="s">
        <v>31</v>
      </c>
      <c r="B20" s="70"/>
      <c r="D20" s="71">
        <f t="shared" si="0"/>
        <v>0</v>
      </c>
    </row>
    <row r="21" spans="1:4" ht="15.75" x14ac:dyDescent="0.25">
      <c r="A21" s="76" t="s">
        <v>125</v>
      </c>
      <c r="B21" s="70" t="s">
        <v>75</v>
      </c>
      <c r="C21">
        <v>3</v>
      </c>
      <c r="D21" s="71">
        <f t="shared" si="0"/>
        <v>300</v>
      </c>
    </row>
    <row r="22" spans="1:4" ht="15.75" x14ac:dyDescent="0.25">
      <c r="A22" s="77" t="s">
        <v>126</v>
      </c>
      <c r="B22" s="70" t="s">
        <v>127</v>
      </c>
      <c r="C22">
        <v>2</v>
      </c>
      <c r="D22" s="71">
        <f t="shared" si="0"/>
        <v>200</v>
      </c>
    </row>
    <row r="23" spans="1:4" ht="15.75" x14ac:dyDescent="0.25">
      <c r="A23" s="77" t="s">
        <v>128</v>
      </c>
      <c r="B23" s="70" t="s">
        <v>75</v>
      </c>
      <c r="C23">
        <v>3</v>
      </c>
      <c r="D23" s="71">
        <f t="shared" si="0"/>
        <v>300</v>
      </c>
    </row>
    <row r="24" spans="1:4" ht="15.75" x14ac:dyDescent="0.25">
      <c r="A24" s="44" t="s">
        <v>36</v>
      </c>
      <c r="B24" s="70" t="s">
        <v>127</v>
      </c>
      <c r="C24">
        <v>2</v>
      </c>
      <c r="D24" s="71">
        <f t="shared" si="0"/>
        <v>200</v>
      </c>
    </row>
    <row r="25" spans="1:4" ht="15.75" x14ac:dyDescent="0.25">
      <c r="A25" s="76" t="s">
        <v>37</v>
      </c>
      <c r="B25" s="70" t="s">
        <v>87</v>
      </c>
      <c r="C25">
        <v>1.5</v>
      </c>
      <c r="D25" s="71">
        <f t="shared" si="0"/>
        <v>150</v>
      </c>
    </row>
    <row r="26" spans="1:4" ht="15.75" x14ac:dyDescent="0.25">
      <c r="A26" s="42" t="s">
        <v>38</v>
      </c>
      <c r="B26" s="62" t="s">
        <v>87</v>
      </c>
      <c r="C26">
        <v>2</v>
      </c>
      <c r="D26" s="71">
        <f t="shared" si="0"/>
        <v>200</v>
      </c>
    </row>
    <row r="27" spans="1:4" ht="17.25" x14ac:dyDescent="0.3">
      <c r="A27" s="38" t="s">
        <v>39</v>
      </c>
      <c r="B27" s="70"/>
      <c r="D27" s="71">
        <f t="shared" si="0"/>
        <v>0</v>
      </c>
    </row>
    <row r="28" spans="1:4" ht="15" x14ac:dyDescent="0.25">
      <c r="A28" s="78" t="s">
        <v>40</v>
      </c>
      <c r="B28" s="79" t="s">
        <v>129</v>
      </c>
      <c r="C28">
        <v>1</v>
      </c>
      <c r="D28" s="71">
        <f t="shared" si="0"/>
        <v>100</v>
      </c>
    </row>
    <row r="29" spans="1:4" ht="15.75" x14ac:dyDescent="0.25">
      <c r="A29" s="64" t="s">
        <v>41</v>
      </c>
      <c r="B29" s="62" t="s">
        <v>79</v>
      </c>
      <c r="C29">
        <v>1</v>
      </c>
      <c r="D29" s="71">
        <f t="shared" si="0"/>
        <v>100</v>
      </c>
    </row>
    <row r="30" spans="1:4" ht="15.75" x14ac:dyDescent="0.25">
      <c r="A30" s="64" t="s">
        <v>130</v>
      </c>
      <c r="B30" s="62" t="s">
        <v>79</v>
      </c>
      <c r="C30">
        <v>3</v>
      </c>
      <c r="D30" s="71">
        <f t="shared" si="0"/>
        <v>300</v>
      </c>
    </row>
    <row r="31" spans="1:4" ht="17.25" x14ac:dyDescent="0.3">
      <c r="A31" s="45" t="s">
        <v>42</v>
      </c>
      <c r="B31" s="62"/>
      <c r="D31" s="71">
        <f t="shared" si="0"/>
        <v>0</v>
      </c>
    </row>
    <row r="32" spans="1:4" ht="15.75" x14ac:dyDescent="0.25">
      <c r="A32" s="64" t="s">
        <v>131</v>
      </c>
      <c r="B32" s="62" t="s">
        <v>64</v>
      </c>
      <c r="D32" s="71">
        <f t="shared" si="0"/>
        <v>0</v>
      </c>
    </row>
    <row r="33" spans="1:5" ht="15.75" x14ac:dyDescent="0.25">
      <c r="A33" s="65" t="s">
        <v>132</v>
      </c>
      <c r="B33" s="62" t="s">
        <v>47</v>
      </c>
      <c r="C33">
        <v>1.5</v>
      </c>
      <c r="D33" s="71">
        <f t="shared" si="0"/>
        <v>150</v>
      </c>
    </row>
    <row r="34" spans="1:5" ht="15.75" x14ac:dyDescent="0.25">
      <c r="A34" s="65" t="s">
        <v>31</v>
      </c>
      <c r="B34" s="62" t="s">
        <v>47</v>
      </c>
      <c r="C34">
        <v>1.5</v>
      </c>
      <c r="D34" s="71">
        <f t="shared" si="0"/>
        <v>150</v>
      </c>
    </row>
    <row r="35" spans="1:5" ht="15.75" x14ac:dyDescent="0.25">
      <c r="A35" s="65" t="s">
        <v>133</v>
      </c>
      <c r="B35" s="80" t="s">
        <v>102</v>
      </c>
      <c r="C35">
        <v>1.5</v>
      </c>
      <c r="D35" s="71">
        <f t="shared" si="0"/>
        <v>150</v>
      </c>
    </row>
    <row r="36" spans="1:5" x14ac:dyDescent="0.2">
      <c r="A36" s="81"/>
      <c r="B36" s="82"/>
      <c r="C36" s="83">
        <f ca="1">SUM(C2:C38)</f>
        <v>50</v>
      </c>
      <c r="D36" s="84">
        <f ca="1">SUM(D2:D38)</f>
        <v>5000</v>
      </c>
      <c r="E36" s="83" t="s">
        <v>134</v>
      </c>
    </row>
  </sheetData>
  <dataValidations count="1">
    <dataValidation showInputMessage="1" showErrorMessage="1" sqref="A19">
      <formula1>0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K63"/>
  <sheetViews>
    <sheetView topLeftCell="A9" zoomScale="70" zoomScaleNormal="70" workbookViewId="0">
      <selection activeCell="B47" sqref="B47"/>
    </sheetView>
  </sheetViews>
  <sheetFormatPr defaultColWidth="8.85546875" defaultRowHeight="15" outlineLevelCol="1" x14ac:dyDescent="0.25"/>
  <cols>
    <col min="1" max="1" width="9.42578125" style="141" customWidth="1"/>
    <col min="2" max="2" width="51.140625" style="139" customWidth="1"/>
    <col min="3" max="3" width="10.7109375" style="139" customWidth="1"/>
    <col min="4" max="4" width="11.140625" style="139" customWidth="1"/>
    <col min="5" max="9" width="9.7109375" style="139" customWidth="1"/>
    <col min="10" max="10" width="9.7109375" style="140" customWidth="1"/>
    <col min="11" max="11" width="9.28515625" style="139" customWidth="1"/>
    <col min="12" max="12" width="7.28515625" style="139" customWidth="1"/>
    <col min="13" max="13" width="4" style="139" customWidth="1"/>
    <col min="14" max="14" width="8.7109375" style="139" customWidth="1"/>
    <col min="15" max="20" width="8.7109375" style="139" hidden="1" customWidth="1" outlineLevel="1"/>
    <col min="21" max="21" width="8.7109375" style="139" customWidth="1" collapsed="1"/>
    <col min="22" max="22" width="8.7109375" style="139" customWidth="1"/>
    <col min="23" max="28" width="8.7109375" style="139" hidden="1" customWidth="1" outlineLevel="1"/>
    <col min="29" max="29" width="8.7109375" style="139" customWidth="1" collapsed="1"/>
    <col min="30" max="1025" width="8.7109375" style="139" customWidth="1"/>
    <col min="1026" max="16384" width="8.85546875" style="86"/>
  </cols>
  <sheetData>
    <row r="1" spans="1:28" ht="15.75" thickBot="1" x14ac:dyDescent="0.3">
      <c r="B1" s="177" t="s">
        <v>190</v>
      </c>
      <c r="N1" s="176" t="s">
        <v>189</v>
      </c>
      <c r="P1" s="176"/>
      <c r="V1" s="162" t="s">
        <v>188</v>
      </c>
    </row>
    <row r="2" spans="1:28" x14ac:dyDescent="0.25">
      <c r="A2" s="175" t="s">
        <v>140</v>
      </c>
      <c r="B2" s="174" t="s">
        <v>187</v>
      </c>
      <c r="C2" s="173" t="s">
        <v>152</v>
      </c>
      <c r="D2" s="136" t="s">
        <v>102</v>
      </c>
      <c r="E2" s="136" t="s">
        <v>67</v>
      </c>
      <c r="F2" s="136" t="s">
        <v>138</v>
      </c>
      <c r="G2" s="136" t="s">
        <v>75</v>
      </c>
      <c r="H2" s="136" t="s">
        <v>137</v>
      </c>
      <c r="I2" s="136" t="s">
        <v>127</v>
      </c>
      <c r="J2" s="172" t="s">
        <v>151</v>
      </c>
      <c r="L2" s="162" t="s">
        <v>149</v>
      </c>
      <c r="M2" s="139">
        <v>100</v>
      </c>
      <c r="O2" s="162" t="s">
        <v>102</v>
      </c>
      <c r="P2" s="167" t="s">
        <v>67</v>
      </c>
      <c r="Q2" s="167" t="s">
        <v>138</v>
      </c>
      <c r="R2" s="167" t="s">
        <v>75</v>
      </c>
      <c r="S2" s="167" t="s">
        <v>137</v>
      </c>
      <c r="T2" s="167" t="s">
        <v>127</v>
      </c>
      <c r="U2" s="162"/>
      <c r="V2" s="162"/>
      <c r="W2" s="162" t="s">
        <v>102</v>
      </c>
      <c r="X2" s="162" t="s">
        <v>67</v>
      </c>
      <c r="Y2" s="162" t="s">
        <v>138</v>
      </c>
      <c r="Z2" s="162" t="s">
        <v>75</v>
      </c>
      <c r="AA2" s="162" t="s">
        <v>137</v>
      </c>
      <c r="AB2" s="162" t="s">
        <v>127</v>
      </c>
    </row>
    <row r="3" spans="1:28" x14ac:dyDescent="0.25">
      <c r="A3" s="171">
        <v>43135</v>
      </c>
      <c r="B3" s="206" t="s">
        <v>186</v>
      </c>
      <c r="C3" s="170">
        <v>0</v>
      </c>
      <c r="D3" s="169"/>
      <c r="E3" s="168"/>
      <c r="F3" s="168"/>
      <c r="G3" s="168"/>
      <c r="H3" s="168"/>
      <c r="I3" s="168"/>
      <c r="J3" s="157">
        <f>SUM(D3:I3)*Overview!$K$1*C3</f>
        <v>0</v>
      </c>
      <c r="L3" s="162"/>
      <c r="O3" s="162"/>
      <c r="P3" s="167"/>
      <c r="Q3" s="167"/>
      <c r="R3" s="167"/>
      <c r="S3" s="167"/>
      <c r="T3" s="167"/>
      <c r="U3" s="162"/>
      <c r="V3" s="162"/>
      <c r="W3" s="162"/>
      <c r="X3" s="162"/>
      <c r="Y3" s="162"/>
      <c r="Z3" s="162"/>
      <c r="AA3" s="162"/>
      <c r="AB3" s="162"/>
    </row>
    <row r="4" spans="1:28" x14ac:dyDescent="0.25">
      <c r="A4" s="166">
        <v>43137</v>
      </c>
      <c r="B4" s="207" t="s">
        <v>185</v>
      </c>
      <c r="C4" s="165">
        <v>0.5</v>
      </c>
      <c r="D4" s="164">
        <v>1</v>
      </c>
      <c r="E4" s="163"/>
      <c r="F4" s="163"/>
      <c r="G4" s="163"/>
      <c r="H4" s="163"/>
      <c r="I4" s="163"/>
      <c r="J4" s="157">
        <f>SUM(D4:I4)*Overview!$K$1*C4</f>
        <v>50</v>
      </c>
      <c r="L4" s="162"/>
      <c r="O4" s="139">
        <f>IF(D4=1,Overview!$K$1*$C4,0)</f>
        <v>50</v>
      </c>
      <c r="P4" s="139">
        <f>IF(E4=1,Overview!$K$1*$C4,0)</f>
        <v>0</v>
      </c>
      <c r="Q4" s="139">
        <f>IF(F4=1,Overview!$K$1*$C4,0)</f>
        <v>0</v>
      </c>
      <c r="R4" s="139">
        <f>IF(G4=1,Overview!$K$1*$C4,0)</f>
        <v>0</v>
      </c>
      <c r="S4" s="139">
        <f>IF(H4=1,Overview!$K$1*$C4,0)</f>
        <v>0</v>
      </c>
      <c r="T4" s="139">
        <f>IF(I4=1,Overview!$K$1*$C4,0)</f>
        <v>0</v>
      </c>
      <c r="W4" s="139">
        <f t="shared" ref="W4:AB8" si="0">IF(D4=1,$C4,0)</f>
        <v>0.5</v>
      </c>
      <c r="X4" s="139">
        <f t="shared" si="0"/>
        <v>0</v>
      </c>
      <c r="Y4" s="139">
        <f t="shared" si="0"/>
        <v>0</v>
      </c>
      <c r="Z4" s="139">
        <f t="shared" si="0"/>
        <v>0</v>
      </c>
      <c r="AA4" s="139">
        <f t="shared" si="0"/>
        <v>0</v>
      </c>
      <c r="AB4" s="139">
        <f t="shared" si="0"/>
        <v>0</v>
      </c>
    </row>
    <row r="5" spans="1:28" x14ac:dyDescent="0.25">
      <c r="A5" s="152">
        <v>43144</v>
      </c>
      <c r="B5" s="208" t="s">
        <v>185</v>
      </c>
      <c r="C5" s="160">
        <v>0.5</v>
      </c>
      <c r="D5" s="156">
        <v>1</v>
      </c>
      <c r="E5" s="156"/>
      <c r="F5" s="156"/>
      <c r="G5" s="156"/>
      <c r="H5" s="156"/>
      <c r="I5" s="156"/>
      <c r="J5" s="157">
        <f>SUM(D5:I5)*Overview!$K$1*C5</f>
        <v>50</v>
      </c>
      <c r="O5" s="139">
        <f>IF(D5=1,Overview!$K$1*$C5,0)</f>
        <v>50</v>
      </c>
      <c r="P5" s="139">
        <f>IF(E5=1,Overview!$K$1*$C5,0)</f>
        <v>0</v>
      </c>
      <c r="Q5" s="139">
        <f>IF(F5=1,Overview!$K$1*$C5,0)</f>
        <v>0</v>
      </c>
      <c r="R5" s="139">
        <f>IF(G5=1,Overview!$K$1*$C5,0)</f>
        <v>0</v>
      </c>
      <c r="S5" s="139">
        <f>IF(H5=1,Overview!$K$1*$C5,0)</f>
        <v>0</v>
      </c>
      <c r="T5" s="139">
        <f>IF(I5=1,Overview!$K$1*$C5,0)</f>
        <v>0</v>
      </c>
      <c r="W5" s="139">
        <f t="shared" si="0"/>
        <v>0.5</v>
      </c>
      <c r="X5" s="139">
        <f t="shared" si="0"/>
        <v>0</v>
      </c>
      <c r="Y5" s="139">
        <f t="shared" si="0"/>
        <v>0</v>
      </c>
      <c r="Z5" s="139">
        <f t="shared" si="0"/>
        <v>0</v>
      </c>
      <c r="AA5" s="139">
        <f t="shared" si="0"/>
        <v>0</v>
      </c>
      <c r="AB5" s="139">
        <f t="shared" si="0"/>
        <v>0</v>
      </c>
    </row>
    <row r="6" spans="1:28" x14ac:dyDescent="0.25">
      <c r="A6" s="152">
        <v>43153</v>
      </c>
      <c r="B6" s="159" t="s">
        <v>95</v>
      </c>
      <c r="C6" s="160">
        <v>2</v>
      </c>
      <c r="D6" s="156"/>
      <c r="E6" s="156">
        <v>1</v>
      </c>
      <c r="F6" s="156">
        <v>1</v>
      </c>
      <c r="G6" s="156">
        <v>1</v>
      </c>
      <c r="H6" s="156"/>
      <c r="I6" s="156"/>
      <c r="J6" s="157">
        <f>SUM(D6:I6)*Overview!$K$1*C6</f>
        <v>600</v>
      </c>
      <c r="O6" s="139">
        <f>IF(D6=1,Overview!$K$1*$C6,0)</f>
        <v>0</v>
      </c>
      <c r="P6" s="139">
        <f>IF(E6=1,Overview!$K$1*$C6,0)</f>
        <v>200</v>
      </c>
      <c r="Q6" s="139">
        <f>IF(F6=1,Overview!$K$1*$C6,0)</f>
        <v>200</v>
      </c>
      <c r="R6" s="139">
        <f>IF(G6=1,Overview!$K$1*$C6,0)</f>
        <v>200</v>
      </c>
      <c r="S6" s="139">
        <f>IF(H6=1,Overview!$K$1*$C6,0)</f>
        <v>0</v>
      </c>
      <c r="T6" s="139">
        <f>IF(I6=1,Overview!$K$1*$C6,0)</f>
        <v>0</v>
      </c>
      <c r="W6" s="139">
        <f t="shared" si="0"/>
        <v>0</v>
      </c>
      <c r="X6" s="139">
        <f t="shared" si="0"/>
        <v>2</v>
      </c>
      <c r="Y6" s="139">
        <f t="shared" si="0"/>
        <v>2</v>
      </c>
      <c r="Z6" s="139">
        <f t="shared" si="0"/>
        <v>2</v>
      </c>
      <c r="AA6" s="139">
        <f t="shared" si="0"/>
        <v>0</v>
      </c>
      <c r="AB6" s="139">
        <f t="shared" si="0"/>
        <v>0</v>
      </c>
    </row>
    <row r="7" spans="1:28" x14ac:dyDescent="0.25">
      <c r="A7" s="152">
        <v>43153</v>
      </c>
      <c r="B7" s="159" t="s">
        <v>95</v>
      </c>
      <c r="C7" s="160">
        <v>1</v>
      </c>
      <c r="D7" s="156"/>
      <c r="E7" s="156">
        <v>1</v>
      </c>
      <c r="F7" s="156"/>
      <c r="G7" s="156"/>
      <c r="H7" s="156"/>
      <c r="I7" s="156"/>
      <c r="J7" s="157">
        <f>SUM(D7:I7)*Overview!$K$1*C7</f>
        <v>100</v>
      </c>
      <c r="O7" s="139">
        <f>IF(D7=1,Overview!$K$1*$C7,0)</f>
        <v>0</v>
      </c>
      <c r="P7" s="139">
        <f>IF(E7=1,Overview!$K$1*$C7,0)</f>
        <v>100</v>
      </c>
      <c r="Q7" s="139">
        <f>IF(F7=1,Overview!$K$1*$C7,0)</f>
        <v>0</v>
      </c>
      <c r="R7" s="139">
        <f>IF(G7=1,Overview!$K$1*$C7,0)</f>
        <v>0</v>
      </c>
      <c r="S7" s="139">
        <f>IF(H7=1,Overview!$K$1*$C7,0)</f>
        <v>0</v>
      </c>
      <c r="T7" s="139">
        <f>IF(I7=1,Overview!$K$1*$C7,0)</f>
        <v>0</v>
      </c>
      <c r="W7" s="139">
        <f t="shared" si="0"/>
        <v>0</v>
      </c>
      <c r="X7" s="139">
        <f t="shared" si="0"/>
        <v>1</v>
      </c>
      <c r="Y7" s="139">
        <f t="shared" si="0"/>
        <v>0</v>
      </c>
      <c r="Z7" s="139">
        <f t="shared" si="0"/>
        <v>0</v>
      </c>
      <c r="AA7" s="139">
        <f t="shared" si="0"/>
        <v>0</v>
      </c>
      <c r="AB7" s="139">
        <f t="shared" si="0"/>
        <v>0</v>
      </c>
    </row>
    <row r="8" spans="1:28" x14ac:dyDescent="0.25">
      <c r="A8" s="152">
        <v>43153</v>
      </c>
      <c r="B8" s="159" t="s">
        <v>86</v>
      </c>
      <c r="C8" s="160">
        <v>1</v>
      </c>
      <c r="D8" s="156"/>
      <c r="E8" s="156"/>
      <c r="F8" s="156"/>
      <c r="G8" s="156">
        <v>1</v>
      </c>
      <c r="H8" s="156"/>
      <c r="I8" s="156">
        <v>1</v>
      </c>
      <c r="J8" s="157">
        <f>SUM(D8:I8)*Overview!$K$1*C8</f>
        <v>200</v>
      </c>
      <c r="O8" s="139">
        <f>IF(D8=1,Overview!$K$1*$C8,0)</f>
        <v>0</v>
      </c>
      <c r="P8" s="139">
        <f>IF(E8=1,Overview!$K$1*$C8,0)</f>
        <v>0</v>
      </c>
      <c r="Q8" s="139">
        <f>IF(F8=1,Overview!$K$1*$C8,0)</f>
        <v>0</v>
      </c>
      <c r="R8" s="139">
        <f>IF(G8=1,Overview!$K$1*$C8,0)</f>
        <v>100</v>
      </c>
      <c r="S8" s="139">
        <f>IF(H8=1,Overview!$K$1*$C8,0)</f>
        <v>0</v>
      </c>
      <c r="T8" s="139">
        <f>IF(I8=1,Overview!$K$1*$C8,0)</f>
        <v>100</v>
      </c>
      <c r="W8" s="139">
        <f t="shared" si="0"/>
        <v>0</v>
      </c>
      <c r="X8" s="139">
        <f t="shared" si="0"/>
        <v>0</v>
      </c>
      <c r="Y8" s="139">
        <f t="shared" si="0"/>
        <v>0</v>
      </c>
      <c r="Z8" s="139">
        <f t="shared" si="0"/>
        <v>1</v>
      </c>
      <c r="AA8" s="139">
        <f t="shared" si="0"/>
        <v>0</v>
      </c>
      <c r="AB8" s="139">
        <f t="shared" si="0"/>
        <v>1</v>
      </c>
    </row>
    <row r="9" spans="1:28" ht="26.25" x14ac:dyDescent="0.25">
      <c r="A9" s="152">
        <v>43153</v>
      </c>
      <c r="B9" s="159" t="s">
        <v>184</v>
      </c>
      <c r="C9" s="160">
        <v>2</v>
      </c>
      <c r="D9" s="156"/>
      <c r="E9" s="156">
        <v>1</v>
      </c>
      <c r="F9" s="156"/>
      <c r="G9" s="156"/>
      <c r="H9" s="156"/>
      <c r="I9" s="156"/>
      <c r="J9" s="157">
        <f>SUM(D9:I9)*Overview!$K$1*C9</f>
        <v>200</v>
      </c>
      <c r="O9" s="139">
        <f>IF(D9=1,Overview!$K$1*$C9,0)</f>
        <v>0</v>
      </c>
      <c r="P9" s="139">
        <f>IF(E9=1,Overview!$K$1*$C9,0)</f>
        <v>200</v>
      </c>
      <c r="Q9" s="139">
        <f>IF(F9=1,Overview!$K$1*$C9,0)</f>
        <v>0</v>
      </c>
      <c r="R9" s="139">
        <f>IF(G9=1,Overview!$K$1*$C9,0)</f>
        <v>0</v>
      </c>
      <c r="S9" s="139">
        <f>IF(H9=1,Overview!$K$1*$C9,0)</f>
        <v>0</v>
      </c>
      <c r="T9" s="139">
        <f>IF(I9=1,Overview!$K$1*$C9,0)</f>
        <v>0</v>
      </c>
      <c r="W9" s="139">
        <f t="shared" ref="W9:W25" si="1">IF(D9=1,$C9,0)</f>
        <v>0</v>
      </c>
      <c r="X9" s="139">
        <f t="shared" ref="X9:X25" si="2">IF(E9=1,$C9,0)</f>
        <v>2</v>
      </c>
      <c r="Y9" s="139">
        <f t="shared" ref="Y9:Y25" si="3">IF(F9=1,$C9,0)</f>
        <v>0</v>
      </c>
      <c r="AA9" s="139">
        <f t="shared" ref="AA9:AA40" si="4">IF(H9=1,$C9,0)</f>
        <v>0</v>
      </c>
      <c r="AB9" s="139">
        <f t="shared" ref="AB9:AB40" si="5">IF(I9=1,$C9,0)</f>
        <v>0</v>
      </c>
    </row>
    <row r="10" spans="1:28" x14ac:dyDescent="0.25">
      <c r="A10" s="152">
        <v>43155</v>
      </c>
      <c r="B10" s="159" t="s">
        <v>65</v>
      </c>
      <c r="C10" s="160">
        <v>1</v>
      </c>
      <c r="D10" s="156"/>
      <c r="E10" s="156"/>
      <c r="F10" s="156"/>
      <c r="G10" s="156"/>
      <c r="H10" s="156">
        <v>1</v>
      </c>
      <c r="I10" s="156"/>
      <c r="J10" s="157">
        <f>SUM(D10:I10)*Overview!$K$1*C10</f>
        <v>100</v>
      </c>
      <c r="O10" s="139">
        <f>IF(D10=1,Overview!$K$1*$C10,0)</f>
        <v>0</v>
      </c>
      <c r="P10" s="139">
        <f>IF(E10=1,Overview!$K$1*$C10,0)</f>
        <v>0</v>
      </c>
      <c r="Q10" s="139">
        <f>IF(F10=1,Overview!$K$1*$C10,0)</f>
        <v>0</v>
      </c>
      <c r="R10" s="139">
        <f>IF(G10=1,Overview!$K$1*$C10,0)</f>
        <v>0</v>
      </c>
      <c r="S10" s="139">
        <f>IF(H10=1,Overview!$K$1*$C10,0)</f>
        <v>100</v>
      </c>
      <c r="T10" s="139">
        <f>IF(I10=1,Overview!$K$1*$C10,0)</f>
        <v>0</v>
      </c>
      <c r="W10" s="139">
        <f t="shared" si="1"/>
        <v>0</v>
      </c>
      <c r="X10" s="139">
        <f t="shared" si="2"/>
        <v>0</v>
      </c>
      <c r="Y10" s="139">
        <f t="shared" si="3"/>
        <v>0</v>
      </c>
      <c r="Z10" s="139">
        <f>IF(G10=1,$C10,0)</f>
        <v>0</v>
      </c>
      <c r="AA10" s="139">
        <f t="shared" si="4"/>
        <v>1</v>
      </c>
      <c r="AB10" s="139">
        <f t="shared" si="5"/>
        <v>0</v>
      </c>
    </row>
    <row r="11" spans="1:28" x14ac:dyDescent="0.25">
      <c r="A11" s="152">
        <v>43157</v>
      </c>
      <c r="B11" s="159" t="s">
        <v>86</v>
      </c>
      <c r="C11" s="160">
        <v>1</v>
      </c>
      <c r="D11" s="156"/>
      <c r="E11" s="156"/>
      <c r="F11" s="156"/>
      <c r="G11" s="156">
        <v>1</v>
      </c>
      <c r="H11" s="156"/>
      <c r="I11" s="156"/>
      <c r="J11" s="157">
        <f>SUM(D11:I11)*Overview!$K$1*C11</f>
        <v>100</v>
      </c>
      <c r="O11" s="139">
        <f>IF(D11=1,Overview!$K$1*$C11,0)</f>
        <v>0</v>
      </c>
      <c r="P11" s="139">
        <f>IF(E11=1,Overview!$K$1*$C11,0)</f>
        <v>0</v>
      </c>
      <c r="Q11" s="139">
        <f>IF(F11=1,Overview!$K$1*$C11,0)</f>
        <v>0</v>
      </c>
      <c r="R11" s="139">
        <f>IF(G11=1,Overview!$K$1*$C11,0)</f>
        <v>100</v>
      </c>
      <c r="S11" s="139">
        <f>IF(H11=1,Overview!$K$1*$C11,0)</f>
        <v>0</v>
      </c>
      <c r="T11" s="139">
        <f>IF(I11=1,Overview!$K$1*$C11,0)</f>
        <v>0</v>
      </c>
      <c r="W11" s="139">
        <f t="shared" si="1"/>
        <v>0</v>
      </c>
      <c r="X11" s="139">
        <f t="shared" si="2"/>
        <v>0</v>
      </c>
      <c r="Y11" s="139">
        <f t="shared" si="3"/>
        <v>0</v>
      </c>
      <c r="Z11" s="139">
        <f>IF(G11=1,$C11,0)</f>
        <v>1</v>
      </c>
      <c r="AA11" s="139">
        <f t="shared" si="4"/>
        <v>0</v>
      </c>
      <c r="AB11" s="139">
        <f t="shared" si="5"/>
        <v>0</v>
      </c>
    </row>
    <row r="12" spans="1:28" x14ac:dyDescent="0.25">
      <c r="A12" s="152">
        <v>43157</v>
      </c>
      <c r="B12" s="159" t="s">
        <v>183</v>
      </c>
      <c r="C12" s="160">
        <v>1</v>
      </c>
      <c r="D12" s="156"/>
      <c r="E12" s="156">
        <v>1</v>
      </c>
      <c r="F12" s="156"/>
      <c r="G12" s="156"/>
      <c r="H12" s="156"/>
      <c r="I12" s="156"/>
      <c r="J12" s="157">
        <f>SUM(D12:I12)*Overview!$K$1*C12</f>
        <v>100</v>
      </c>
      <c r="O12" s="139">
        <f>IF(D12=1,Overview!$K$1*$C12,0)</f>
        <v>0</v>
      </c>
      <c r="P12" s="139">
        <f>IF(E12=1,Overview!$K$1*$C12,0)</f>
        <v>100</v>
      </c>
      <c r="Q12" s="139">
        <f>IF(F12=1,Overview!$K$1*$C12,0)</f>
        <v>0</v>
      </c>
      <c r="R12" s="139">
        <f>IF(G12=1,Overview!$K$1*$C12,0)</f>
        <v>0</v>
      </c>
      <c r="S12" s="139">
        <f>IF(H12=1,Overview!$K$1*$C12,0)</f>
        <v>0</v>
      </c>
      <c r="T12" s="139">
        <f>IF(I12=1,Overview!$K$1*$C12,0)</f>
        <v>0</v>
      </c>
      <c r="W12" s="139">
        <f t="shared" si="1"/>
        <v>0</v>
      </c>
      <c r="X12" s="139">
        <f t="shared" si="2"/>
        <v>1</v>
      </c>
      <c r="Y12" s="139">
        <f t="shared" si="3"/>
        <v>0</v>
      </c>
      <c r="AA12" s="139">
        <f t="shared" si="4"/>
        <v>0</v>
      </c>
      <c r="AB12" s="139">
        <f t="shared" si="5"/>
        <v>0</v>
      </c>
    </row>
    <row r="13" spans="1:28" x14ac:dyDescent="0.25">
      <c r="A13" s="152">
        <v>43158</v>
      </c>
      <c r="B13" s="159" t="s">
        <v>182</v>
      </c>
      <c r="C13" s="160">
        <v>0.5</v>
      </c>
      <c r="D13" s="156"/>
      <c r="E13" s="156">
        <v>1</v>
      </c>
      <c r="F13" s="156"/>
      <c r="G13" s="156"/>
      <c r="H13" s="156">
        <v>1</v>
      </c>
      <c r="I13" s="156"/>
      <c r="J13" s="157">
        <f>SUM(D13:I13)*Overview!$K$1*C13</f>
        <v>100</v>
      </c>
      <c r="O13" s="139">
        <f>IF(D13=1,Overview!$K$1*$C13,0)</f>
        <v>0</v>
      </c>
      <c r="P13" s="139">
        <f>IF(E13=1,Overview!$K$1*$C13,0)</f>
        <v>50</v>
      </c>
      <c r="Q13" s="139">
        <f>IF(F13=1,Overview!$K$1*$C13,0)</f>
        <v>0</v>
      </c>
      <c r="R13" s="139">
        <f>IF(G13=1,Overview!$K$1*$C13,0)</f>
        <v>0</v>
      </c>
      <c r="S13" s="139">
        <f>IF(H13=1,Overview!$K$1*$C13,0)</f>
        <v>50</v>
      </c>
      <c r="T13" s="139">
        <f>IF(I13=1,Overview!$K$1*$C13,0)</f>
        <v>0</v>
      </c>
      <c r="W13" s="139">
        <f t="shared" si="1"/>
        <v>0</v>
      </c>
      <c r="X13" s="139">
        <f t="shared" si="2"/>
        <v>0.5</v>
      </c>
      <c r="Y13" s="139">
        <f t="shared" si="3"/>
        <v>0</v>
      </c>
      <c r="Z13" s="139">
        <f t="shared" ref="Z13:Z44" si="6">IF(G13=1,$C13,0)</f>
        <v>0</v>
      </c>
      <c r="AA13" s="139">
        <f t="shared" si="4"/>
        <v>0.5</v>
      </c>
      <c r="AB13" s="139">
        <f t="shared" si="5"/>
        <v>0</v>
      </c>
    </row>
    <row r="14" spans="1:28" ht="26.25" x14ac:dyDescent="0.25">
      <c r="A14" s="152">
        <v>43158</v>
      </c>
      <c r="B14" s="159" t="s">
        <v>181</v>
      </c>
      <c r="C14" s="160">
        <v>2</v>
      </c>
      <c r="D14" s="156"/>
      <c r="E14" s="156">
        <v>1</v>
      </c>
      <c r="F14" s="156"/>
      <c r="G14" s="156"/>
      <c r="H14" s="156"/>
      <c r="I14" s="156"/>
      <c r="J14" s="157">
        <f>SUM(D14:I14)*Overview!$K$1*C14</f>
        <v>200</v>
      </c>
      <c r="O14" s="139">
        <f>IF(D14=1,Overview!$K$1*$C14,0)</f>
        <v>0</v>
      </c>
      <c r="P14" s="139">
        <f>IF(E14=1,Overview!$K$1*$C14,0)</f>
        <v>200</v>
      </c>
      <c r="Q14" s="139">
        <f>IF(F14=1,Overview!$K$1*$C14,0)</f>
        <v>0</v>
      </c>
      <c r="R14" s="139">
        <f>IF(G14=1,Overview!$K$1*$C14,0)</f>
        <v>0</v>
      </c>
      <c r="S14" s="139">
        <f>IF(H14=1,Overview!$K$1*$C14,0)</f>
        <v>0</v>
      </c>
      <c r="T14" s="139">
        <f>IF(I14=1,Overview!$K$1*$C14,0)</f>
        <v>0</v>
      </c>
      <c r="W14" s="139">
        <f t="shared" si="1"/>
        <v>0</v>
      </c>
      <c r="X14" s="139">
        <f t="shared" si="2"/>
        <v>2</v>
      </c>
      <c r="Y14" s="139">
        <f t="shared" si="3"/>
        <v>0</v>
      </c>
      <c r="Z14" s="139">
        <f t="shared" si="6"/>
        <v>0</v>
      </c>
      <c r="AA14" s="139">
        <f t="shared" si="4"/>
        <v>0</v>
      </c>
      <c r="AB14" s="139">
        <f t="shared" si="5"/>
        <v>0</v>
      </c>
    </row>
    <row r="15" spans="1:28" x14ac:dyDescent="0.25">
      <c r="A15" s="152">
        <v>43159</v>
      </c>
      <c r="B15" s="159" t="s">
        <v>78</v>
      </c>
      <c r="C15" s="160">
        <v>0.5</v>
      </c>
      <c r="D15" s="156"/>
      <c r="E15" s="156"/>
      <c r="F15" s="156">
        <v>1</v>
      </c>
      <c r="G15" s="156"/>
      <c r="H15" s="156"/>
      <c r="I15" s="156"/>
      <c r="J15" s="157">
        <f>SUM(D15:I15)*Overview!$K$1*C15</f>
        <v>50</v>
      </c>
      <c r="O15" s="139">
        <f>IF(D15=1,Overview!$K$1*$C15,0)</f>
        <v>0</v>
      </c>
      <c r="P15" s="139">
        <f>IF(E15=1,Overview!$K$1*$C15,0)</f>
        <v>0</v>
      </c>
      <c r="Q15" s="139">
        <f>IF(F15=1,Overview!$K$1*$C15,0)</f>
        <v>50</v>
      </c>
      <c r="R15" s="139">
        <f>IF(G15=1,Overview!$K$1*$C15,0)</f>
        <v>0</v>
      </c>
      <c r="S15" s="139">
        <f>IF(H15=1,Overview!$K$1*$C15,0)</f>
        <v>0</v>
      </c>
      <c r="T15" s="139">
        <f>IF(I15=1,Overview!$K$1*$C15,0)</f>
        <v>0</v>
      </c>
      <c r="W15" s="139">
        <f t="shared" si="1"/>
        <v>0</v>
      </c>
      <c r="X15" s="139">
        <f t="shared" si="2"/>
        <v>0</v>
      </c>
      <c r="Y15" s="139">
        <f t="shared" si="3"/>
        <v>0.5</v>
      </c>
      <c r="Z15" s="139">
        <f t="shared" si="6"/>
        <v>0</v>
      </c>
      <c r="AA15" s="139">
        <f t="shared" si="4"/>
        <v>0</v>
      </c>
      <c r="AB15" s="139">
        <f t="shared" si="5"/>
        <v>0</v>
      </c>
    </row>
    <row r="16" spans="1:28" x14ac:dyDescent="0.25">
      <c r="A16" s="152">
        <v>43159</v>
      </c>
      <c r="B16" s="159" t="s">
        <v>180</v>
      </c>
      <c r="C16" s="160">
        <v>0.5</v>
      </c>
      <c r="D16" s="156"/>
      <c r="E16" s="156"/>
      <c r="F16" s="156"/>
      <c r="G16" s="156">
        <v>1</v>
      </c>
      <c r="H16" s="156"/>
      <c r="I16" s="156"/>
      <c r="J16" s="157">
        <f>SUM(D16:I16)*Overview!$K$1*C16</f>
        <v>50</v>
      </c>
      <c r="O16" s="139">
        <f>IF(D16=1,Overview!$K$1*$C16,0)</f>
        <v>0</v>
      </c>
      <c r="P16" s="139">
        <f>IF(E16=1,Overview!$K$1*$C16,0)</f>
        <v>0</v>
      </c>
      <c r="Q16" s="139">
        <f>IF(F16=1,Overview!$K$1*$C16,0)</f>
        <v>0</v>
      </c>
      <c r="R16" s="139">
        <f>IF(G16=1,Overview!$K$1*$C16,0)</f>
        <v>50</v>
      </c>
      <c r="S16" s="139">
        <f>IF(H16=1,Overview!$K$1*$C16,0)</f>
        <v>0</v>
      </c>
      <c r="T16" s="139">
        <f>IF(I16=1,Overview!$K$1*$C16,0)</f>
        <v>0</v>
      </c>
      <c r="W16" s="139">
        <f t="shared" si="1"/>
        <v>0</v>
      </c>
      <c r="X16" s="139">
        <f t="shared" si="2"/>
        <v>0</v>
      </c>
      <c r="Y16" s="139">
        <f t="shared" si="3"/>
        <v>0</v>
      </c>
      <c r="Z16" s="139">
        <f t="shared" si="6"/>
        <v>0.5</v>
      </c>
      <c r="AA16" s="139">
        <f t="shared" si="4"/>
        <v>0</v>
      </c>
      <c r="AB16" s="139">
        <f t="shared" si="5"/>
        <v>0</v>
      </c>
    </row>
    <row r="17" spans="1:28" x14ac:dyDescent="0.25">
      <c r="A17" s="152">
        <v>43159</v>
      </c>
      <c r="B17" s="159" t="s">
        <v>179</v>
      </c>
      <c r="C17" s="160">
        <v>0.5</v>
      </c>
      <c r="D17" s="156"/>
      <c r="E17" s="156"/>
      <c r="F17" s="156"/>
      <c r="G17" s="156"/>
      <c r="H17" s="156"/>
      <c r="I17" s="156">
        <v>1</v>
      </c>
      <c r="J17" s="157">
        <f>SUM(D17:I17)*Overview!$K$1*C17</f>
        <v>50</v>
      </c>
      <c r="O17" s="139">
        <f>IF(D17=1,Overview!$K$1*$C17,0)</f>
        <v>0</v>
      </c>
      <c r="P17" s="139">
        <f>IF(E17=1,Overview!$K$1*$C17,0)</f>
        <v>0</v>
      </c>
      <c r="Q17" s="139">
        <f>IF(F17=1,Overview!$K$1*$C17,0)</f>
        <v>0</v>
      </c>
      <c r="R17" s="139">
        <f>IF(G17=1,Overview!$K$1*$C17,0)</f>
        <v>0</v>
      </c>
      <c r="S17" s="139">
        <f>IF(H17=1,Overview!$K$1*$C17,0)</f>
        <v>0</v>
      </c>
      <c r="T17" s="139">
        <f>IF(I17=1,Overview!$K$1*$C17,0)</f>
        <v>50</v>
      </c>
      <c r="W17" s="139">
        <f t="shared" si="1"/>
        <v>0</v>
      </c>
      <c r="X17" s="139">
        <f t="shared" si="2"/>
        <v>0</v>
      </c>
      <c r="Y17" s="139">
        <f t="shared" si="3"/>
        <v>0</v>
      </c>
      <c r="Z17" s="139">
        <f t="shared" si="6"/>
        <v>0</v>
      </c>
      <c r="AA17" s="139">
        <f t="shared" si="4"/>
        <v>0</v>
      </c>
      <c r="AB17" s="139">
        <f t="shared" si="5"/>
        <v>0.5</v>
      </c>
    </row>
    <row r="18" spans="1:28" x14ac:dyDescent="0.25">
      <c r="A18" s="152">
        <v>43160</v>
      </c>
      <c r="B18" s="208" t="s">
        <v>178</v>
      </c>
      <c r="C18" s="160">
        <v>1.5</v>
      </c>
      <c r="D18" s="156">
        <v>1</v>
      </c>
      <c r="E18" s="156"/>
      <c r="F18" s="156"/>
      <c r="G18" s="156"/>
      <c r="H18" s="156"/>
      <c r="I18" s="156"/>
      <c r="J18" s="157">
        <f>SUM(D18:I18)*Overview!$K$1*C18</f>
        <v>150</v>
      </c>
      <c r="O18" s="139">
        <f>IF(D18=1,Overview!$K$1*$C18,0)</f>
        <v>150</v>
      </c>
      <c r="P18" s="139">
        <f>IF(E18=1,Overview!$K$1*$C18,0)</f>
        <v>0</v>
      </c>
      <c r="Q18" s="139">
        <f>IF(F18=1,Overview!$K$1*$C18,0)</f>
        <v>0</v>
      </c>
      <c r="R18" s="139">
        <f>IF(G18=1,Overview!$K$1*$C18,0)</f>
        <v>0</v>
      </c>
      <c r="S18" s="139">
        <f>IF(H18=1,Overview!$K$1*$C18,0)</f>
        <v>0</v>
      </c>
      <c r="T18" s="139">
        <f>IF(I18=1,Overview!$K$1*$C18,0)</f>
        <v>0</v>
      </c>
      <c r="W18" s="139">
        <f t="shared" si="1"/>
        <v>1.5</v>
      </c>
      <c r="X18" s="139">
        <f t="shared" si="2"/>
        <v>0</v>
      </c>
      <c r="Y18" s="139">
        <f t="shared" si="3"/>
        <v>0</v>
      </c>
      <c r="Z18" s="139">
        <f t="shared" si="6"/>
        <v>0</v>
      </c>
      <c r="AA18" s="139">
        <f t="shared" si="4"/>
        <v>0</v>
      </c>
      <c r="AB18" s="139">
        <f t="shared" si="5"/>
        <v>0</v>
      </c>
    </row>
    <row r="19" spans="1:28" x14ac:dyDescent="0.25">
      <c r="A19" s="161">
        <v>43160</v>
      </c>
      <c r="B19" s="159" t="s">
        <v>177</v>
      </c>
      <c r="C19" s="160">
        <v>1</v>
      </c>
      <c r="D19" s="156"/>
      <c r="E19" s="156"/>
      <c r="F19" s="156"/>
      <c r="G19" s="156"/>
      <c r="H19" s="156"/>
      <c r="I19" s="156">
        <v>1</v>
      </c>
      <c r="J19" s="157">
        <f>SUM(D19:I19)*Overview!$K$1*C19</f>
        <v>100</v>
      </c>
      <c r="O19" s="139">
        <f>IF(D19=1,Overview!$K$1*$C19,0)</f>
        <v>0</v>
      </c>
      <c r="P19" s="139">
        <f>IF(E19=1,Overview!$K$1*$C19,0)</f>
        <v>0</v>
      </c>
      <c r="Q19" s="139">
        <f>IF(F19=1,Overview!$K$1*$C19,0)</f>
        <v>0</v>
      </c>
      <c r="R19" s="139">
        <f>IF(G19=1,Overview!$K$1*$C19,0)</f>
        <v>0</v>
      </c>
      <c r="S19" s="139">
        <f>IF(H19=1,Overview!$K$1*$C19,0)</f>
        <v>0</v>
      </c>
      <c r="T19" s="139">
        <f>IF(I19=1,Overview!$K$1*$C19,0)</f>
        <v>100</v>
      </c>
      <c r="W19" s="139">
        <f t="shared" si="1"/>
        <v>0</v>
      </c>
      <c r="X19" s="139">
        <f t="shared" si="2"/>
        <v>0</v>
      </c>
      <c r="Y19" s="139">
        <f t="shared" si="3"/>
        <v>0</v>
      </c>
      <c r="Z19" s="139">
        <f t="shared" si="6"/>
        <v>0</v>
      </c>
      <c r="AA19" s="139">
        <f t="shared" si="4"/>
        <v>0</v>
      </c>
      <c r="AB19" s="139">
        <f t="shared" si="5"/>
        <v>1</v>
      </c>
    </row>
    <row r="20" spans="1:28" x14ac:dyDescent="0.25">
      <c r="A20" s="161">
        <v>43164</v>
      </c>
      <c r="B20" s="159" t="s">
        <v>176</v>
      </c>
      <c r="C20" s="160">
        <v>1</v>
      </c>
      <c r="D20" s="156"/>
      <c r="E20" s="156"/>
      <c r="F20" s="156"/>
      <c r="G20" s="156"/>
      <c r="H20" s="156"/>
      <c r="I20" s="156">
        <v>1</v>
      </c>
      <c r="J20" s="157">
        <f>SUM(D20:I20)*Overview!$K$1*C20</f>
        <v>100</v>
      </c>
      <c r="O20" s="139">
        <f>IF(D20=1,Overview!$K$1*$C20,0)</f>
        <v>0</v>
      </c>
      <c r="P20" s="139">
        <f>IF(E20=1,Overview!$K$1*$C20,0)</f>
        <v>0</v>
      </c>
      <c r="Q20" s="139">
        <f>IF(F20=1,Overview!$K$1*$C20,0)</f>
        <v>0</v>
      </c>
      <c r="R20" s="139">
        <f>IF(G20=1,Overview!$K$1*$C20,0)</f>
        <v>0</v>
      </c>
      <c r="S20" s="139">
        <f>IF(H20=1,Overview!$K$1*$C20,0)</f>
        <v>0</v>
      </c>
      <c r="T20" s="139">
        <f>IF(I20=1,Overview!$K$1*$C20,0)</f>
        <v>100</v>
      </c>
      <c r="W20" s="139">
        <f t="shared" si="1"/>
        <v>0</v>
      </c>
      <c r="X20" s="139">
        <f t="shared" si="2"/>
        <v>0</v>
      </c>
      <c r="Y20" s="139">
        <f t="shared" si="3"/>
        <v>0</v>
      </c>
      <c r="Z20" s="139">
        <f t="shared" si="6"/>
        <v>0</v>
      </c>
      <c r="AA20" s="139">
        <f t="shared" si="4"/>
        <v>0</v>
      </c>
      <c r="AB20" s="139">
        <f t="shared" si="5"/>
        <v>1</v>
      </c>
    </row>
    <row r="21" spans="1:28" x14ac:dyDescent="0.25">
      <c r="A21" s="152">
        <v>43165</v>
      </c>
      <c r="B21" s="159" t="s">
        <v>175</v>
      </c>
      <c r="C21" s="160">
        <v>2</v>
      </c>
      <c r="D21" s="156"/>
      <c r="E21" s="156"/>
      <c r="F21" s="156"/>
      <c r="G21" s="156"/>
      <c r="H21" s="156"/>
      <c r="I21" s="156">
        <v>1</v>
      </c>
      <c r="J21" s="157">
        <f>SUM(D21:I21)*Overview!$K$1*C21</f>
        <v>200</v>
      </c>
      <c r="O21" s="139">
        <f>IF(D21=1,Overview!$K$1*$C21,0)</f>
        <v>0</v>
      </c>
      <c r="P21" s="139">
        <f>IF(E21=1,Overview!$K$1*$C21,0)</f>
        <v>0</v>
      </c>
      <c r="Q21" s="139">
        <f>IF(F21=1,Overview!$K$1*$C21,0)</f>
        <v>0</v>
      </c>
      <c r="R21" s="139">
        <f>IF(G21=1,Overview!$K$1*$C21,0)</f>
        <v>0</v>
      </c>
      <c r="S21" s="139">
        <f>IF(H21=1,Overview!$K$1*$C21,0)</f>
        <v>0</v>
      </c>
      <c r="T21" s="139">
        <f>IF(I21=1,Overview!$K$1*$C21,0)</f>
        <v>200</v>
      </c>
      <c r="W21" s="139">
        <f t="shared" si="1"/>
        <v>0</v>
      </c>
      <c r="X21" s="139">
        <f t="shared" si="2"/>
        <v>0</v>
      </c>
      <c r="Y21" s="139">
        <f t="shared" si="3"/>
        <v>0</v>
      </c>
      <c r="Z21" s="139">
        <f t="shared" si="6"/>
        <v>0</v>
      </c>
      <c r="AA21" s="139">
        <f t="shared" si="4"/>
        <v>0</v>
      </c>
      <c r="AB21" s="139">
        <f t="shared" si="5"/>
        <v>2</v>
      </c>
    </row>
    <row r="22" spans="1:28" x14ac:dyDescent="0.25">
      <c r="A22" s="152">
        <v>43165</v>
      </c>
      <c r="B22" s="159" t="s">
        <v>86</v>
      </c>
      <c r="C22" s="160">
        <v>1</v>
      </c>
      <c r="D22" s="156"/>
      <c r="E22" s="156"/>
      <c r="F22" s="156"/>
      <c r="G22" s="156">
        <v>1</v>
      </c>
      <c r="H22" s="156"/>
      <c r="I22" s="156"/>
      <c r="J22" s="157">
        <f>SUM(D22:I22)*Overview!$K$1*C22</f>
        <v>100</v>
      </c>
      <c r="O22" s="139">
        <f>IF(D22=1,Overview!$K$1*$C22,0)</f>
        <v>0</v>
      </c>
      <c r="P22" s="139">
        <f>IF(E22=1,Overview!$K$1*$C22,0)</f>
        <v>0</v>
      </c>
      <c r="Q22" s="139">
        <f>IF(F22=1,Overview!$K$1*$C22,0)</f>
        <v>0</v>
      </c>
      <c r="R22" s="139">
        <f>IF(G22=1,Overview!$K$1*$C22,0)</f>
        <v>100</v>
      </c>
      <c r="S22" s="139">
        <f>IF(H22=1,Overview!$K$1*$C22,0)</f>
        <v>0</v>
      </c>
      <c r="T22" s="139">
        <f>IF(I22=1,Overview!$K$1*$C22,0)</f>
        <v>0</v>
      </c>
      <c r="W22" s="139">
        <f t="shared" si="1"/>
        <v>0</v>
      </c>
      <c r="X22" s="139">
        <f t="shared" si="2"/>
        <v>0</v>
      </c>
      <c r="Y22" s="139">
        <f t="shared" si="3"/>
        <v>0</v>
      </c>
      <c r="Z22" s="139">
        <f t="shared" si="6"/>
        <v>1</v>
      </c>
      <c r="AA22" s="139">
        <f t="shared" si="4"/>
        <v>0</v>
      </c>
      <c r="AB22" s="139">
        <f t="shared" si="5"/>
        <v>0</v>
      </c>
    </row>
    <row r="23" spans="1:28" x14ac:dyDescent="0.25">
      <c r="A23" s="152">
        <v>43165</v>
      </c>
      <c r="B23" s="159" t="s">
        <v>174</v>
      </c>
      <c r="C23" s="160">
        <v>1</v>
      </c>
      <c r="D23" s="156">
        <v>1</v>
      </c>
      <c r="E23" s="156"/>
      <c r="F23" s="156"/>
      <c r="G23" s="156"/>
      <c r="H23" s="156"/>
      <c r="I23" s="156">
        <v>1</v>
      </c>
      <c r="J23" s="157">
        <f>SUM(D23:I23)*Overview!$K$1*C23</f>
        <v>200</v>
      </c>
      <c r="O23" s="139">
        <f>IF(D23=1,Overview!$K$1*$C23,0)</f>
        <v>100</v>
      </c>
      <c r="P23" s="139">
        <f>IF(E23=1,Overview!$K$1*$C23,0)</f>
        <v>0</v>
      </c>
      <c r="Q23" s="139">
        <f>IF(F23=1,Overview!$K$1*$C23,0)</f>
        <v>0</v>
      </c>
      <c r="R23" s="139">
        <f>IF(G23=1,Overview!$K$1*$C23,0)</f>
        <v>0</v>
      </c>
      <c r="S23" s="139">
        <f>IF(H23=1,Overview!$K$1*$C23,0)</f>
        <v>0</v>
      </c>
      <c r="T23" s="139">
        <f>IF(I23=1,Overview!$K$1*$C23,0)</f>
        <v>100</v>
      </c>
      <c r="W23" s="139">
        <f t="shared" si="1"/>
        <v>1</v>
      </c>
      <c r="X23" s="139">
        <f t="shared" si="2"/>
        <v>0</v>
      </c>
      <c r="Y23" s="139">
        <f t="shared" si="3"/>
        <v>0</v>
      </c>
      <c r="Z23" s="139">
        <f t="shared" si="6"/>
        <v>0</v>
      </c>
      <c r="AA23" s="139">
        <f t="shared" si="4"/>
        <v>0</v>
      </c>
      <c r="AB23" s="139">
        <f t="shared" si="5"/>
        <v>1</v>
      </c>
    </row>
    <row r="24" spans="1:28" ht="26.25" x14ac:dyDescent="0.25">
      <c r="A24" s="152">
        <v>43166</v>
      </c>
      <c r="B24" s="159" t="s">
        <v>173</v>
      </c>
      <c r="C24" s="160">
        <v>0.5</v>
      </c>
      <c r="D24" s="156"/>
      <c r="E24" s="156"/>
      <c r="F24" s="156"/>
      <c r="G24" s="156"/>
      <c r="H24" s="156"/>
      <c r="I24" s="156">
        <v>1</v>
      </c>
      <c r="J24" s="157">
        <f>SUM(D24:I24)*Overview!$K$1*C24</f>
        <v>50</v>
      </c>
      <c r="O24" s="139">
        <f>IF(D24=1,Overview!$K$1*$C24,0)</f>
        <v>0</v>
      </c>
      <c r="P24" s="139">
        <f>IF(E24=1,Overview!$K$1*$C24,0)</f>
        <v>0</v>
      </c>
      <c r="Q24" s="139">
        <f>IF(F24=1,Overview!$K$1*$C24,0)</f>
        <v>0</v>
      </c>
      <c r="R24" s="139">
        <f>IF(G24=1,Overview!$K$1*$C24,0)</f>
        <v>0</v>
      </c>
      <c r="S24" s="139">
        <f>IF(H24=1,Overview!$K$1*$C24,0)</f>
        <v>0</v>
      </c>
      <c r="T24" s="139">
        <f>IF(I24=1,Overview!$K$1*$C24,0)</f>
        <v>50</v>
      </c>
      <c r="W24" s="139">
        <f t="shared" si="1"/>
        <v>0</v>
      </c>
      <c r="X24" s="139">
        <f t="shared" si="2"/>
        <v>0</v>
      </c>
      <c r="Y24" s="139">
        <f t="shared" si="3"/>
        <v>0</v>
      </c>
      <c r="Z24" s="139">
        <f t="shared" si="6"/>
        <v>0</v>
      </c>
      <c r="AA24" s="139">
        <f t="shared" si="4"/>
        <v>0</v>
      </c>
      <c r="AB24" s="139">
        <f t="shared" si="5"/>
        <v>0.5</v>
      </c>
    </row>
    <row r="25" spans="1:28" x14ac:dyDescent="0.25">
      <c r="A25" s="152">
        <v>43166</v>
      </c>
      <c r="B25" s="159" t="s">
        <v>172</v>
      </c>
      <c r="C25" s="160">
        <v>1</v>
      </c>
      <c r="D25" s="156">
        <v>1</v>
      </c>
      <c r="E25" s="156"/>
      <c r="F25" s="156"/>
      <c r="G25" s="156"/>
      <c r="H25" s="156"/>
      <c r="I25" s="156"/>
      <c r="J25" s="157">
        <f>SUM(D25:I25)*Overview!$K$1*C25</f>
        <v>100</v>
      </c>
      <c r="O25" s="139">
        <f>IF(D25=1,Overview!$K$1*$C25,0)</f>
        <v>100</v>
      </c>
      <c r="P25" s="139">
        <f>IF(E25=1,Overview!$K$1*$C25,0)</f>
        <v>0</v>
      </c>
      <c r="Q25" s="139">
        <f>IF(F25=1,Overview!$K$1*$C25,0)</f>
        <v>0</v>
      </c>
      <c r="R25" s="139">
        <f>IF(G25=1,Overview!$K$1*$C25,0)</f>
        <v>0</v>
      </c>
      <c r="S25" s="139">
        <f>IF(H25=1,Overview!$K$1*$C25,0)</f>
        <v>0</v>
      </c>
      <c r="T25" s="139">
        <f>IF(I25=1,Overview!$K$1*$C25,0)</f>
        <v>0</v>
      </c>
      <c r="W25" s="139">
        <f t="shared" si="1"/>
        <v>1</v>
      </c>
      <c r="X25" s="139">
        <f t="shared" si="2"/>
        <v>0</v>
      </c>
      <c r="Y25" s="139">
        <f t="shared" si="3"/>
        <v>0</v>
      </c>
      <c r="Z25" s="139">
        <f t="shared" si="6"/>
        <v>0</v>
      </c>
      <c r="AA25" s="139">
        <f t="shared" si="4"/>
        <v>0</v>
      </c>
      <c r="AB25" s="139">
        <f t="shared" si="5"/>
        <v>0</v>
      </c>
    </row>
    <row r="26" spans="1:28" x14ac:dyDescent="0.25">
      <c r="A26" s="152">
        <v>43167</v>
      </c>
      <c r="B26" s="159" t="s">
        <v>171</v>
      </c>
      <c r="C26" s="160">
        <v>1</v>
      </c>
      <c r="D26" s="156"/>
      <c r="E26" s="156">
        <v>1</v>
      </c>
      <c r="F26" s="156"/>
      <c r="G26" s="156"/>
      <c r="H26" s="156"/>
      <c r="I26" s="156"/>
      <c r="J26" s="157">
        <f>SUM(D26:I26)*Overview!$K$1*C26</f>
        <v>100</v>
      </c>
      <c r="O26" s="139">
        <f>IF(D26=1,Overview!$K$1*$C26,0)</f>
        <v>0</v>
      </c>
      <c r="P26" s="139">
        <f>IF(E26=1,Overview!$K$1*$C26,0)</f>
        <v>100</v>
      </c>
      <c r="Q26" s="139">
        <f>IF(F26=1,Overview!$K$1*$C26,0)</f>
        <v>0</v>
      </c>
      <c r="R26" s="139">
        <f>IF(G26=1,Overview!$K$1*$C26,0)</f>
        <v>0</v>
      </c>
      <c r="S26" s="139">
        <f>IF(H26=1,Overview!$K$1*$C26,0)</f>
        <v>0</v>
      </c>
      <c r="T26" s="139">
        <f>IF(I26=1,Overview!$K$1*$C26,0)</f>
        <v>0</v>
      </c>
      <c r="X26" s="139">
        <f t="shared" ref="X26:X61" si="7">IF(E26=1,$C26,0)</f>
        <v>1</v>
      </c>
      <c r="Y26" s="139">
        <f t="shared" ref="Y26:Y61" si="8">IF(F26=1,$C26,0)</f>
        <v>0</v>
      </c>
      <c r="Z26" s="139">
        <f t="shared" si="6"/>
        <v>0</v>
      </c>
      <c r="AA26" s="139">
        <f t="shared" si="4"/>
        <v>0</v>
      </c>
      <c r="AB26" s="139">
        <f t="shared" si="5"/>
        <v>0</v>
      </c>
    </row>
    <row r="27" spans="1:28" x14ac:dyDescent="0.25">
      <c r="A27" s="152">
        <v>43172</v>
      </c>
      <c r="B27" s="159" t="s">
        <v>86</v>
      </c>
      <c r="C27" s="160">
        <v>2</v>
      </c>
      <c r="D27" s="156"/>
      <c r="E27" s="156"/>
      <c r="F27" s="156"/>
      <c r="G27" s="156">
        <v>1</v>
      </c>
      <c r="H27" s="156"/>
      <c r="I27" s="156"/>
      <c r="J27" s="157">
        <f>SUM(D27:I27)*Overview!$K$1*C27</f>
        <v>200</v>
      </c>
      <c r="O27" s="139">
        <f>IF(D27=1,Overview!$K$1*$C27,0)</f>
        <v>0</v>
      </c>
      <c r="P27" s="139">
        <f>IF(E27=1,Overview!$K$1*$C27,0)</f>
        <v>0</v>
      </c>
      <c r="Q27" s="139">
        <f>IF(F27=1,Overview!$K$1*$C27,0)</f>
        <v>0</v>
      </c>
      <c r="R27" s="139">
        <f>IF(G27=1,Overview!$K$1*$C27,0)</f>
        <v>200</v>
      </c>
      <c r="S27" s="139">
        <f>IF(H27=1,Overview!$K$1*$C27,0)</f>
        <v>0</v>
      </c>
      <c r="T27" s="139">
        <f>IF(I27=1,Overview!$K$1*$C27,0)</f>
        <v>0</v>
      </c>
      <c r="W27" s="139">
        <f t="shared" ref="W27:W61" si="9">IF(D27=1,$C27,0)</f>
        <v>0</v>
      </c>
      <c r="X27" s="139">
        <f t="shared" si="7"/>
        <v>0</v>
      </c>
      <c r="Y27" s="139">
        <f t="shared" si="8"/>
        <v>0</v>
      </c>
      <c r="Z27" s="139">
        <f t="shared" si="6"/>
        <v>2</v>
      </c>
      <c r="AA27" s="139">
        <f t="shared" si="4"/>
        <v>0</v>
      </c>
      <c r="AB27" s="139">
        <f t="shared" si="5"/>
        <v>0</v>
      </c>
    </row>
    <row r="28" spans="1:28" x14ac:dyDescent="0.25">
      <c r="A28" s="152">
        <v>43172</v>
      </c>
      <c r="B28" s="159" t="s">
        <v>170</v>
      </c>
      <c r="C28" s="160">
        <v>0.25</v>
      </c>
      <c r="D28" s="156">
        <v>1</v>
      </c>
      <c r="E28" s="156"/>
      <c r="F28" s="156"/>
      <c r="G28" s="156"/>
      <c r="H28" s="156"/>
      <c r="I28" s="156"/>
      <c r="J28" s="157">
        <f>SUM(D28:I28)*Overview!$K$1*C28</f>
        <v>25</v>
      </c>
      <c r="O28" s="139">
        <f>IF(D28=1,Overview!$K$1*$C28,0)</f>
        <v>25</v>
      </c>
      <c r="P28" s="139">
        <f>IF(E28=1,Overview!$K$1*$C28,0)</f>
        <v>0</v>
      </c>
      <c r="Q28" s="139">
        <f>IF(F28=1,Overview!$K$1*$C28,0)</f>
        <v>0</v>
      </c>
      <c r="R28" s="139">
        <f>IF(G28=1,Overview!$K$1*$C28,0)</f>
        <v>0</v>
      </c>
      <c r="S28" s="139">
        <f>IF(H28=1,Overview!$K$1*$C28,0)</f>
        <v>0</v>
      </c>
      <c r="T28" s="139">
        <f>IF(I28=1,Overview!$K$1*$C28,0)</f>
        <v>0</v>
      </c>
      <c r="W28" s="139">
        <f t="shared" si="9"/>
        <v>0.25</v>
      </c>
      <c r="X28" s="139">
        <f t="shared" si="7"/>
        <v>0</v>
      </c>
      <c r="Y28" s="139">
        <f t="shared" si="8"/>
        <v>0</v>
      </c>
      <c r="Z28" s="139">
        <f t="shared" si="6"/>
        <v>0</v>
      </c>
      <c r="AA28" s="139">
        <f t="shared" si="4"/>
        <v>0</v>
      </c>
      <c r="AB28" s="139">
        <f t="shared" si="5"/>
        <v>0</v>
      </c>
    </row>
    <row r="29" spans="1:28" x14ac:dyDescent="0.25">
      <c r="A29" s="152">
        <v>43173</v>
      </c>
      <c r="B29" s="159" t="s">
        <v>169</v>
      </c>
      <c r="C29" s="160">
        <v>1</v>
      </c>
      <c r="D29" s="156">
        <v>1</v>
      </c>
      <c r="E29" s="156"/>
      <c r="F29" s="156"/>
      <c r="G29" s="156"/>
      <c r="H29" s="156"/>
      <c r="I29" s="156"/>
      <c r="J29" s="157">
        <f>SUM(D29:I29)*Overview!$K$1*C29</f>
        <v>100</v>
      </c>
      <c r="O29" s="139">
        <f>IF(D29=1,Overview!$K$1*$C29,0)</f>
        <v>100</v>
      </c>
      <c r="P29" s="139">
        <f>IF(E29=1,Overview!$K$1*$C29,0)</f>
        <v>0</v>
      </c>
      <c r="Q29" s="139">
        <f>IF(F29=1,Overview!$K$1*$C29,0)</f>
        <v>0</v>
      </c>
      <c r="R29" s="139">
        <f>IF(G29=1,Overview!$K$1*$C29,0)</f>
        <v>0</v>
      </c>
      <c r="S29" s="139">
        <f>IF(H29=1,Overview!$K$1*$C29,0)</f>
        <v>0</v>
      </c>
      <c r="T29" s="139">
        <f>IF(I29=1,Overview!$K$1*$C29,0)</f>
        <v>0</v>
      </c>
      <c r="W29" s="139">
        <f t="shared" si="9"/>
        <v>1</v>
      </c>
      <c r="X29" s="139">
        <f t="shared" si="7"/>
        <v>0</v>
      </c>
      <c r="Y29" s="139">
        <f t="shared" si="8"/>
        <v>0</v>
      </c>
      <c r="Z29" s="139">
        <f t="shared" si="6"/>
        <v>0</v>
      </c>
      <c r="AA29" s="139">
        <f t="shared" si="4"/>
        <v>0</v>
      </c>
      <c r="AB29" s="139">
        <f t="shared" si="5"/>
        <v>0</v>
      </c>
    </row>
    <row r="30" spans="1:28" x14ac:dyDescent="0.25">
      <c r="A30" s="152">
        <v>43173</v>
      </c>
      <c r="B30" s="159" t="s">
        <v>168</v>
      </c>
      <c r="C30" s="160">
        <v>0.5</v>
      </c>
      <c r="D30" s="156"/>
      <c r="E30" s="156"/>
      <c r="F30" s="156"/>
      <c r="G30" s="156"/>
      <c r="H30" s="156"/>
      <c r="I30" s="156">
        <v>1</v>
      </c>
      <c r="J30" s="157">
        <f>SUM(D30:I30)*Overview!$K$1*C30</f>
        <v>50</v>
      </c>
      <c r="O30" s="139">
        <f>IF(D30=1,Overview!$K$1*$C30,0)</f>
        <v>0</v>
      </c>
      <c r="P30" s="139">
        <f>IF(E30=1,Overview!$K$1*$C30,0)</f>
        <v>0</v>
      </c>
      <c r="Q30" s="139">
        <f>IF(F30=1,Overview!$K$1*$C30,0)</f>
        <v>0</v>
      </c>
      <c r="R30" s="139">
        <f>IF(G30=1,Overview!$K$1*$C30,0)</f>
        <v>0</v>
      </c>
      <c r="S30" s="139">
        <f>IF(H30=1,Overview!$K$1*$C30,0)</f>
        <v>0</v>
      </c>
      <c r="T30" s="139">
        <f>IF(I30=1,Overview!$K$1*$C30,0)</f>
        <v>50</v>
      </c>
      <c r="W30" s="139">
        <f t="shared" si="9"/>
        <v>0</v>
      </c>
      <c r="X30" s="139">
        <f t="shared" si="7"/>
        <v>0</v>
      </c>
      <c r="Y30" s="139">
        <f t="shared" si="8"/>
        <v>0</v>
      </c>
      <c r="Z30" s="139">
        <f t="shared" si="6"/>
        <v>0</v>
      </c>
      <c r="AA30" s="139">
        <f t="shared" si="4"/>
        <v>0</v>
      </c>
      <c r="AB30" s="139">
        <f t="shared" si="5"/>
        <v>0.5</v>
      </c>
    </row>
    <row r="31" spans="1:28" ht="26.25" x14ac:dyDescent="0.25">
      <c r="A31" s="152">
        <v>43174</v>
      </c>
      <c r="B31" s="159" t="s">
        <v>167</v>
      </c>
      <c r="C31" s="160">
        <v>1</v>
      </c>
      <c r="D31" s="156">
        <v>1</v>
      </c>
      <c r="E31" s="156"/>
      <c r="F31" s="156"/>
      <c r="G31" s="156"/>
      <c r="H31" s="156"/>
      <c r="I31" s="156"/>
      <c r="J31" s="157">
        <f>SUM(D31:I31)*Overview!$K$1*C31</f>
        <v>100</v>
      </c>
      <c r="O31" s="139">
        <f>IF(D31=1,Overview!$K$1*$C31,0)</f>
        <v>100</v>
      </c>
      <c r="P31" s="139">
        <f>IF(E31=1,Overview!$K$1*$C31,0)</f>
        <v>0</v>
      </c>
      <c r="Q31" s="139">
        <f>IF(F31=1,Overview!$K$1*$C31,0)</f>
        <v>0</v>
      </c>
      <c r="R31" s="139">
        <f>IF(G31=1,Overview!$K$1*$C31,0)</f>
        <v>0</v>
      </c>
      <c r="S31" s="139">
        <f>IF(H31=1,Overview!$K$1*$C31,0)</f>
        <v>0</v>
      </c>
      <c r="T31" s="139">
        <f>IF(I31=1,Overview!$K$1*$C31,0)</f>
        <v>0</v>
      </c>
      <c r="W31" s="139">
        <f t="shared" si="9"/>
        <v>1</v>
      </c>
      <c r="X31" s="139">
        <f t="shared" si="7"/>
        <v>0</v>
      </c>
      <c r="Y31" s="139">
        <f t="shared" si="8"/>
        <v>0</v>
      </c>
      <c r="Z31" s="139">
        <f t="shared" si="6"/>
        <v>0</v>
      </c>
      <c r="AA31" s="139">
        <f t="shared" si="4"/>
        <v>0</v>
      </c>
      <c r="AB31" s="139">
        <f t="shared" si="5"/>
        <v>0</v>
      </c>
    </row>
    <row r="32" spans="1:28" x14ac:dyDescent="0.25">
      <c r="A32" s="152">
        <v>43176</v>
      </c>
      <c r="B32" s="159" t="s">
        <v>166</v>
      </c>
      <c r="C32" s="158">
        <v>0.5</v>
      </c>
      <c r="D32" s="156">
        <v>1</v>
      </c>
      <c r="E32" s="156"/>
      <c r="F32" s="156"/>
      <c r="G32" s="156"/>
      <c r="H32" s="156"/>
      <c r="I32" s="156"/>
      <c r="J32" s="157">
        <f>SUM(D32:I32)*Overview!$K$1*C32</f>
        <v>50</v>
      </c>
      <c r="O32" s="139">
        <f>IF(D32=1,Overview!$K$1*$C32,0)</f>
        <v>50</v>
      </c>
      <c r="P32" s="139">
        <f>IF(E32=1,Overview!$K$1*$C32,0)</f>
        <v>0</v>
      </c>
      <c r="Q32" s="139">
        <f>IF(F32=1,Overview!$K$1*$C32,0)</f>
        <v>0</v>
      </c>
      <c r="R32" s="139">
        <f>IF(G32=1,Overview!$K$1*$C32,0)</f>
        <v>0</v>
      </c>
      <c r="S32" s="139">
        <f>IF(H32=1,Overview!$K$1*$C32,0)</f>
        <v>0</v>
      </c>
      <c r="T32" s="139">
        <f>IF(I32=1,Overview!$K$1*$C32,0)</f>
        <v>0</v>
      </c>
      <c r="W32" s="139">
        <f t="shared" si="9"/>
        <v>0.5</v>
      </c>
      <c r="X32" s="139">
        <f t="shared" si="7"/>
        <v>0</v>
      </c>
      <c r="Y32" s="139">
        <f t="shared" si="8"/>
        <v>0</v>
      </c>
      <c r="Z32" s="139">
        <f t="shared" si="6"/>
        <v>0</v>
      </c>
      <c r="AA32" s="139">
        <f t="shared" si="4"/>
        <v>0</v>
      </c>
      <c r="AB32" s="139">
        <f t="shared" si="5"/>
        <v>0</v>
      </c>
    </row>
    <row r="33" spans="1:28" x14ac:dyDescent="0.25">
      <c r="A33" s="152">
        <v>43177</v>
      </c>
      <c r="B33" s="159" t="s">
        <v>165</v>
      </c>
      <c r="C33" s="158">
        <v>1</v>
      </c>
      <c r="D33" s="156">
        <v>1</v>
      </c>
      <c r="E33" s="156"/>
      <c r="F33" s="156"/>
      <c r="G33" s="156"/>
      <c r="H33" s="156"/>
      <c r="I33" s="156"/>
      <c r="J33" s="157">
        <f>SUM(D33:I33)*Overview!$K$1*C33</f>
        <v>100</v>
      </c>
      <c r="O33" s="139">
        <f>IF(D33=1,Overview!$K$1*$C33,0)</f>
        <v>100</v>
      </c>
      <c r="P33" s="139">
        <f>IF(E33=1,Overview!$K$1*$C33,0)</f>
        <v>0</v>
      </c>
      <c r="Q33" s="139">
        <f>IF(F33=1,Overview!$K$1*$C33,0)</f>
        <v>0</v>
      </c>
      <c r="R33" s="139">
        <f>IF(G33=1,Overview!$K$1*$C33,0)</f>
        <v>0</v>
      </c>
      <c r="S33" s="139">
        <f>IF(H33=1,Overview!$K$1*$C33,0)</f>
        <v>0</v>
      </c>
      <c r="T33" s="139">
        <f>IF(I33=1,Overview!$K$1*$C33,0)</f>
        <v>0</v>
      </c>
      <c r="W33" s="139">
        <f t="shared" si="9"/>
        <v>1</v>
      </c>
      <c r="X33" s="139">
        <f t="shared" si="7"/>
        <v>0</v>
      </c>
      <c r="Y33" s="139">
        <f t="shared" si="8"/>
        <v>0</v>
      </c>
      <c r="Z33" s="139">
        <f t="shared" si="6"/>
        <v>0</v>
      </c>
      <c r="AA33" s="139">
        <f t="shared" si="4"/>
        <v>0</v>
      </c>
      <c r="AB33" s="139">
        <f t="shared" si="5"/>
        <v>0</v>
      </c>
    </row>
    <row r="34" spans="1:28" x14ac:dyDescent="0.25">
      <c r="A34" s="152">
        <v>43179</v>
      </c>
      <c r="B34" s="159" t="s">
        <v>164</v>
      </c>
      <c r="C34" s="158">
        <v>1.5</v>
      </c>
      <c r="D34" s="156"/>
      <c r="E34" s="156"/>
      <c r="F34" s="156"/>
      <c r="G34" s="156"/>
      <c r="H34" s="156">
        <v>1</v>
      </c>
      <c r="I34" s="156"/>
      <c r="J34" s="157">
        <f>SUM(D34:I34)*Overview!$K$1*C34</f>
        <v>150</v>
      </c>
      <c r="O34" s="139">
        <f>IF(D34=1,Overview!$K$1*$C34,0)</f>
        <v>0</v>
      </c>
      <c r="P34" s="139">
        <f>IF(E34=1,Overview!$K$1*$C34,0)</f>
        <v>0</v>
      </c>
      <c r="Q34" s="139">
        <f>IF(F34=1,Overview!$K$1*$C34,0)</f>
        <v>0</v>
      </c>
      <c r="R34" s="139">
        <f>IF(G34=1,Overview!$K$1*$C34,0)</f>
        <v>0</v>
      </c>
      <c r="S34" s="139">
        <f>IF(H34=1,Overview!$K$1*$C34,0)</f>
        <v>150</v>
      </c>
      <c r="T34" s="139">
        <f>IF(I34=1,Overview!$K$1*$C34,0)</f>
        <v>0</v>
      </c>
      <c r="W34" s="139">
        <f t="shared" si="9"/>
        <v>0</v>
      </c>
      <c r="X34" s="139">
        <f t="shared" si="7"/>
        <v>0</v>
      </c>
      <c r="Y34" s="139">
        <f t="shared" si="8"/>
        <v>0</v>
      </c>
      <c r="Z34" s="139">
        <f t="shared" si="6"/>
        <v>0</v>
      </c>
      <c r="AA34" s="139">
        <f t="shared" si="4"/>
        <v>1.5</v>
      </c>
      <c r="AB34" s="139">
        <f t="shared" si="5"/>
        <v>0</v>
      </c>
    </row>
    <row r="35" spans="1:28" x14ac:dyDescent="0.25">
      <c r="A35" s="152">
        <v>43179</v>
      </c>
      <c r="B35" s="159" t="s">
        <v>163</v>
      </c>
      <c r="C35" s="158">
        <v>2.5</v>
      </c>
      <c r="D35" s="156"/>
      <c r="E35" s="156"/>
      <c r="F35" s="156"/>
      <c r="G35" s="156"/>
      <c r="H35" s="156">
        <v>1</v>
      </c>
      <c r="I35" s="156"/>
      <c r="J35" s="157">
        <f>SUM(D35:I35)*Overview!$K$1*C35</f>
        <v>250</v>
      </c>
      <c r="O35" s="139">
        <f>IF(D35=1,Overview!$K$1*$C35,0)</f>
        <v>0</v>
      </c>
      <c r="P35" s="139">
        <f>IF(E35=1,Overview!$K$1*$C35,0)</f>
        <v>0</v>
      </c>
      <c r="Q35" s="139">
        <f>IF(F35=1,Overview!$K$1*$C35,0)</f>
        <v>0</v>
      </c>
      <c r="R35" s="139">
        <f>IF(G35=1,Overview!$K$1*$C35,0)</f>
        <v>0</v>
      </c>
      <c r="S35" s="139">
        <f>IF(H35=1,Overview!$K$1*$C35,0)</f>
        <v>250</v>
      </c>
      <c r="T35" s="139">
        <f>IF(I35=1,Overview!$K$1*$C35,0)</f>
        <v>0</v>
      </c>
      <c r="W35" s="139">
        <f t="shared" si="9"/>
        <v>0</v>
      </c>
      <c r="X35" s="139">
        <f t="shared" si="7"/>
        <v>0</v>
      </c>
      <c r="Y35" s="139">
        <f t="shared" si="8"/>
        <v>0</v>
      </c>
      <c r="Z35" s="139">
        <f t="shared" si="6"/>
        <v>0</v>
      </c>
      <c r="AA35" s="139">
        <f t="shared" si="4"/>
        <v>2.5</v>
      </c>
      <c r="AB35" s="139">
        <f t="shared" si="5"/>
        <v>0</v>
      </c>
    </row>
    <row r="36" spans="1:28" x14ac:dyDescent="0.25">
      <c r="A36" s="152">
        <v>43179</v>
      </c>
      <c r="B36" s="159" t="s">
        <v>162</v>
      </c>
      <c r="C36" s="158">
        <v>1</v>
      </c>
      <c r="D36" s="156"/>
      <c r="E36" s="156"/>
      <c r="F36" s="156"/>
      <c r="G36" s="156"/>
      <c r="H36" s="156"/>
      <c r="I36" s="156">
        <v>1</v>
      </c>
      <c r="J36" s="157">
        <f>SUM(D36:I36)*Overview!$K$1*C36</f>
        <v>100</v>
      </c>
      <c r="O36" s="139">
        <f>IF(D36=1,Overview!$K$1*$C36,0)</f>
        <v>0</v>
      </c>
      <c r="P36" s="139">
        <f>IF(E36=1,Overview!$K$1*$C36,0)</f>
        <v>0</v>
      </c>
      <c r="Q36" s="139">
        <f>IF(F36=1,Overview!$K$1*$C36,0)</f>
        <v>0</v>
      </c>
      <c r="R36" s="139">
        <f>IF(G36=1,Overview!$K$1*$C36,0)</f>
        <v>0</v>
      </c>
      <c r="S36" s="139">
        <f>IF(H36=1,Overview!$K$1*$C36,0)</f>
        <v>0</v>
      </c>
      <c r="T36" s="139">
        <f>IF(I36=1,Overview!$K$1*$C36,0)</f>
        <v>100</v>
      </c>
      <c r="W36" s="139">
        <f t="shared" si="9"/>
        <v>0</v>
      </c>
      <c r="X36" s="139">
        <f t="shared" si="7"/>
        <v>0</v>
      </c>
      <c r="Y36" s="139">
        <f t="shared" si="8"/>
        <v>0</v>
      </c>
      <c r="Z36" s="139">
        <f t="shared" si="6"/>
        <v>0</v>
      </c>
      <c r="AA36" s="139">
        <f t="shared" si="4"/>
        <v>0</v>
      </c>
      <c r="AB36" s="139">
        <f t="shared" si="5"/>
        <v>1</v>
      </c>
    </row>
    <row r="37" spans="1:28" x14ac:dyDescent="0.25">
      <c r="A37" s="152">
        <v>43180</v>
      </c>
      <c r="B37" s="159" t="s">
        <v>161</v>
      </c>
      <c r="C37" s="158">
        <v>1.5</v>
      </c>
      <c r="D37" s="156">
        <v>1</v>
      </c>
      <c r="E37" s="156"/>
      <c r="F37" s="156"/>
      <c r="G37" s="156"/>
      <c r="H37" s="156"/>
      <c r="I37" s="156"/>
      <c r="J37" s="157">
        <f>SUM(D37:I37)*Overview!$K$1*C37</f>
        <v>150</v>
      </c>
      <c r="O37" s="139">
        <f>IF(D37=1,Overview!$K$1*$C37,0)</f>
        <v>150</v>
      </c>
      <c r="P37" s="139">
        <f>IF(E37=1,Overview!$K$1*$C37,0)</f>
        <v>0</v>
      </c>
      <c r="Q37" s="139">
        <f>IF(F37=1,Overview!$K$1*$C37,0)</f>
        <v>0</v>
      </c>
      <c r="R37" s="139">
        <f>IF(G37=1,Overview!$K$1*$C37,0)</f>
        <v>0</v>
      </c>
      <c r="S37" s="139">
        <f>IF(H37=1,Overview!$K$1*$C37,0)</f>
        <v>0</v>
      </c>
      <c r="T37" s="139">
        <f>IF(I37=1,Overview!$K$1*$C37,0)</f>
        <v>0</v>
      </c>
      <c r="W37" s="139">
        <f t="shared" si="9"/>
        <v>1.5</v>
      </c>
      <c r="X37" s="139">
        <f t="shared" si="7"/>
        <v>0</v>
      </c>
      <c r="Y37" s="139">
        <f t="shared" si="8"/>
        <v>0</v>
      </c>
      <c r="Z37" s="139">
        <f t="shared" si="6"/>
        <v>0</v>
      </c>
      <c r="AA37" s="139">
        <f t="shared" si="4"/>
        <v>0</v>
      </c>
      <c r="AB37" s="139">
        <f t="shared" si="5"/>
        <v>0</v>
      </c>
    </row>
    <row r="38" spans="1:28" ht="26.25" x14ac:dyDescent="0.25">
      <c r="A38" s="152">
        <v>43180</v>
      </c>
      <c r="B38" s="159" t="s">
        <v>160</v>
      </c>
      <c r="C38" s="158">
        <v>1</v>
      </c>
      <c r="D38" s="156">
        <v>1</v>
      </c>
      <c r="E38" s="156"/>
      <c r="F38" s="156"/>
      <c r="G38" s="156"/>
      <c r="H38" s="156"/>
      <c r="I38" s="156"/>
      <c r="J38" s="157">
        <f>SUM(D38:I38)*Overview!$K$1*C38</f>
        <v>100</v>
      </c>
      <c r="O38" s="139">
        <f>IF(D38=1,Overview!$K$1*$C38,0)</f>
        <v>100</v>
      </c>
      <c r="P38" s="139">
        <f>IF(E38=1,Overview!$K$1*$C38,0)</f>
        <v>0</v>
      </c>
      <c r="Q38" s="139">
        <f>IF(F38=1,Overview!$K$1*$C38,0)</f>
        <v>0</v>
      </c>
      <c r="R38" s="139">
        <f>IF(G38=1,Overview!$K$1*$C38,0)</f>
        <v>0</v>
      </c>
      <c r="S38" s="139">
        <f>IF(H38=1,Overview!$K$1*$C38,0)</f>
        <v>0</v>
      </c>
      <c r="T38" s="139">
        <f>IF(I38=1,Overview!$K$1*$C38,0)</f>
        <v>0</v>
      </c>
      <c r="W38" s="139">
        <f t="shared" si="9"/>
        <v>1</v>
      </c>
      <c r="X38" s="139">
        <f t="shared" si="7"/>
        <v>0</v>
      </c>
      <c r="Y38" s="139">
        <f t="shared" si="8"/>
        <v>0</v>
      </c>
      <c r="Z38" s="139">
        <f t="shared" si="6"/>
        <v>0</v>
      </c>
      <c r="AA38" s="139">
        <f t="shared" si="4"/>
        <v>0</v>
      </c>
      <c r="AB38" s="139">
        <f t="shared" si="5"/>
        <v>0</v>
      </c>
    </row>
    <row r="39" spans="1:28" ht="26.25" x14ac:dyDescent="0.25">
      <c r="A39" s="152">
        <v>43180</v>
      </c>
      <c r="B39" s="159" t="s">
        <v>159</v>
      </c>
      <c r="C39" s="158">
        <v>3</v>
      </c>
      <c r="D39" s="156"/>
      <c r="E39" s="156">
        <v>1</v>
      </c>
      <c r="F39" s="156"/>
      <c r="G39" s="156"/>
      <c r="H39" s="156"/>
      <c r="I39" s="156"/>
      <c r="J39" s="157">
        <f>SUM(D39:I39)*Overview!$K$1*C39</f>
        <v>300</v>
      </c>
      <c r="O39" s="139">
        <f>IF(D39=1,Overview!$K$1*$C39,0)</f>
        <v>0</v>
      </c>
      <c r="P39" s="139">
        <f>IF(E39=1,Overview!$K$1*$C39,0)</f>
        <v>300</v>
      </c>
      <c r="Q39" s="139">
        <f>IF(F39=1,Overview!$K$1*$C39,0)</f>
        <v>0</v>
      </c>
      <c r="R39" s="139">
        <f>IF(G39=1,Overview!$K$1*$C39,0)</f>
        <v>0</v>
      </c>
      <c r="S39" s="139">
        <f>IF(H39=1,Overview!$K$1*$C39,0)</f>
        <v>0</v>
      </c>
      <c r="T39" s="139">
        <f>IF(I39=1,Overview!$K$1*$C39,0)</f>
        <v>0</v>
      </c>
      <c r="W39" s="139">
        <f t="shared" si="9"/>
        <v>0</v>
      </c>
      <c r="X39" s="139">
        <f t="shared" si="7"/>
        <v>3</v>
      </c>
      <c r="Y39" s="139">
        <f t="shared" si="8"/>
        <v>0</v>
      </c>
      <c r="Z39" s="139">
        <f t="shared" si="6"/>
        <v>0</v>
      </c>
      <c r="AA39" s="139">
        <f t="shared" si="4"/>
        <v>0</v>
      </c>
      <c r="AB39" s="139">
        <f t="shared" si="5"/>
        <v>0</v>
      </c>
    </row>
    <row r="40" spans="1:28" x14ac:dyDescent="0.25">
      <c r="A40" s="152">
        <v>43180</v>
      </c>
      <c r="B40" s="159" t="s">
        <v>158</v>
      </c>
      <c r="C40" s="158">
        <v>2</v>
      </c>
      <c r="D40" s="156"/>
      <c r="E40" s="156">
        <v>1</v>
      </c>
      <c r="F40" s="156"/>
      <c r="G40" s="156"/>
      <c r="H40" s="156"/>
      <c r="I40" s="156"/>
      <c r="J40" s="157">
        <f>SUM(D40:I40)*Overview!$K$1*C40</f>
        <v>200</v>
      </c>
      <c r="O40" s="139">
        <f>IF(D40=1,Overview!$K$1*$C40,0)</f>
        <v>0</v>
      </c>
      <c r="P40" s="139">
        <f>IF(E40=1,Overview!$K$1*$C40,0)</f>
        <v>200</v>
      </c>
      <c r="Q40" s="139">
        <f>IF(F40=1,Overview!$K$1*$C40,0)</f>
        <v>0</v>
      </c>
      <c r="R40" s="139">
        <f>IF(G40=1,Overview!$K$1*$C40,0)</f>
        <v>0</v>
      </c>
      <c r="S40" s="139">
        <f>IF(H40=1,Overview!$K$1*$C40,0)</f>
        <v>0</v>
      </c>
      <c r="T40" s="139">
        <f>IF(I40=1,Overview!$K$1*$C40,0)</f>
        <v>0</v>
      </c>
      <c r="W40" s="139">
        <f t="shared" si="9"/>
        <v>0</v>
      </c>
      <c r="X40" s="139">
        <f t="shared" si="7"/>
        <v>2</v>
      </c>
      <c r="Y40" s="139">
        <f t="shared" si="8"/>
        <v>0</v>
      </c>
      <c r="Z40" s="139">
        <f t="shared" si="6"/>
        <v>0</v>
      </c>
      <c r="AA40" s="139">
        <f t="shared" si="4"/>
        <v>0</v>
      </c>
      <c r="AB40" s="139">
        <f t="shared" si="5"/>
        <v>0</v>
      </c>
    </row>
    <row r="41" spans="1:28" x14ac:dyDescent="0.25">
      <c r="A41" s="152">
        <v>43180</v>
      </c>
      <c r="B41" s="159" t="s">
        <v>157</v>
      </c>
      <c r="C41" s="158">
        <v>1</v>
      </c>
      <c r="D41" s="156">
        <v>1</v>
      </c>
      <c r="E41" s="156"/>
      <c r="F41" s="156"/>
      <c r="G41" s="156"/>
      <c r="H41" s="156"/>
      <c r="I41" s="156"/>
      <c r="J41" s="157">
        <f>SUM(D41:I41)*Overview!$K$1*C41</f>
        <v>100</v>
      </c>
      <c r="O41" s="139">
        <f>IF(D41=1,Overview!$K$1*$C41,0)</f>
        <v>100</v>
      </c>
      <c r="P41" s="139">
        <f>IF(E41=1,Overview!$K$1*$C41,0)</f>
        <v>0</v>
      </c>
      <c r="Q41" s="139">
        <f>IF(F41=1,Overview!$K$1*$C41,0)</f>
        <v>0</v>
      </c>
      <c r="R41" s="139">
        <f>IF(G41=1,Overview!$K$1*$C41,0)</f>
        <v>0</v>
      </c>
      <c r="S41" s="139">
        <f>IF(H41=1,Overview!$K$1*$C41,0)</f>
        <v>0</v>
      </c>
      <c r="T41" s="139">
        <f>IF(I41=1,Overview!$K$1*$C41,0)</f>
        <v>0</v>
      </c>
      <c r="W41" s="139">
        <f t="shared" si="9"/>
        <v>1</v>
      </c>
      <c r="X41" s="139">
        <f t="shared" si="7"/>
        <v>0</v>
      </c>
      <c r="Y41" s="139">
        <f t="shared" si="8"/>
        <v>0</v>
      </c>
      <c r="Z41" s="139">
        <f t="shared" si="6"/>
        <v>0</v>
      </c>
      <c r="AA41" s="139">
        <f t="shared" ref="AA41:AA61" si="10">IF(H41=1,$C41,0)</f>
        <v>0</v>
      </c>
      <c r="AB41" s="139">
        <f t="shared" ref="AB41:AB61" si="11">IF(I41=1,$C41,0)</f>
        <v>0</v>
      </c>
    </row>
    <row r="42" spans="1:28" x14ac:dyDescent="0.25">
      <c r="A42" s="152">
        <v>43181</v>
      </c>
      <c r="B42" s="159" t="s">
        <v>156</v>
      </c>
      <c r="C42" s="158">
        <v>1</v>
      </c>
      <c r="D42" s="156">
        <v>1</v>
      </c>
      <c r="E42" s="156"/>
      <c r="F42" s="156"/>
      <c r="G42" s="156"/>
      <c r="H42" s="156"/>
      <c r="I42" s="156"/>
      <c r="J42" s="157">
        <f>SUM(D42:I42)*Overview!$K$1*C42</f>
        <v>100</v>
      </c>
      <c r="O42" s="139">
        <f>IF(D42=1,Overview!$K$1*$C42,0)</f>
        <v>100</v>
      </c>
      <c r="P42" s="139">
        <f>IF(E42=1,Overview!$K$1*$C42,0)</f>
        <v>0</v>
      </c>
      <c r="Q42" s="139">
        <f>IF(F42=1,Overview!$K$1*$C42,0)</f>
        <v>0</v>
      </c>
      <c r="R42" s="139">
        <f>IF(G42=1,Overview!$K$1*$C42,0)</f>
        <v>0</v>
      </c>
      <c r="S42" s="139">
        <f>IF(H42=1,Overview!$K$1*$C42,0)</f>
        <v>0</v>
      </c>
      <c r="T42" s="139">
        <f>IF(I42=1,Overview!$K$1*$C42,0)</f>
        <v>0</v>
      </c>
      <c r="W42" s="139">
        <f t="shared" si="9"/>
        <v>1</v>
      </c>
      <c r="X42" s="139">
        <f t="shared" si="7"/>
        <v>0</v>
      </c>
      <c r="Y42" s="139">
        <f t="shared" si="8"/>
        <v>0</v>
      </c>
      <c r="Z42" s="139">
        <f t="shared" si="6"/>
        <v>0</v>
      </c>
      <c r="AA42" s="139">
        <f t="shared" si="10"/>
        <v>0</v>
      </c>
      <c r="AB42" s="139">
        <f t="shared" si="11"/>
        <v>0</v>
      </c>
    </row>
    <row r="43" spans="1:28" x14ac:dyDescent="0.25">
      <c r="A43" s="152">
        <v>43183</v>
      </c>
      <c r="B43" s="159" t="s">
        <v>155</v>
      </c>
      <c r="C43" s="158">
        <v>3</v>
      </c>
      <c r="D43" s="156"/>
      <c r="E43" s="156"/>
      <c r="F43" s="156"/>
      <c r="G43" s="156"/>
      <c r="H43" s="156"/>
      <c r="I43" s="156">
        <v>1</v>
      </c>
      <c r="J43" s="157">
        <f>SUM(D43:I43)*Overview!$K$1*C43</f>
        <v>300</v>
      </c>
      <c r="O43" s="139">
        <f>IF(D43=1,Overview!$K$1*$C43,0)</f>
        <v>0</v>
      </c>
      <c r="P43" s="139">
        <f>IF(E43=1,Overview!$K$1*$C43,0)</f>
        <v>0</v>
      </c>
      <c r="Q43" s="139">
        <f>IF(F43=1,Overview!$K$1*$C43,0)</f>
        <v>0</v>
      </c>
      <c r="R43" s="139">
        <f>IF(G43=1,Overview!$K$1*$C43,0)</f>
        <v>0</v>
      </c>
      <c r="S43" s="139">
        <f>IF(H43=1,Overview!$K$1*$C43,0)</f>
        <v>0</v>
      </c>
      <c r="T43" s="139">
        <f>IF(I43=1,Overview!$K$1*$C43,0)</f>
        <v>300</v>
      </c>
      <c r="W43" s="139">
        <f t="shared" si="9"/>
        <v>0</v>
      </c>
      <c r="X43" s="139">
        <f t="shared" si="7"/>
        <v>0</v>
      </c>
      <c r="Y43" s="139">
        <f t="shared" si="8"/>
        <v>0</v>
      </c>
      <c r="Z43" s="139">
        <f t="shared" si="6"/>
        <v>0</v>
      </c>
      <c r="AA43" s="139">
        <f t="shared" si="10"/>
        <v>0</v>
      </c>
      <c r="AB43" s="139">
        <f t="shared" si="11"/>
        <v>3</v>
      </c>
    </row>
    <row r="44" spans="1:28" x14ac:dyDescent="0.25">
      <c r="A44" s="152">
        <v>43185</v>
      </c>
      <c r="B44" s="159" t="s">
        <v>154</v>
      </c>
      <c r="C44" s="158">
        <v>2</v>
      </c>
      <c r="D44" s="156">
        <v>1</v>
      </c>
      <c r="E44" s="156"/>
      <c r="F44" s="156"/>
      <c r="G44" s="156"/>
      <c r="H44" s="156"/>
      <c r="I44" s="156"/>
      <c r="J44" s="157">
        <f>SUM(D44:I44)*Overview!$K$1*C44</f>
        <v>200</v>
      </c>
      <c r="O44" s="139">
        <f>IF(D44=1,Overview!$K$1*$C44,0)</f>
        <v>200</v>
      </c>
      <c r="P44" s="139">
        <f>IF(E44=1,Overview!$K$1*$C44,0)</f>
        <v>0</v>
      </c>
      <c r="Q44" s="139">
        <f>IF(F44=1,Overview!$K$1*$C44,0)</f>
        <v>0</v>
      </c>
      <c r="R44" s="139">
        <f>IF(G44=1,Overview!$K$1*$C44,0)</f>
        <v>0</v>
      </c>
      <c r="S44" s="139">
        <f>IF(H44=1,Overview!$K$1*$C44,0)</f>
        <v>0</v>
      </c>
      <c r="T44" s="139">
        <f>IF(I44=1,Overview!$K$1*$C44,0)</f>
        <v>0</v>
      </c>
      <c r="W44" s="139">
        <f t="shared" si="9"/>
        <v>2</v>
      </c>
      <c r="X44" s="139">
        <f t="shared" si="7"/>
        <v>0</v>
      </c>
      <c r="Y44" s="139">
        <f t="shared" si="8"/>
        <v>0</v>
      </c>
      <c r="Z44" s="139">
        <f t="shared" si="6"/>
        <v>0</v>
      </c>
      <c r="AA44" s="139">
        <f t="shared" si="10"/>
        <v>0</v>
      </c>
      <c r="AB44" s="139">
        <f t="shared" si="11"/>
        <v>0</v>
      </c>
    </row>
    <row r="45" spans="1:28" x14ac:dyDescent="0.25">
      <c r="A45" s="152">
        <v>43186</v>
      </c>
      <c r="B45" s="159" t="s">
        <v>153</v>
      </c>
      <c r="C45" s="156">
        <v>0.5</v>
      </c>
      <c r="D45" s="155"/>
      <c r="E45" s="154"/>
      <c r="F45" s="154"/>
      <c r="G45" s="154"/>
      <c r="H45" s="154"/>
      <c r="I45" s="154">
        <v>1</v>
      </c>
      <c r="J45" s="153">
        <f>SUM(D45:I45)*Overview!$K$1*C45</f>
        <v>50</v>
      </c>
      <c r="O45" s="139">
        <f>IF(D45=1,Overview!$K$1*$C45,0)</f>
        <v>0</v>
      </c>
      <c r="P45" s="139">
        <f>IF(E45=1,Overview!$K$1*$C45,0)</f>
        <v>0</v>
      </c>
      <c r="Q45" s="139">
        <f>IF(F45=1,Overview!$K$1*$C45,0)</f>
        <v>0</v>
      </c>
      <c r="R45" s="139">
        <f>IF(G45=1,Overview!$K$1*$C45,0)</f>
        <v>0</v>
      </c>
      <c r="S45" s="139">
        <f>IF(H45=1,Overview!$K$1*$C45,0)</f>
        <v>0</v>
      </c>
      <c r="T45" s="139">
        <f>IF(I45=1,Overview!$K$1*$C45,0)</f>
        <v>50</v>
      </c>
      <c r="W45" s="139">
        <f t="shared" si="9"/>
        <v>0</v>
      </c>
      <c r="X45" s="139">
        <f t="shared" si="7"/>
        <v>0</v>
      </c>
      <c r="Y45" s="139">
        <f t="shared" si="8"/>
        <v>0</v>
      </c>
      <c r="Z45" s="139">
        <f t="shared" ref="Z45:Z61" si="12">IF(G45=1,$C45,0)</f>
        <v>0</v>
      </c>
      <c r="AA45" s="139">
        <f t="shared" si="10"/>
        <v>0</v>
      </c>
      <c r="AB45" s="139">
        <f t="shared" si="11"/>
        <v>0.5</v>
      </c>
    </row>
    <row r="46" spans="1:28" ht="26.25" x14ac:dyDescent="0.25">
      <c r="A46" s="152">
        <v>43187</v>
      </c>
      <c r="B46" s="209" t="s">
        <v>204</v>
      </c>
      <c r="C46" s="156">
        <v>1</v>
      </c>
      <c r="D46" s="154">
        <v>1</v>
      </c>
      <c r="E46" s="154"/>
      <c r="F46" s="154"/>
      <c r="G46" s="154"/>
      <c r="H46" s="154"/>
      <c r="I46" s="154"/>
      <c r="J46" s="150"/>
      <c r="O46" s="139">
        <f>IF(D46=1,Overview!$K$1*$C46,0)</f>
        <v>100</v>
      </c>
      <c r="P46" s="139">
        <f>IF(E46=1,Overview!$K$1*$C46,0)</f>
        <v>0</v>
      </c>
      <c r="Q46" s="139">
        <f>IF(F46=1,Overview!$K$1*$C46,0)</f>
        <v>0</v>
      </c>
      <c r="R46" s="139">
        <f>IF(G46=1,Overview!$K$1*$C46,0)</f>
        <v>0</v>
      </c>
      <c r="S46" s="139">
        <f>IF(H46=1,Overview!$K$1*$C46,0)</f>
        <v>0</v>
      </c>
      <c r="T46" s="139">
        <f>IF(I46=1,Overview!$K$1*$C46,0)</f>
        <v>0</v>
      </c>
      <c r="W46" s="139">
        <f t="shared" si="9"/>
        <v>1</v>
      </c>
      <c r="X46" s="139">
        <f t="shared" si="7"/>
        <v>0</v>
      </c>
      <c r="Y46" s="139">
        <f t="shared" si="8"/>
        <v>0</v>
      </c>
      <c r="Z46" s="139">
        <f t="shared" si="12"/>
        <v>0</v>
      </c>
      <c r="AA46" s="139">
        <f t="shared" si="10"/>
        <v>0</v>
      </c>
      <c r="AB46" s="139">
        <f t="shared" si="11"/>
        <v>0</v>
      </c>
    </row>
    <row r="47" spans="1:28" x14ac:dyDescent="0.25">
      <c r="A47" s="152"/>
      <c r="B47" s="193"/>
      <c r="C47" s="156"/>
      <c r="D47" s="154"/>
      <c r="E47" s="154"/>
      <c r="F47" s="154"/>
      <c r="G47" s="154"/>
      <c r="H47" s="154"/>
      <c r="I47" s="154"/>
      <c r="J47" s="150"/>
      <c r="O47" s="139">
        <f>IF(D47=1,Overview!$K$1*$C47,0)</f>
        <v>0</v>
      </c>
      <c r="P47" s="139">
        <f>IF(E47=1,Overview!$K$1*$C47,0)</f>
        <v>0</v>
      </c>
      <c r="Q47" s="139">
        <f>IF(F47=1,Overview!$K$1*$C47,0)</f>
        <v>0</v>
      </c>
      <c r="R47" s="139">
        <f>IF(G47=1,Overview!$K$1*$C47,0)</f>
        <v>0</v>
      </c>
      <c r="S47" s="139">
        <f>IF(H47=1,Overview!$K$1*$C47,0)</f>
        <v>0</v>
      </c>
      <c r="T47" s="139">
        <f>IF(I47=1,Overview!$K$1*$C47,0)</f>
        <v>0</v>
      </c>
      <c r="W47" s="139">
        <f t="shared" si="9"/>
        <v>0</v>
      </c>
      <c r="X47" s="139">
        <f t="shared" si="7"/>
        <v>0</v>
      </c>
      <c r="Y47" s="139">
        <f t="shared" si="8"/>
        <v>0</v>
      </c>
      <c r="Z47" s="139">
        <f t="shared" si="12"/>
        <v>0</v>
      </c>
      <c r="AA47" s="139">
        <f t="shared" si="10"/>
        <v>0</v>
      </c>
      <c r="AB47" s="139">
        <f t="shared" si="11"/>
        <v>0</v>
      </c>
    </row>
    <row r="48" spans="1:28" x14ac:dyDescent="0.25">
      <c r="A48" s="152"/>
      <c r="B48" s="193"/>
      <c r="C48" s="156"/>
      <c r="D48" s="154"/>
      <c r="E48" s="154"/>
      <c r="F48" s="154"/>
      <c r="G48" s="154"/>
      <c r="H48" s="154"/>
      <c r="I48" s="154"/>
      <c r="J48" s="150"/>
      <c r="O48" s="139">
        <f>IF(D48=1,Overview!$K$1*$C48,0)</f>
        <v>0</v>
      </c>
      <c r="P48" s="139">
        <f>IF(E48=1,Overview!$K$1*$C48,0)</f>
        <v>0</v>
      </c>
      <c r="Q48" s="139">
        <f>IF(F48=1,Overview!$K$1*$C48,0)</f>
        <v>0</v>
      </c>
      <c r="R48" s="139">
        <f>IF(G48=1,Overview!$K$1*$C48,0)</f>
        <v>0</v>
      </c>
      <c r="S48" s="139">
        <f>IF(H48=1,Overview!$K$1*$C48,0)</f>
        <v>0</v>
      </c>
      <c r="T48" s="139">
        <f>IF(I48=1,Overview!$K$1*$C48,0)</f>
        <v>0</v>
      </c>
      <c r="W48" s="139">
        <f t="shared" si="9"/>
        <v>0</v>
      </c>
      <c r="X48" s="139">
        <f t="shared" si="7"/>
        <v>0</v>
      </c>
      <c r="Y48" s="139">
        <f t="shared" si="8"/>
        <v>0</v>
      </c>
      <c r="Z48" s="139">
        <f t="shared" si="12"/>
        <v>0</v>
      </c>
      <c r="AA48" s="139">
        <f t="shared" si="10"/>
        <v>0</v>
      </c>
      <c r="AB48" s="139">
        <f t="shared" si="11"/>
        <v>0</v>
      </c>
    </row>
    <row r="49" spans="1:29" x14ac:dyDescent="0.25">
      <c r="A49" s="152"/>
      <c r="B49" s="193"/>
      <c r="C49" s="156"/>
      <c r="D49" s="154"/>
      <c r="E49" s="154"/>
      <c r="F49" s="154"/>
      <c r="G49" s="154"/>
      <c r="H49" s="154"/>
      <c r="I49" s="154"/>
      <c r="J49" s="150"/>
      <c r="O49" s="139">
        <f>IF(D49=1,Overview!$K$1*$C49,0)</f>
        <v>0</v>
      </c>
      <c r="P49" s="139">
        <f>IF(E49=1,Overview!$K$1*$C49,0)</f>
        <v>0</v>
      </c>
      <c r="Q49" s="139">
        <f>IF(F49=1,Overview!$K$1*$C49,0)</f>
        <v>0</v>
      </c>
      <c r="R49" s="139">
        <f>IF(G49=1,Overview!$K$1*$C49,0)</f>
        <v>0</v>
      </c>
      <c r="S49" s="139">
        <f>IF(H49=1,Overview!$K$1*$C49,0)</f>
        <v>0</v>
      </c>
      <c r="T49" s="139">
        <f>IF(I49=1,Overview!$K$1*$C49,0)</f>
        <v>0</v>
      </c>
      <c r="W49" s="139">
        <f t="shared" si="9"/>
        <v>0</v>
      </c>
      <c r="X49" s="139">
        <f t="shared" si="7"/>
        <v>0</v>
      </c>
      <c r="Y49" s="139">
        <f t="shared" si="8"/>
        <v>0</v>
      </c>
      <c r="Z49" s="139">
        <f t="shared" si="12"/>
        <v>0</v>
      </c>
      <c r="AA49" s="139">
        <f t="shared" si="10"/>
        <v>0</v>
      </c>
      <c r="AB49" s="139">
        <f t="shared" si="11"/>
        <v>0</v>
      </c>
    </row>
    <row r="50" spans="1:29" x14ac:dyDescent="0.25">
      <c r="A50" s="152"/>
      <c r="B50" s="193"/>
      <c r="C50" s="156"/>
      <c r="D50" s="154"/>
      <c r="E50" s="154"/>
      <c r="F50" s="154"/>
      <c r="G50" s="154"/>
      <c r="H50" s="154"/>
      <c r="I50" s="154"/>
      <c r="J50" s="150"/>
      <c r="O50" s="139">
        <f>IF(D50=1,Overview!$K$1*$C50,0)</f>
        <v>0</v>
      </c>
      <c r="P50" s="139">
        <f>IF(E50=1,Overview!$K$1*$C50,0)</f>
        <v>0</v>
      </c>
      <c r="Q50" s="139">
        <f>IF(F50=1,Overview!$K$1*$C50,0)</f>
        <v>0</v>
      </c>
      <c r="R50" s="139">
        <f>IF(G50=1,Overview!$K$1*$C50,0)</f>
        <v>0</v>
      </c>
      <c r="S50" s="139">
        <f>IF(H50=1,Overview!$K$1*$C50,0)</f>
        <v>0</v>
      </c>
      <c r="T50" s="139">
        <f>IF(I50=1,Overview!$K$1*$C50,0)</f>
        <v>0</v>
      </c>
      <c r="W50" s="139">
        <f t="shared" si="9"/>
        <v>0</v>
      </c>
      <c r="X50" s="139">
        <f t="shared" si="7"/>
        <v>0</v>
      </c>
      <c r="Y50" s="139">
        <f t="shared" si="8"/>
        <v>0</v>
      </c>
      <c r="Z50" s="139">
        <f t="shared" si="12"/>
        <v>0</v>
      </c>
      <c r="AA50" s="139">
        <f t="shared" si="10"/>
        <v>0</v>
      </c>
      <c r="AB50" s="139">
        <f t="shared" si="11"/>
        <v>0</v>
      </c>
    </row>
    <row r="51" spans="1:29" x14ac:dyDescent="0.25">
      <c r="A51" s="152"/>
      <c r="B51" s="193"/>
      <c r="C51" s="156"/>
      <c r="D51" s="154"/>
      <c r="E51" s="154"/>
      <c r="F51" s="154"/>
      <c r="G51" s="154"/>
      <c r="H51" s="154"/>
      <c r="I51" s="154"/>
      <c r="J51" s="150"/>
      <c r="O51" s="139">
        <f>IF(D51=1,Overview!$K$1*$C51,0)</f>
        <v>0</v>
      </c>
      <c r="P51" s="139">
        <f>IF(E51=1,Overview!$K$1*$C51,0)</f>
        <v>0</v>
      </c>
      <c r="Q51" s="139">
        <f>IF(F51=1,Overview!$K$1*$C51,0)</f>
        <v>0</v>
      </c>
      <c r="R51" s="139">
        <f>IF(G51=1,Overview!$K$1*$C51,0)</f>
        <v>0</v>
      </c>
      <c r="S51" s="139">
        <f>IF(H51=1,Overview!$K$1*$C51,0)</f>
        <v>0</v>
      </c>
      <c r="T51" s="139">
        <f>IF(I51=1,Overview!$K$1*$C51,0)</f>
        <v>0</v>
      </c>
      <c r="W51" s="139">
        <f t="shared" si="9"/>
        <v>0</v>
      </c>
      <c r="X51" s="139">
        <f t="shared" si="7"/>
        <v>0</v>
      </c>
      <c r="Y51" s="139">
        <f t="shared" si="8"/>
        <v>0</v>
      </c>
      <c r="Z51" s="139">
        <f t="shared" si="12"/>
        <v>0</v>
      </c>
      <c r="AA51" s="139">
        <f t="shared" si="10"/>
        <v>0</v>
      </c>
      <c r="AB51" s="139">
        <f t="shared" si="11"/>
        <v>0</v>
      </c>
    </row>
    <row r="52" spans="1:29" x14ac:dyDescent="0.25">
      <c r="A52" s="152"/>
      <c r="B52" s="193"/>
      <c r="C52" s="156"/>
      <c r="D52" s="154"/>
      <c r="E52" s="154"/>
      <c r="F52" s="154"/>
      <c r="G52" s="154"/>
      <c r="H52" s="154"/>
      <c r="I52" s="154"/>
      <c r="J52" s="150"/>
      <c r="O52" s="139">
        <f>IF(D52=1,Overview!$K$1*$C52,0)</f>
        <v>0</v>
      </c>
      <c r="P52" s="139">
        <f>IF(E52=1,Overview!$K$1*$C52,0)</f>
        <v>0</v>
      </c>
      <c r="Q52" s="139">
        <f>IF(F52=1,Overview!$K$1*$C52,0)</f>
        <v>0</v>
      </c>
      <c r="R52" s="139">
        <f>IF(G52=1,Overview!$K$1*$C52,0)</f>
        <v>0</v>
      </c>
      <c r="S52" s="139">
        <f>IF(H52=1,Overview!$K$1*$C52,0)</f>
        <v>0</v>
      </c>
      <c r="T52" s="139">
        <f>IF(I52=1,Overview!$K$1*$C52,0)</f>
        <v>0</v>
      </c>
      <c r="W52" s="139">
        <f t="shared" si="9"/>
        <v>0</v>
      </c>
      <c r="X52" s="139">
        <f t="shared" si="7"/>
        <v>0</v>
      </c>
      <c r="Y52" s="139">
        <f t="shared" si="8"/>
        <v>0</v>
      </c>
      <c r="Z52" s="139">
        <f t="shared" si="12"/>
        <v>0</v>
      </c>
      <c r="AA52" s="139">
        <f t="shared" si="10"/>
        <v>0</v>
      </c>
      <c r="AB52" s="139">
        <f t="shared" si="11"/>
        <v>0</v>
      </c>
    </row>
    <row r="53" spans="1:29" x14ac:dyDescent="0.25">
      <c r="A53" s="152"/>
      <c r="B53" s="193"/>
      <c r="C53" s="156"/>
      <c r="D53" s="154"/>
      <c r="E53" s="154"/>
      <c r="F53" s="154"/>
      <c r="G53" s="154"/>
      <c r="H53" s="154"/>
      <c r="I53" s="154"/>
      <c r="J53" s="150"/>
      <c r="O53" s="139">
        <f>IF(D53=1,Overview!$K$1*$C53,0)</f>
        <v>0</v>
      </c>
      <c r="P53" s="139">
        <f>IF(E53=1,Overview!$K$1*$C53,0)</f>
        <v>0</v>
      </c>
      <c r="Q53" s="139">
        <f>IF(F53=1,Overview!$K$1*$C53,0)</f>
        <v>0</v>
      </c>
      <c r="R53" s="139">
        <f>IF(G53=1,Overview!$K$1*$C53,0)</f>
        <v>0</v>
      </c>
      <c r="S53" s="139">
        <f>IF(H53=1,Overview!$K$1*$C53,0)</f>
        <v>0</v>
      </c>
      <c r="T53" s="139">
        <f>IF(I53=1,Overview!$K$1*$C53,0)</f>
        <v>0</v>
      </c>
      <c r="W53" s="139">
        <f t="shared" si="9"/>
        <v>0</v>
      </c>
      <c r="X53" s="139">
        <f t="shared" si="7"/>
        <v>0</v>
      </c>
      <c r="Y53" s="139">
        <f t="shared" si="8"/>
        <v>0</v>
      </c>
      <c r="Z53" s="139">
        <f t="shared" si="12"/>
        <v>0</v>
      </c>
      <c r="AA53" s="139">
        <f t="shared" si="10"/>
        <v>0</v>
      </c>
      <c r="AB53" s="139">
        <f t="shared" si="11"/>
        <v>0</v>
      </c>
    </row>
    <row r="54" spans="1:29" x14ac:dyDescent="0.25">
      <c r="A54" s="152"/>
      <c r="B54" s="193"/>
      <c r="C54" s="156"/>
      <c r="D54" s="154"/>
      <c r="E54" s="154"/>
      <c r="F54" s="154"/>
      <c r="G54" s="154"/>
      <c r="H54" s="154"/>
      <c r="I54" s="154"/>
      <c r="J54" s="150"/>
      <c r="O54" s="139">
        <f>IF(D54=1,Overview!$K$1*$C54,0)</f>
        <v>0</v>
      </c>
      <c r="P54" s="139">
        <f>IF(E54=1,Overview!$K$1*$C54,0)</f>
        <v>0</v>
      </c>
      <c r="Q54" s="139">
        <f>IF(F54=1,Overview!$K$1*$C54,0)</f>
        <v>0</v>
      </c>
      <c r="R54" s="139">
        <f>IF(G54=1,Overview!$K$1*$C54,0)</f>
        <v>0</v>
      </c>
      <c r="S54" s="139">
        <f>IF(H54=1,Overview!$K$1*$C54,0)</f>
        <v>0</v>
      </c>
      <c r="T54" s="139">
        <f>IF(I54=1,Overview!$K$1*$C54,0)</f>
        <v>0</v>
      </c>
      <c r="W54" s="139">
        <f t="shared" si="9"/>
        <v>0</v>
      </c>
      <c r="X54" s="139">
        <f t="shared" si="7"/>
        <v>0</v>
      </c>
      <c r="Y54" s="139">
        <f t="shared" si="8"/>
        <v>0</v>
      </c>
      <c r="Z54" s="139">
        <f t="shared" si="12"/>
        <v>0</v>
      </c>
      <c r="AA54" s="139">
        <f t="shared" si="10"/>
        <v>0</v>
      </c>
      <c r="AB54" s="139">
        <f t="shared" si="11"/>
        <v>0</v>
      </c>
    </row>
    <row r="55" spans="1:29" x14ac:dyDescent="0.25">
      <c r="A55" s="152"/>
      <c r="B55" s="193"/>
      <c r="C55" s="156"/>
      <c r="D55" s="154"/>
      <c r="E55" s="154"/>
      <c r="F55" s="154"/>
      <c r="G55" s="154"/>
      <c r="H55" s="154"/>
      <c r="I55" s="154"/>
      <c r="J55" s="150"/>
      <c r="O55" s="139">
        <f>IF(D55=1,Overview!$K$1*$C55,0)</f>
        <v>0</v>
      </c>
      <c r="P55" s="139">
        <f>IF(E55=1,Overview!$K$1*$C55,0)</f>
        <v>0</v>
      </c>
      <c r="Q55" s="139">
        <f>IF(F55=1,Overview!$K$1*$C55,0)</f>
        <v>0</v>
      </c>
      <c r="R55" s="139">
        <f>IF(G55=1,Overview!$K$1*$C55,0)</f>
        <v>0</v>
      </c>
      <c r="S55" s="139">
        <f>IF(H55=1,Overview!$K$1*$C55,0)</f>
        <v>0</v>
      </c>
      <c r="T55" s="139">
        <f>IF(I55=1,Overview!$K$1*$C55,0)</f>
        <v>0</v>
      </c>
      <c r="W55" s="139">
        <f t="shared" si="9"/>
        <v>0</v>
      </c>
      <c r="X55" s="139">
        <f t="shared" si="7"/>
        <v>0</v>
      </c>
      <c r="Y55" s="139">
        <f t="shared" si="8"/>
        <v>0</v>
      </c>
      <c r="Z55" s="139">
        <f t="shared" si="12"/>
        <v>0</v>
      </c>
      <c r="AA55" s="139">
        <f t="shared" si="10"/>
        <v>0</v>
      </c>
      <c r="AB55" s="139">
        <f t="shared" si="11"/>
        <v>0</v>
      </c>
    </row>
    <row r="56" spans="1:29" x14ac:dyDescent="0.25">
      <c r="A56" s="152"/>
      <c r="B56" s="193"/>
      <c r="C56" s="156"/>
      <c r="D56" s="154"/>
      <c r="E56" s="154"/>
      <c r="F56" s="154"/>
      <c r="G56" s="154"/>
      <c r="H56" s="154"/>
      <c r="I56" s="154"/>
      <c r="J56" s="150"/>
      <c r="O56" s="139">
        <f>IF(D56=1,Overview!$K$1*$C56,0)</f>
        <v>0</v>
      </c>
      <c r="P56" s="139">
        <f>IF(E56=1,Overview!$K$1*$C56,0)</f>
        <v>0</v>
      </c>
      <c r="Q56" s="139">
        <f>IF(F56=1,Overview!$K$1*$C56,0)</f>
        <v>0</v>
      </c>
      <c r="R56" s="139">
        <f>IF(G56=1,Overview!$K$1*$C56,0)</f>
        <v>0</v>
      </c>
      <c r="S56" s="139">
        <f>IF(H56=1,Overview!$K$1*$C56,0)</f>
        <v>0</v>
      </c>
      <c r="T56" s="139">
        <f>IF(I56=1,Overview!$K$1*$C56,0)</f>
        <v>0</v>
      </c>
      <c r="W56" s="139">
        <f t="shared" si="9"/>
        <v>0</v>
      </c>
      <c r="X56" s="139">
        <f t="shared" si="7"/>
        <v>0</v>
      </c>
      <c r="Y56" s="139">
        <f t="shared" si="8"/>
        <v>0</v>
      </c>
      <c r="Z56" s="139">
        <f t="shared" si="12"/>
        <v>0</v>
      </c>
      <c r="AA56" s="139">
        <f t="shared" si="10"/>
        <v>0</v>
      </c>
      <c r="AB56" s="139">
        <f t="shared" si="11"/>
        <v>0</v>
      </c>
    </row>
    <row r="57" spans="1:29" x14ac:dyDescent="0.25">
      <c r="A57" s="152"/>
      <c r="B57" s="193"/>
      <c r="C57" s="156"/>
      <c r="D57" s="154"/>
      <c r="E57" s="154"/>
      <c r="F57" s="154"/>
      <c r="G57" s="154"/>
      <c r="H57" s="154"/>
      <c r="I57" s="154"/>
      <c r="J57" s="150"/>
      <c r="O57" s="139">
        <f>IF(D57=1,Overview!$K$1*$C57,0)</f>
        <v>0</v>
      </c>
      <c r="P57" s="139">
        <f>IF(E57=1,Overview!$K$1*$C57,0)</f>
        <v>0</v>
      </c>
      <c r="Q57" s="139">
        <f>IF(F57=1,Overview!$K$1*$C57,0)</f>
        <v>0</v>
      </c>
      <c r="R57" s="139">
        <f>IF(G57=1,Overview!$K$1*$C57,0)</f>
        <v>0</v>
      </c>
      <c r="S57" s="139">
        <f>IF(H57=1,Overview!$K$1*$C57,0)</f>
        <v>0</v>
      </c>
      <c r="T57" s="139">
        <f>IF(I57=1,Overview!$K$1*$C57,0)</f>
        <v>0</v>
      </c>
      <c r="W57" s="139">
        <f t="shared" si="9"/>
        <v>0</v>
      </c>
      <c r="X57" s="139">
        <f t="shared" si="7"/>
        <v>0</v>
      </c>
      <c r="Y57" s="139">
        <f t="shared" si="8"/>
        <v>0</v>
      </c>
      <c r="Z57" s="139">
        <f t="shared" si="12"/>
        <v>0</v>
      </c>
      <c r="AA57" s="139">
        <f t="shared" si="10"/>
        <v>0</v>
      </c>
      <c r="AB57" s="139">
        <f t="shared" si="11"/>
        <v>0</v>
      </c>
    </row>
    <row r="58" spans="1:29" x14ac:dyDescent="0.25">
      <c r="A58" s="152"/>
      <c r="B58" s="193"/>
      <c r="C58" s="156"/>
      <c r="D58" s="154"/>
      <c r="E58" s="154"/>
      <c r="F58" s="154"/>
      <c r="G58" s="154"/>
      <c r="H58" s="154"/>
      <c r="I58" s="154"/>
      <c r="J58" s="150"/>
      <c r="O58" s="139">
        <f>IF(D58=1,Overview!$K$1*$C58,0)</f>
        <v>0</v>
      </c>
      <c r="P58" s="139">
        <f>IF(E58=1,Overview!$K$1*$C58,0)</f>
        <v>0</v>
      </c>
      <c r="Q58" s="139">
        <f>IF(F58=1,Overview!$K$1*$C58,0)</f>
        <v>0</v>
      </c>
      <c r="R58" s="139">
        <f>IF(G58=1,Overview!$K$1*$C58,0)</f>
        <v>0</v>
      </c>
      <c r="S58" s="139">
        <f>IF(H58=1,Overview!$K$1*$C58,0)</f>
        <v>0</v>
      </c>
      <c r="T58" s="139">
        <f>IF(I58=1,Overview!$K$1*$C58,0)</f>
        <v>0</v>
      </c>
      <c r="W58" s="139">
        <f t="shared" si="9"/>
        <v>0</v>
      </c>
      <c r="X58" s="139">
        <f t="shared" si="7"/>
        <v>0</v>
      </c>
      <c r="Y58" s="139">
        <f t="shared" si="8"/>
        <v>0</v>
      </c>
      <c r="Z58" s="139">
        <f t="shared" si="12"/>
        <v>0</v>
      </c>
      <c r="AA58" s="139">
        <f t="shared" si="10"/>
        <v>0</v>
      </c>
      <c r="AB58" s="139">
        <f t="shared" si="11"/>
        <v>0</v>
      </c>
    </row>
    <row r="59" spans="1:29" x14ac:dyDescent="0.25">
      <c r="A59" s="152"/>
      <c r="B59" s="193"/>
      <c r="C59" s="156"/>
      <c r="D59" s="154"/>
      <c r="E59" s="154"/>
      <c r="F59" s="154"/>
      <c r="G59" s="154"/>
      <c r="H59" s="154"/>
      <c r="I59" s="154"/>
      <c r="J59" s="150"/>
      <c r="O59" s="139">
        <f>IF(D59=1,Overview!$K$1*$C59,0)</f>
        <v>0</v>
      </c>
      <c r="P59" s="139">
        <f>IF(E59=1,Overview!$K$1*$C59,0)</f>
        <v>0</v>
      </c>
      <c r="Q59" s="139">
        <f>IF(F59=1,Overview!$K$1*$C59,0)</f>
        <v>0</v>
      </c>
      <c r="R59" s="139">
        <f>IF(G59=1,Overview!$K$1*$C59,0)</f>
        <v>0</v>
      </c>
      <c r="S59" s="139">
        <f>IF(H59=1,Overview!$K$1*$C59,0)</f>
        <v>0</v>
      </c>
      <c r="T59" s="139">
        <f>IF(I59=1,Overview!$K$1*$C59,0)</f>
        <v>0</v>
      </c>
      <c r="W59" s="139">
        <f t="shared" si="9"/>
        <v>0</v>
      </c>
      <c r="X59" s="139">
        <f t="shared" si="7"/>
        <v>0</v>
      </c>
      <c r="Y59" s="139">
        <f t="shared" si="8"/>
        <v>0</v>
      </c>
      <c r="Z59" s="139">
        <f t="shared" si="12"/>
        <v>0</v>
      </c>
      <c r="AA59" s="139">
        <f t="shared" si="10"/>
        <v>0</v>
      </c>
      <c r="AB59" s="139">
        <f t="shared" si="11"/>
        <v>0</v>
      </c>
    </row>
    <row r="60" spans="1:29" x14ac:dyDescent="0.25">
      <c r="A60" s="152"/>
      <c r="B60" s="193"/>
      <c r="C60" s="156"/>
      <c r="D60" s="154"/>
      <c r="E60" s="154"/>
      <c r="F60" s="154"/>
      <c r="G60" s="154"/>
      <c r="H60" s="154"/>
      <c r="I60" s="154"/>
      <c r="J60" s="150"/>
      <c r="O60" s="139">
        <f>IF(D60=1,Overview!$K$1*$C60,0)</f>
        <v>0</v>
      </c>
      <c r="P60" s="139">
        <f>IF(E60=1,Overview!$K$1*$C60,0)</f>
        <v>0</v>
      </c>
      <c r="Q60" s="139">
        <f>IF(F60=1,Overview!$K$1*$C60,0)</f>
        <v>0</v>
      </c>
      <c r="R60" s="139">
        <f>IF(G60=1,Overview!$K$1*$C60,0)</f>
        <v>0</v>
      </c>
      <c r="S60" s="139">
        <f>IF(H60=1,Overview!$K$1*$C60,0)</f>
        <v>0</v>
      </c>
      <c r="T60" s="139">
        <f>IF(I60=1,Overview!$K$1*$C60,0)</f>
        <v>0</v>
      </c>
      <c r="W60" s="139">
        <f t="shared" si="9"/>
        <v>0</v>
      </c>
      <c r="X60" s="139">
        <f t="shared" si="7"/>
        <v>0</v>
      </c>
      <c r="Y60" s="139">
        <f t="shared" si="8"/>
        <v>0</v>
      </c>
      <c r="Z60" s="139">
        <f t="shared" si="12"/>
        <v>0</v>
      </c>
      <c r="AA60" s="139">
        <f t="shared" si="10"/>
        <v>0</v>
      </c>
      <c r="AB60" s="139">
        <f t="shared" si="11"/>
        <v>0</v>
      </c>
    </row>
    <row r="61" spans="1:29" x14ac:dyDescent="0.25">
      <c r="A61" s="152"/>
      <c r="B61" s="193"/>
      <c r="C61" s="156"/>
      <c r="D61" s="154"/>
      <c r="E61" s="154"/>
      <c r="F61" s="154"/>
      <c r="G61" s="154"/>
      <c r="H61" s="154"/>
      <c r="I61" s="154"/>
      <c r="J61" s="150"/>
      <c r="O61" s="139">
        <f>IF(D61=1,Overview!$K$1*$C61,0)</f>
        <v>0</v>
      </c>
      <c r="P61" s="139">
        <f>IF(E61=1,Overview!$K$1*$C61,0)</f>
        <v>0</v>
      </c>
      <c r="Q61" s="139">
        <f>IF(F61=1,Overview!$K$1*$C61,0)</f>
        <v>0</v>
      </c>
      <c r="R61" s="139">
        <f>IF(G61=1,Overview!$K$1*$C61,0)</f>
        <v>0</v>
      </c>
      <c r="S61" s="139">
        <f>IF(H61=1,Overview!$K$1*$C61,0)</f>
        <v>0</v>
      </c>
      <c r="T61" s="139">
        <f>IF(I61=1,Overview!$K$1*$C61,0)</f>
        <v>0</v>
      </c>
      <c r="W61" s="139">
        <f t="shared" si="9"/>
        <v>0</v>
      </c>
      <c r="X61" s="139">
        <f t="shared" si="7"/>
        <v>0</v>
      </c>
      <c r="Y61" s="139">
        <f t="shared" si="8"/>
        <v>0</v>
      </c>
      <c r="Z61" s="139">
        <f t="shared" si="12"/>
        <v>0</v>
      </c>
      <c r="AA61" s="139">
        <f t="shared" si="10"/>
        <v>0</v>
      </c>
      <c r="AB61" s="139">
        <f t="shared" si="11"/>
        <v>0</v>
      </c>
    </row>
    <row r="62" spans="1:29" ht="15.75" thickBot="1" x14ac:dyDescent="0.3">
      <c r="A62" s="149"/>
      <c r="B62" s="148" t="s">
        <v>134</v>
      </c>
      <c r="C62" s="147">
        <f>AC62</f>
        <v>57.75</v>
      </c>
      <c r="D62" s="146">
        <f>$O$62</f>
        <v>1575</v>
      </c>
      <c r="E62" s="146">
        <f>$P$62</f>
        <v>1450</v>
      </c>
      <c r="F62" s="146">
        <f>$Q$62</f>
        <v>250</v>
      </c>
      <c r="G62" s="146">
        <f>$R$62</f>
        <v>750</v>
      </c>
      <c r="H62" s="146">
        <f>$S$62</f>
        <v>550</v>
      </c>
      <c r="I62" s="146">
        <f>$T$62</f>
        <v>1200</v>
      </c>
      <c r="J62" s="145">
        <f>SUM(J4:J45)</f>
        <v>5675</v>
      </c>
      <c r="N62" s="139" t="s">
        <v>134</v>
      </c>
      <c r="O62" s="139">
        <f t="shared" ref="O62:T62" si="13">SUM(O4:O61)</f>
        <v>1575</v>
      </c>
      <c r="P62" s="139">
        <f t="shared" si="13"/>
        <v>1450</v>
      </c>
      <c r="Q62" s="139">
        <f t="shared" si="13"/>
        <v>250</v>
      </c>
      <c r="R62" s="139">
        <f t="shared" si="13"/>
        <v>750</v>
      </c>
      <c r="S62" s="139">
        <f t="shared" si="13"/>
        <v>550</v>
      </c>
      <c r="T62" s="139">
        <f t="shared" si="13"/>
        <v>1200</v>
      </c>
      <c r="U62" s="139">
        <f>SUM(O62:T62)</f>
        <v>5775</v>
      </c>
      <c r="W62" s="139">
        <f t="shared" ref="W62:AB62" si="14">SUM(W4:W61)</f>
        <v>15.75</v>
      </c>
      <c r="X62" s="139">
        <f t="shared" si="14"/>
        <v>14.5</v>
      </c>
      <c r="Y62" s="139">
        <f t="shared" si="14"/>
        <v>2.5</v>
      </c>
      <c r="Z62" s="139">
        <f t="shared" si="14"/>
        <v>7.5</v>
      </c>
      <c r="AA62" s="139">
        <f t="shared" si="14"/>
        <v>5.5</v>
      </c>
      <c r="AB62" s="139">
        <f t="shared" si="14"/>
        <v>12</v>
      </c>
      <c r="AC62" s="139">
        <f>SUM(W62:AB62)</f>
        <v>57.75</v>
      </c>
    </row>
    <row r="63" spans="1:29" x14ac:dyDescent="0.25">
      <c r="C63" s="144" t="s">
        <v>152</v>
      </c>
      <c r="D63" s="144" t="s">
        <v>102</v>
      </c>
      <c r="E63" s="143" t="s">
        <v>67</v>
      </c>
      <c r="F63" s="143" t="s">
        <v>138</v>
      </c>
      <c r="G63" s="143" t="s">
        <v>75</v>
      </c>
      <c r="H63" s="143" t="s">
        <v>137</v>
      </c>
      <c r="I63" s="143" t="s">
        <v>127</v>
      </c>
      <c r="J63" s="142" t="s">
        <v>151</v>
      </c>
    </row>
  </sheetData>
  <autoFilter ref="A2:H2"/>
  <conditionalFormatting sqref="D4:I45">
    <cfRule type="cellIs" dxfId="1" priority="1" operator="equal">
      <formula>1</formula>
    </cfRule>
    <cfRule type="expression" dxfId="0" priority="2">
      <formula>LEN(TRIM(D4))=0</formula>
    </cfRule>
  </conditionalFormatting>
  <pageMargins left="0.78749999999999998" right="0.78749999999999998" top="1.05277777777778" bottom="1.05277777777778" header="0.78749999999999998" footer="0.78749999999999998"/>
  <pageSetup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BP46"/>
  <sheetViews>
    <sheetView topLeftCell="A22" zoomScale="55" zoomScaleNormal="55" workbookViewId="0"/>
  </sheetViews>
  <sheetFormatPr defaultRowHeight="12.75" x14ac:dyDescent="0.2"/>
  <sheetData>
    <row r="1" spans="2:68" ht="54" x14ac:dyDescent="0.8">
      <c r="B1" s="6" t="s">
        <v>0</v>
      </c>
      <c r="C1" s="7"/>
      <c r="D1" s="8"/>
      <c r="E1" s="8"/>
      <c r="F1" s="8"/>
      <c r="G1" s="8"/>
      <c r="H1" s="8"/>
    </row>
    <row r="2" spans="2:68" ht="15.75" x14ac:dyDescent="0.25">
      <c r="B2" s="9">
        <f ca="1">NOW()</f>
        <v>43188.720990972222</v>
      </c>
      <c r="C2" s="9"/>
      <c r="D2" s="9"/>
      <c r="E2" s="9"/>
      <c r="F2" s="9"/>
      <c r="G2" s="9"/>
      <c r="H2" s="10" t="s">
        <v>1</v>
      </c>
      <c r="I2" s="11">
        <f ca="1">DAY(NOW())</f>
        <v>29</v>
      </c>
      <c r="K2" s="12"/>
      <c r="L2" s="13" t="s">
        <v>2</v>
      </c>
      <c r="M2" s="13"/>
      <c r="N2" s="13"/>
      <c r="O2" s="13"/>
      <c r="P2" s="13"/>
      <c r="Q2" s="14"/>
      <c r="R2" s="13" t="s">
        <v>3</v>
      </c>
      <c r="S2" s="13"/>
      <c r="T2" s="13"/>
      <c r="U2" s="13"/>
      <c r="V2" s="15"/>
      <c r="W2" s="13" t="s">
        <v>4</v>
      </c>
      <c r="X2" s="13"/>
      <c r="Y2" s="13"/>
      <c r="Z2" s="13"/>
      <c r="AA2" s="16"/>
      <c r="AB2" s="17" t="s">
        <v>5</v>
      </c>
      <c r="AC2" s="17"/>
      <c r="AD2" s="17"/>
      <c r="AE2" s="17"/>
      <c r="AF2" s="17"/>
      <c r="AG2" s="17"/>
      <c r="AH2" s="17"/>
      <c r="AI2" s="18"/>
      <c r="AJ2" s="19" t="s">
        <v>6</v>
      </c>
      <c r="AK2" s="19"/>
      <c r="AL2" s="19"/>
      <c r="AM2" s="19"/>
      <c r="AN2" s="19"/>
      <c r="AO2" s="19"/>
      <c r="AP2" s="19"/>
      <c r="AQ2" s="19"/>
    </row>
    <row r="3" spans="2:68" ht="45" x14ac:dyDescent="0.25">
      <c r="B3" s="21" t="s">
        <v>7</v>
      </c>
      <c r="C3" s="22" t="s">
        <v>8</v>
      </c>
      <c r="D3" s="23" t="s">
        <v>9</v>
      </c>
      <c r="E3" s="23" t="s">
        <v>10</v>
      </c>
      <c r="F3" s="23" t="s">
        <v>11</v>
      </c>
      <c r="G3" s="23" t="s">
        <v>12</v>
      </c>
      <c r="H3" s="24" t="s">
        <v>13</v>
      </c>
      <c r="I3" s="25" t="s">
        <v>14</v>
      </c>
      <c r="J3" s="26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N3" s="28" t="s">
        <v>15</v>
      </c>
    </row>
    <row r="4" spans="2:68" ht="15" x14ac:dyDescent="0.25">
      <c r="B4" s="21"/>
      <c r="C4" s="22"/>
      <c r="D4" s="23"/>
      <c r="E4" s="23"/>
      <c r="F4" s="23"/>
      <c r="G4" s="23"/>
      <c r="H4" s="24"/>
      <c r="I4" s="30">
        <v>1</v>
      </c>
      <c r="J4" s="30">
        <v>2</v>
      </c>
      <c r="K4" s="30">
        <v>3</v>
      </c>
      <c r="L4" s="30">
        <v>4</v>
      </c>
      <c r="M4" s="30">
        <v>5</v>
      </c>
      <c r="N4" s="30">
        <v>6</v>
      </c>
      <c r="O4" s="30">
        <v>7</v>
      </c>
      <c r="P4" s="30">
        <v>8</v>
      </c>
      <c r="Q4" s="30">
        <v>9</v>
      </c>
      <c r="R4" s="30">
        <v>10</v>
      </c>
      <c r="S4" s="30">
        <v>11</v>
      </c>
      <c r="T4" s="30">
        <v>12</v>
      </c>
      <c r="U4" s="30">
        <v>13</v>
      </c>
      <c r="V4" s="30">
        <v>14</v>
      </c>
      <c r="W4" s="30">
        <v>15</v>
      </c>
      <c r="X4" s="30">
        <v>16</v>
      </c>
      <c r="Y4" s="30">
        <v>17</v>
      </c>
      <c r="Z4" s="30">
        <v>18</v>
      </c>
      <c r="AA4" s="30">
        <v>19</v>
      </c>
      <c r="AB4" s="30">
        <v>20</v>
      </c>
      <c r="AC4" s="30">
        <v>21</v>
      </c>
      <c r="AD4" s="30">
        <v>22</v>
      </c>
      <c r="AE4" s="30">
        <v>23</v>
      </c>
      <c r="AF4" s="30">
        <v>24</v>
      </c>
      <c r="AG4" s="30">
        <v>25</v>
      </c>
      <c r="AH4" s="30">
        <v>26</v>
      </c>
      <c r="AI4" s="30">
        <v>27</v>
      </c>
      <c r="AJ4" s="30">
        <v>28</v>
      </c>
      <c r="AK4" s="30">
        <v>29</v>
      </c>
      <c r="AL4" s="30">
        <v>30</v>
      </c>
      <c r="AM4" s="30">
        <v>31</v>
      </c>
      <c r="AN4" s="30">
        <v>32</v>
      </c>
      <c r="AO4" s="30">
        <v>33</v>
      </c>
      <c r="AP4" s="30">
        <v>34</v>
      </c>
      <c r="AQ4" s="30">
        <v>35</v>
      </c>
      <c r="AR4" s="30">
        <v>36</v>
      </c>
      <c r="AS4" s="30">
        <v>37</v>
      </c>
      <c r="AT4" s="30">
        <v>38</v>
      </c>
      <c r="AU4" s="30">
        <v>39</v>
      </c>
      <c r="AV4" s="30">
        <v>40</v>
      </c>
      <c r="AW4" s="30">
        <v>41</v>
      </c>
      <c r="AX4" s="30">
        <v>42</v>
      </c>
      <c r="AY4" s="30">
        <v>43</v>
      </c>
      <c r="AZ4" s="30">
        <v>44</v>
      </c>
      <c r="BA4" s="30">
        <v>45</v>
      </c>
      <c r="BB4" s="30">
        <v>46</v>
      </c>
      <c r="BC4" s="30">
        <v>47</v>
      </c>
      <c r="BD4" s="30">
        <v>48</v>
      </c>
      <c r="BE4" s="30">
        <v>49</v>
      </c>
      <c r="BF4" s="30">
        <v>50</v>
      </c>
      <c r="BG4" s="30">
        <v>51</v>
      </c>
      <c r="BH4" s="30">
        <v>52</v>
      </c>
      <c r="BI4" s="30">
        <v>53</v>
      </c>
      <c r="BJ4" s="30">
        <v>54</v>
      </c>
      <c r="BK4" s="30">
        <v>55</v>
      </c>
      <c r="BL4" s="30">
        <v>56</v>
      </c>
      <c r="BM4" s="30">
        <v>57</v>
      </c>
      <c r="BN4" s="30">
        <v>58</v>
      </c>
      <c r="BO4" s="30">
        <v>59</v>
      </c>
      <c r="BP4" s="30">
        <v>60</v>
      </c>
    </row>
    <row r="5" spans="2:68" ht="17.25" x14ac:dyDescent="0.3">
      <c r="B5" s="38" t="s">
        <v>19</v>
      </c>
      <c r="C5" s="60"/>
      <c r="D5" s="61"/>
      <c r="E5" s="61"/>
      <c r="F5" s="61"/>
      <c r="G5" s="61"/>
      <c r="H5" s="41"/>
    </row>
    <row r="6" spans="2:68" ht="17.25" x14ac:dyDescent="0.25">
      <c r="B6" s="42" t="s">
        <v>63</v>
      </c>
      <c r="C6" s="62" t="s">
        <v>64</v>
      </c>
      <c r="D6" s="61">
        <v>1</v>
      </c>
      <c r="E6" s="61">
        <v>6</v>
      </c>
      <c r="F6" s="61">
        <v>1</v>
      </c>
      <c r="G6" s="61">
        <v>14</v>
      </c>
      <c r="H6" s="41">
        <v>1</v>
      </c>
    </row>
    <row r="7" spans="2:68" ht="17.25" x14ac:dyDescent="0.25">
      <c r="B7" s="63" t="s">
        <v>65</v>
      </c>
      <c r="C7" s="62" t="s">
        <v>64</v>
      </c>
      <c r="D7" s="61">
        <v>1</v>
      </c>
      <c r="E7" s="61">
        <v>8</v>
      </c>
      <c r="F7" s="61">
        <v>8</v>
      </c>
      <c r="G7" s="61">
        <v>2</v>
      </c>
      <c r="H7" s="41">
        <v>1</v>
      </c>
    </row>
    <row r="8" spans="2:68" ht="17.25" x14ac:dyDescent="0.25">
      <c r="B8" s="64" t="s">
        <v>66</v>
      </c>
      <c r="C8" s="62" t="s">
        <v>67</v>
      </c>
      <c r="D8" s="61">
        <v>1</v>
      </c>
      <c r="E8" s="61">
        <v>8</v>
      </c>
      <c r="F8" s="61">
        <v>6</v>
      </c>
      <c r="G8" s="61">
        <v>3</v>
      </c>
      <c r="H8" s="41">
        <v>1</v>
      </c>
    </row>
    <row r="9" spans="2:68" ht="17.25" x14ac:dyDescent="0.25">
      <c r="B9" s="64" t="s">
        <v>68</v>
      </c>
      <c r="C9" s="62" t="s">
        <v>67</v>
      </c>
      <c r="D9" s="61">
        <v>6</v>
      </c>
      <c r="E9" s="61">
        <v>13</v>
      </c>
      <c r="F9" s="61">
        <v>20</v>
      </c>
      <c r="G9" s="61">
        <v>0</v>
      </c>
      <c r="H9" s="41">
        <v>0.5</v>
      </c>
    </row>
    <row r="10" spans="2:68" ht="17.25" x14ac:dyDescent="0.25">
      <c r="B10" s="63" t="s">
        <v>69</v>
      </c>
      <c r="C10" s="62" t="s">
        <v>70</v>
      </c>
      <c r="D10" s="61">
        <v>1</v>
      </c>
      <c r="E10" s="61">
        <v>6</v>
      </c>
      <c r="F10" s="61">
        <v>4</v>
      </c>
      <c r="G10" s="61">
        <v>2</v>
      </c>
      <c r="H10" s="41">
        <v>1</v>
      </c>
    </row>
    <row r="11" spans="2:68" ht="17.25" x14ac:dyDescent="0.25">
      <c r="B11" s="64" t="s">
        <v>71</v>
      </c>
      <c r="C11" s="62" t="s">
        <v>64</v>
      </c>
      <c r="D11" s="61">
        <v>13</v>
      </c>
      <c r="E11" s="61">
        <v>5</v>
      </c>
      <c r="F11" s="61">
        <v>13</v>
      </c>
      <c r="G11" s="61">
        <v>1</v>
      </c>
      <c r="H11" s="41">
        <v>1</v>
      </c>
    </row>
    <row r="12" spans="2:68" ht="17.25" x14ac:dyDescent="0.25">
      <c r="B12" s="65" t="s">
        <v>72</v>
      </c>
      <c r="C12" s="62" t="s">
        <v>73</v>
      </c>
      <c r="D12" s="61">
        <v>13</v>
      </c>
      <c r="E12" s="61">
        <v>5</v>
      </c>
      <c r="F12" s="61">
        <v>13</v>
      </c>
      <c r="G12" s="61">
        <v>1</v>
      </c>
      <c r="H12" s="41">
        <v>1</v>
      </c>
    </row>
    <row r="13" spans="2:68" ht="17.25" x14ac:dyDescent="0.25">
      <c r="B13" s="65" t="s">
        <v>74</v>
      </c>
      <c r="C13" s="62" t="s">
        <v>75</v>
      </c>
      <c r="D13" s="61">
        <v>13</v>
      </c>
      <c r="E13" s="61">
        <v>5</v>
      </c>
      <c r="F13" s="61">
        <v>13</v>
      </c>
      <c r="G13" s="61">
        <v>1</v>
      </c>
      <c r="H13" s="41">
        <v>1</v>
      </c>
    </row>
    <row r="14" spans="2:68" ht="17.25" x14ac:dyDescent="0.25">
      <c r="B14" s="65" t="s">
        <v>76</v>
      </c>
      <c r="C14" s="62" t="s">
        <v>73</v>
      </c>
      <c r="D14" s="61">
        <v>13</v>
      </c>
      <c r="E14" s="61">
        <v>5</v>
      </c>
      <c r="F14" s="61">
        <v>13</v>
      </c>
      <c r="G14" s="61">
        <v>1</v>
      </c>
      <c r="H14" s="41">
        <v>1</v>
      </c>
    </row>
    <row r="15" spans="2:68" ht="17.25" x14ac:dyDescent="0.3">
      <c r="B15" s="38" t="s">
        <v>26</v>
      </c>
      <c r="C15" s="60"/>
      <c r="D15" s="61"/>
      <c r="E15" s="61"/>
      <c r="F15" s="61"/>
      <c r="G15" s="61"/>
      <c r="H15" s="41"/>
    </row>
    <row r="16" spans="2:68" ht="17.25" x14ac:dyDescent="0.25">
      <c r="B16" s="63" t="s">
        <v>77</v>
      </c>
      <c r="C16" s="62" t="s">
        <v>67</v>
      </c>
      <c r="D16" s="61">
        <v>1</v>
      </c>
      <c r="E16" s="61">
        <v>6</v>
      </c>
      <c r="F16" s="61">
        <v>1</v>
      </c>
      <c r="G16" s="61">
        <v>1</v>
      </c>
      <c r="H16" s="41">
        <v>1</v>
      </c>
    </row>
    <row r="17" spans="2:8" ht="17.25" x14ac:dyDescent="0.25">
      <c r="B17" s="63" t="s">
        <v>78</v>
      </c>
      <c r="C17" s="62" t="s">
        <v>79</v>
      </c>
      <c r="D17" s="61">
        <v>1</v>
      </c>
      <c r="E17" s="61">
        <v>6</v>
      </c>
      <c r="F17" s="61">
        <v>6</v>
      </c>
      <c r="G17" s="61">
        <v>2</v>
      </c>
      <c r="H17" s="41">
        <v>1</v>
      </c>
    </row>
    <row r="18" spans="2:8" ht="17.25" x14ac:dyDescent="0.25">
      <c r="B18" s="64" t="s">
        <v>80</v>
      </c>
      <c r="C18" s="62" t="s">
        <v>79</v>
      </c>
      <c r="D18" s="61">
        <v>1</v>
      </c>
      <c r="E18" s="61">
        <v>8</v>
      </c>
      <c r="F18" s="61">
        <v>6</v>
      </c>
      <c r="G18" s="61">
        <v>2</v>
      </c>
      <c r="H18" s="41">
        <v>1</v>
      </c>
    </row>
    <row r="19" spans="2:8" ht="17.25" x14ac:dyDescent="0.25">
      <c r="B19" s="64" t="s">
        <v>81</v>
      </c>
      <c r="C19" s="62" t="s">
        <v>79</v>
      </c>
      <c r="D19" s="61">
        <v>1</v>
      </c>
      <c r="E19" s="61">
        <v>8</v>
      </c>
      <c r="F19" s="61">
        <v>6</v>
      </c>
      <c r="G19" s="61">
        <v>2</v>
      </c>
      <c r="H19" s="41">
        <v>1</v>
      </c>
    </row>
    <row r="20" spans="2:8" ht="17.25" x14ac:dyDescent="0.25">
      <c r="B20" s="64" t="s">
        <v>82</v>
      </c>
      <c r="C20" s="62" t="s">
        <v>79</v>
      </c>
      <c r="D20" s="61">
        <v>1</v>
      </c>
      <c r="E20" s="61">
        <v>8</v>
      </c>
      <c r="F20" s="61">
        <v>6</v>
      </c>
      <c r="G20" s="61">
        <v>8</v>
      </c>
      <c r="H20" s="41">
        <v>1</v>
      </c>
    </row>
    <row r="21" spans="2:8" ht="17.25" x14ac:dyDescent="0.25">
      <c r="B21" s="64" t="s">
        <v>83</v>
      </c>
      <c r="C21" s="62" t="s">
        <v>79</v>
      </c>
      <c r="D21" s="61">
        <v>1</v>
      </c>
      <c r="E21" s="61">
        <v>8</v>
      </c>
      <c r="F21" s="61">
        <v>12</v>
      </c>
      <c r="G21" s="61">
        <v>0</v>
      </c>
      <c r="H21" s="41">
        <v>0.5</v>
      </c>
    </row>
    <row r="22" spans="2:8" ht="17.25" x14ac:dyDescent="0.3">
      <c r="B22" s="38" t="s">
        <v>31</v>
      </c>
      <c r="C22" s="60"/>
      <c r="D22" s="61"/>
      <c r="E22" s="61"/>
      <c r="F22" s="61"/>
      <c r="G22" s="61"/>
      <c r="H22" s="41"/>
    </row>
    <row r="23" spans="2:8" ht="17.25" x14ac:dyDescent="0.25">
      <c r="B23" s="66" t="s">
        <v>84</v>
      </c>
      <c r="C23" s="62" t="s">
        <v>85</v>
      </c>
      <c r="D23" s="61">
        <v>1</v>
      </c>
      <c r="E23" s="61">
        <v>8</v>
      </c>
      <c r="F23" s="61">
        <v>4</v>
      </c>
      <c r="G23" s="61">
        <v>3</v>
      </c>
      <c r="H23" s="41">
        <v>1</v>
      </c>
    </row>
    <row r="24" spans="2:8" ht="17.25" x14ac:dyDescent="0.25">
      <c r="B24" s="64" t="s">
        <v>86</v>
      </c>
      <c r="C24" s="62" t="s">
        <v>87</v>
      </c>
      <c r="D24" s="61">
        <v>1</v>
      </c>
      <c r="E24" s="61">
        <v>8</v>
      </c>
      <c r="F24" s="61">
        <v>1</v>
      </c>
      <c r="G24" s="61">
        <v>7</v>
      </c>
      <c r="H24" s="41">
        <v>1</v>
      </c>
    </row>
    <row r="25" spans="2:8" ht="17.25" x14ac:dyDescent="0.25">
      <c r="B25" s="64" t="s">
        <v>88</v>
      </c>
      <c r="C25" s="62" t="s">
        <v>87</v>
      </c>
      <c r="D25" s="61">
        <v>1</v>
      </c>
      <c r="E25" s="61">
        <v>6</v>
      </c>
      <c r="F25" s="61">
        <v>1</v>
      </c>
      <c r="G25" s="61">
        <v>3</v>
      </c>
      <c r="H25" s="41">
        <v>1</v>
      </c>
    </row>
    <row r="26" spans="2:8" ht="17.25" x14ac:dyDescent="0.25">
      <c r="B26" s="63" t="s">
        <v>89</v>
      </c>
      <c r="C26" s="62" t="s">
        <v>87</v>
      </c>
      <c r="D26" s="61">
        <v>1</v>
      </c>
      <c r="E26" s="61">
        <v>8</v>
      </c>
      <c r="F26" s="61">
        <v>1</v>
      </c>
      <c r="G26" s="61">
        <v>3</v>
      </c>
      <c r="H26" s="41">
        <v>1</v>
      </c>
    </row>
    <row r="27" spans="2:8" ht="17.25" x14ac:dyDescent="0.25">
      <c r="B27" s="64" t="s">
        <v>90</v>
      </c>
      <c r="C27" s="62" t="s">
        <v>87</v>
      </c>
      <c r="D27" s="61">
        <v>1</v>
      </c>
      <c r="E27" s="61">
        <v>6</v>
      </c>
      <c r="F27" s="61">
        <v>14</v>
      </c>
      <c r="G27" s="61">
        <v>2</v>
      </c>
      <c r="H27" s="41">
        <v>1</v>
      </c>
    </row>
    <row r="28" spans="2:8" ht="17.25" x14ac:dyDescent="0.25">
      <c r="B28" s="63" t="s">
        <v>91</v>
      </c>
      <c r="C28" s="62" t="s">
        <v>87</v>
      </c>
      <c r="D28" s="61">
        <v>1</v>
      </c>
      <c r="E28" s="61">
        <v>6</v>
      </c>
      <c r="F28" s="61">
        <v>1</v>
      </c>
      <c r="G28" s="61">
        <v>2</v>
      </c>
      <c r="H28" s="41">
        <v>1</v>
      </c>
    </row>
    <row r="29" spans="2:8" ht="51.75" x14ac:dyDescent="0.3">
      <c r="B29" s="38" t="s">
        <v>39</v>
      </c>
      <c r="C29" s="60"/>
      <c r="D29" s="61"/>
      <c r="E29" s="61"/>
      <c r="F29" s="61"/>
      <c r="G29" s="61"/>
      <c r="H29" s="41"/>
    </row>
    <row r="30" spans="2:8" ht="17.25" x14ac:dyDescent="0.25">
      <c r="B30" s="64" t="s">
        <v>83</v>
      </c>
      <c r="C30" s="62" t="s">
        <v>79</v>
      </c>
      <c r="D30" s="61">
        <v>1</v>
      </c>
      <c r="E30" s="61">
        <v>8</v>
      </c>
      <c r="F30" s="61">
        <v>12</v>
      </c>
      <c r="G30" s="61">
        <v>0</v>
      </c>
      <c r="H30" s="41">
        <v>0.5</v>
      </c>
    </row>
    <row r="31" spans="2:8" ht="17.25" x14ac:dyDescent="0.25">
      <c r="B31" s="64" t="s">
        <v>92</v>
      </c>
      <c r="C31" s="62" t="s">
        <v>79</v>
      </c>
      <c r="D31" s="61">
        <v>1</v>
      </c>
      <c r="E31" s="61">
        <v>8</v>
      </c>
      <c r="F31" s="61">
        <v>15</v>
      </c>
      <c r="G31" s="61">
        <v>3</v>
      </c>
      <c r="H31" s="41">
        <v>1</v>
      </c>
    </row>
    <row r="32" spans="2:8" ht="17.25" x14ac:dyDescent="0.25">
      <c r="B32" s="63" t="s">
        <v>93</v>
      </c>
      <c r="C32" s="62" t="s">
        <v>79</v>
      </c>
      <c r="D32" s="61">
        <v>1</v>
      </c>
      <c r="E32" s="61">
        <v>6</v>
      </c>
      <c r="F32" s="61">
        <v>1</v>
      </c>
      <c r="G32" s="61">
        <v>6</v>
      </c>
      <c r="H32" s="41">
        <v>1</v>
      </c>
    </row>
    <row r="33" spans="2:28" ht="34.5" x14ac:dyDescent="0.3">
      <c r="B33" s="38" t="s">
        <v>94</v>
      </c>
      <c r="C33" s="60"/>
      <c r="D33" s="61"/>
      <c r="E33" s="61"/>
      <c r="F33" s="61"/>
      <c r="G33" s="61"/>
      <c r="H33" s="41"/>
    </row>
    <row r="34" spans="2:28" ht="17.25" x14ac:dyDescent="0.25">
      <c r="B34" s="63" t="s">
        <v>95</v>
      </c>
      <c r="C34" s="62" t="s">
        <v>67</v>
      </c>
      <c r="D34" s="61">
        <v>1</v>
      </c>
      <c r="E34" s="61">
        <v>8</v>
      </c>
      <c r="F34" s="61">
        <v>6</v>
      </c>
      <c r="G34" s="61">
        <v>4</v>
      </c>
      <c r="H34" s="41">
        <v>0.75</v>
      </c>
    </row>
    <row r="35" spans="2:28" ht="17.25" x14ac:dyDescent="0.25">
      <c r="B35" s="63" t="s">
        <v>96</v>
      </c>
      <c r="C35" s="62" t="s">
        <v>67</v>
      </c>
      <c r="D35" s="61">
        <v>6</v>
      </c>
      <c r="E35" s="61">
        <v>8</v>
      </c>
      <c r="F35" s="61">
        <v>1</v>
      </c>
      <c r="G35" s="61">
        <v>8</v>
      </c>
      <c r="H35" s="41">
        <v>0.75</v>
      </c>
    </row>
    <row r="36" spans="2:28" ht="17.25" x14ac:dyDescent="0.25">
      <c r="B36" s="63" t="s">
        <v>97</v>
      </c>
      <c r="C36" s="62" t="s">
        <v>67</v>
      </c>
      <c r="D36" s="61">
        <v>1</v>
      </c>
      <c r="E36" s="61">
        <v>6</v>
      </c>
      <c r="F36" s="61">
        <v>1</v>
      </c>
      <c r="G36" s="61">
        <v>4</v>
      </c>
      <c r="H36" s="41">
        <v>1</v>
      </c>
    </row>
    <row r="37" spans="2:28" ht="17.25" x14ac:dyDescent="0.25">
      <c r="B37" s="64" t="s">
        <v>98</v>
      </c>
      <c r="C37" s="62" t="s">
        <v>99</v>
      </c>
      <c r="D37" s="61">
        <v>8</v>
      </c>
      <c r="E37" s="61">
        <v>6</v>
      </c>
      <c r="F37" s="61">
        <v>14</v>
      </c>
      <c r="G37" s="61">
        <v>5</v>
      </c>
      <c r="H37" s="41">
        <v>1</v>
      </c>
    </row>
    <row r="38" spans="2:28" ht="17.25" x14ac:dyDescent="0.25">
      <c r="B38" s="63" t="s">
        <v>100</v>
      </c>
      <c r="C38" s="62" t="s">
        <v>87</v>
      </c>
      <c r="D38" s="61">
        <v>1</v>
      </c>
      <c r="E38" s="61">
        <v>8</v>
      </c>
      <c r="F38" s="61">
        <v>1</v>
      </c>
      <c r="G38" s="61">
        <v>10</v>
      </c>
      <c r="H38" s="41">
        <v>0.75</v>
      </c>
    </row>
    <row r="39" spans="2:28" ht="51.75" x14ac:dyDescent="0.3">
      <c r="B39" s="38" t="s">
        <v>42</v>
      </c>
      <c r="C39" s="60"/>
      <c r="D39" s="61"/>
      <c r="E39" s="61"/>
      <c r="F39" s="61"/>
      <c r="G39" s="61"/>
      <c r="H39" s="41"/>
    </row>
    <row r="40" spans="2:28" ht="17.25" x14ac:dyDescent="0.25">
      <c r="B40" s="64" t="s">
        <v>101</v>
      </c>
      <c r="C40" s="62" t="s">
        <v>102</v>
      </c>
      <c r="D40" s="61">
        <v>1</v>
      </c>
      <c r="E40" s="61">
        <v>6</v>
      </c>
      <c r="F40" s="61">
        <v>1</v>
      </c>
      <c r="G40" s="61">
        <v>6</v>
      </c>
      <c r="H40" s="41">
        <v>1</v>
      </c>
    </row>
    <row r="41" spans="2:28" ht="17.25" x14ac:dyDescent="0.25">
      <c r="B41" s="64" t="s">
        <v>103</v>
      </c>
      <c r="C41" s="62" t="s">
        <v>102</v>
      </c>
      <c r="D41" s="61">
        <v>12</v>
      </c>
      <c r="E41" s="61">
        <v>7</v>
      </c>
      <c r="F41" s="61">
        <v>14</v>
      </c>
      <c r="G41" s="61">
        <v>7</v>
      </c>
      <c r="H41" s="41">
        <v>1</v>
      </c>
    </row>
    <row r="42" spans="2:28" ht="17.25" x14ac:dyDescent="0.25">
      <c r="B42" s="64" t="s">
        <v>104</v>
      </c>
      <c r="C42" s="62" t="s">
        <v>102</v>
      </c>
      <c r="D42" s="61">
        <v>1</v>
      </c>
      <c r="E42" s="61">
        <v>8</v>
      </c>
      <c r="F42" s="61">
        <v>1</v>
      </c>
      <c r="G42" s="61">
        <v>20</v>
      </c>
      <c r="H42" s="41">
        <v>1</v>
      </c>
    </row>
    <row r="43" spans="2:28" ht="17.25" x14ac:dyDescent="0.25">
      <c r="B43" s="64" t="s">
        <v>105</v>
      </c>
      <c r="C43" s="62" t="s">
        <v>102</v>
      </c>
      <c r="D43" s="61">
        <v>8</v>
      </c>
      <c r="E43" s="61">
        <v>2</v>
      </c>
      <c r="F43" s="61">
        <v>11</v>
      </c>
      <c r="G43" s="61">
        <v>10</v>
      </c>
      <c r="H43" s="41">
        <v>0.75</v>
      </c>
    </row>
    <row r="44" spans="2:28" ht="17.25" x14ac:dyDescent="0.25">
      <c r="B44" s="63" t="s">
        <v>106</v>
      </c>
      <c r="C44" s="62" t="s">
        <v>107</v>
      </c>
      <c r="D44" s="61">
        <v>4</v>
      </c>
      <c r="E44" s="61">
        <v>14</v>
      </c>
      <c r="F44" s="61">
        <v>6</v>
      </c>
      <c r="G44" s="61">
        <v>15</v>
      </c>
      <c r="H44" s="41">
        <v>1</v>
      </c>
    </row>
    <row r="45" spans="2:28" ht="17.25" x14ac:dyDescent="0.25">
      <c r="B45" s="64" t="s">
        <v>108</v>
      </c>
      <c r="C45" s="62" t="s">
        <v>64</v>
      </c>
      <c r="D45" s="61">
        <v>18</v>
      </c>
      <c r="E45" s="61">
        <v>5</v>
      </c>
      <c r="F45" s="61">
        <v>20</v>
      </c>
      <c r="G45" s="61">
        <v>2</v>
      </c>
      <c r="H45" s="41">
        <v>1</v>
      </c>
    </row>
    <row r="46" spans="2:28" ht="17.25" x14ac:dyDescent="0.3">
      <c r="B46" s="32" t="s">
        <v>17</v>
      </c>
      <c r="C46" s="67" t="s">
        <v>64</v>
      </c>
      <c r="D46" s="68">
        <v>22</v>
      </c>
      <c r="E46" s="68">
        <v>1</v>
      </c>
      <c r="F46" s="68">
        <v>22</v>
      </c>
      <c r="G46" s="68">
        <v>1</v>
      </c>
      <c r="H46" s="36">
        <v>0.75</v>
      </c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122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26</vt:i4>
      </vt:variant>
    </vt:vector>
  </HeadingPairs>
  <TitlesOfParts>
    <vt:vector size="44" baseType="lpstr">
      <vt:lpstr>Overview</vt:lpstr>
      <vt:lpstr>CDR Project Planner</vt:lpstr>
      <vt:lpstr>Andrei Planner</vt:lpstr>
      <vt:lpstr>Bach Planner</vt:lpstr>
      <vt:lpstr>Brandon Planner</vt:lpstr>
      <vt:lpstr>Cody Planner</vt:lpstr>
      <vt:lpstr>Peter Planner</vt:lpstr>
      <vt:lpstr>Zack Planner</vt:lpstr>
      <vt:lpstr>Weekly Meeting Costs</vt:lpstr>
      <vt:lpstr>Sheet1</vt:lpstr>
      <vt:lpstr>Burn Report</vt:lpstr>
      <vt:lpstr>PDR Project Planner</vt:lpstr>
      <vt:lpstr>Andrei Cost</vt:lpstr>
      <vt:lpstr>Bach Cost</vt:lpstr>
      <vt:lpstr>Brandon Cost</vt:lpstr>
      <vt:lpstr>Cody Cost</vt:lpstr>
      <vt:lpstr>Peter Cost</vt:lpstr>
      <vt:lpstr>Zack Cost</vt:lpstr>
      <vt:lpstr>'Burn Report'!_FilterDatabase_0</vt:lpstr>
      <vt:lpstr>'Weekly Meeting Costs'!_FilterDatabase_0</vt:lpstr>
      <vt:lpstr>'Andrei Planner'!period_selected</vt:lpstr>
      <vt:lpstr>'Bach Planner'!period_selected</vt:lpstr>
      <vt:lpstr>'Brandon Planner'!period_selected</vt:lpstr>
      <vt:lpstr>'CDR Project Planner'!period_selected</vt:lpstr>
      <vt:lpstr>'Cody Planner'!period_selected</vt:lpstr>
      <vt:lpstr>'Peter Planner'!period_selected</vt:lpstr>
      <vt:lpstr>'Zack Planner'!period_selected</vt:lpstr>
      <vt:lpstr>period_selected</vt:lpstr>
      <vt:lpstr>'Andrei Planner'!Print_Titles</vt:lpstr>
      <vt:lpstr>'Bach Planner'!Print_Titles</vt:lpstr>
      <vt:lpstr>'Brandon Planner'!Print_Titles</vt:lpstr>
      <vt:lpstr>'CDR Project Planner'!Print_Titles</vt:lpstr>
      <vt:lpstr>'Cody Planner'!Print_Titles</vt:lpstr>
      <vt:lpstr>'PDR Project Planner'!Print_Titles</vt:lpstr>
      <vt:lpstr>'Peter Planner'!Print_Titles</vt:lpstr>
      <vt:lpstr>'Zack Planner'!Print_Titles</vt:lpstr>
      <vt:lpstr>'Andrei Planner'!TitleRegion..BO60</vt:lpstr>
      <vt:lpstr>'Bach Planner'!TitleRegion..BO60</vt:lpstr>
      <vt:lpstr>'Brandon Planner'!TitleRegion..BO60</vt:lpstr>
      <vt:lpstr>'CDR Project Planner'!TitleRegion..BO60</vt:lpstr>
      <vt:lpstr>'Cody Planner'!TitleRegion..BO60</vt:lpstr>
      <vt:lpstr>'Peter Planner'!TitleRegion..BO60</vt:lpstr>
      <vt:lpstr>'Zack Planner'!TitleRegion..BO60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Andrei Fusilli</dc:creator>
  <dc:description/>
  <cp:lastModifiedBy>Andrei Fusilli (RIT Student)</cp:lastModifiedBy>
  <cp:revision>17</cp:revision>
  <cp:lastPrinted>2018-03-22T18:36:21Z</cp:lastPrinted>
  <dcterms:created xsi:type="dcterms:W3CDTF">2018-02-08T19:34:40Z</dcterms:created>
  <dcterms:modified xsi:type="dcterms:W3CDTF">2018-03-29T21:18:13Z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
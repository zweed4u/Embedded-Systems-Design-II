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6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oet-students\courses\CPET-563\groups\newFolder\Project Management\"/>
    </mc:Choice>
  </mc:AlternateContent>
  <bookViews>
    <workbookView xWindow="0" yWindow="0" windowWidth="16380" windowHeight="8190" tabRatio="282"/>
  </bookViews>
  <sheets>
    <sheet name="Overview" sheetId="10" r:id="rId1"/>
    <sheet name="Charts" sheetId="22" state="hidden" r:id="rId2"/>
    <sheet name="CDR Project Planner" sheetId="1" state="hidden" r:id="rId3"/>
    <sheet name="Bach Planner" sheetId="3" state="hidden" r:id="rId4"/>
    <sheet name="Brandon Planner" sheetId="4" state="hidden" r:id="rId5"/>
    <sheet name="Cody Planner" sheetId="5" state="hidden" r:id="rId6"/>
    <sheet name="Peter Planner" sheetId="6" state="hidden" r:id="rId7"/>
    <sheet name="Zack Planner" sheetId="7" state="hidden" r:id="rId8"/>
    <sheet name="Burn Report" sheetId="11" state="hidden" r:id="rId9"/>
    <sheet name="PDR Project Planner" sheetId="19" state="hidden" r:id="rId10"/>
    <sheet name="Metrics" sheetId="20" state="hidden" r:id="rId11"/>
    <sheet name="Andrei Planner" sheetId="21" state="hidden" r:id="rId12"/>
    <sheet name="Sheet1" sheetId="9" state="hidden" r:id="rId13"/>
    <sheet name="Andrei Cost" sheetId="13" state="hidden" r:id="rId14"/>
    <sheet name="Bach Cost" sheetId="14" state="hidden" r:id="rId15"/>
    <sheet name="Brandon Cost" sheetId="15" state="hidden" r:id="rId16"/>
    <sheet name="Cody Cost" sheetId="16" state="hidden" r:id="rId17"/>
    <sheet name="Peter Cost" sheetId="17" state="hidden" r:id="rId18"/>
    <sheet name="Zack Cost" sheetId="18" state="hidden" r:id="rId19"/>
  </sheets>
  <functionGroups builtInGroupCount="18"/>
  <externalReferences>
    <externalReference r:id="rId20"/>
    <externalReference r:id="rId21"/>
    <externalReference r:id="rId22"/>
    <externalReference r:id="rId23"/>
  </externalReferences>
  <definedNames>
    <definedName name="_xlnm._FilterDatabase" localSheetId="8" hidden="1">'Burn Report'!$A$2:$C$2</definedName>
    <definedName name="_FilterDatabase_0" localSheetId="8">'[1]Burn Report'!$A$2:$H$25</definedName>
    <definedName name="Actual" localSheetId="11">([2]!PeriodInActual*('Andrei Planner'!$F1&gt;0))*[2]!PeriodInPlan</definedName>
    <definedName name="Actual" localSheetId="3">('[3]Weekly Meeting Costs'!PeriodInActual*('Bach Planner'!$F1&gt;0))*'[3]Weekly Meeting Costs'!PeriodInPlan</definedName>
    <definedName name="Actual" localSheetId="4">([3]!PeriodInActual*('Brandon Planner'!$F1&gt;0))*[3]!PeriodInPlan</definedName>
    <definedName name="Actual" localSheetId="8">('Burn Report'!PeriodInActual*(#REF!&gt;0))*'Burn Report'!PeriodInPlan</definedName>
    <definedName name="Actual" localSheetId="2">(PeriodInActual*('CDR Project Planner'!$F1&gt;0))*PeriodInPlan</definedName>
    <definedName name="Actual" localSheetId="5">([3]!PeriodInActual*('Cody Planner'!$F1&gt;0))*[3]!PeriodInPlan</definedName>
    <definedName name="Actual" localSheetId="10">(Metrics!PeriodInActual*(#REF!&gt;0))*Metrics!PeriodInPlan</definedName>
    <definedName name="Actual" localSheetId="0">(Overview!PeriodInActual*(#REF!&gt;0))*Overview!PeriodInPlan</definedName>
    <definedName name="Actual" localSheetId="9">('PDR Project Planner'!PeriodInActual*('PDR Project Planner'!$F1&gt;0))*'PDR Project Planner'!PeriodInPlan</definedName>
    <definedName name="Actual" localSheetId="6">([3]!PeriodInActual*('Peter Planner'!$F1&gt;0))*[3]!PeriodInPlan</definedName>
    <definedName name="Actual" localSheetId="7">([3]!PeriodInActual*('Zack Planner'!$F1&gt;0))*[3]!PeriodInPlan</definedName>
    <definedName name="Actual">(PeriodInActual*(#REF!&gt;0))*PeriodInPlan</definedName>
    <definedName name="ActualBeyond" localSheetId="11">'Andrei Planner'!PeriodInActual*('Andrei Planner'!$F1&gt;0)</definedName>
    <definedName name="ActualBeyond" localSheetId="3">'Bach Planner'!PeriodInActual*('Bach Planner'!$F1&gt;0)</definedName>
    <definedName name="ActualBeyond" localSheetId="4">'Brandon Planner'!PeriodInActual*('Brandon Planner'!$F1&gt;0)</definedName>
    <definedName name="ActualBeyond" localSheetId="8">'Burn Report'!PeriodInActual*(#REF!&gt;0)</definedName>
    <definedName name="ActualBeyond" localSheetId="2">PeriodInActual*('CDR Project Planner'!$F1&gt;0)</definedName>
    <definedName name="ActualBeyond" localSheetId="5">'Cody Planner'!PeriodInActual*('Cody Planner'!$F1&gt;0)</definedName>
    <definedName name="ActualBeyond" localSheetId="10">Metrics!PeriodInActual*(#REF!&gt;0)</definedName>
    <definedName name="ActualBeyond" localSheetId="0">Overview!PeriodInActual*(#REF!&gt;0)</definedName>
    <definedName name="ActualBeyond" localSheetId="9">'PDR Project Planner'!PeriodInActual*('PDR Project Planner'!$F1&gt;0)</definedName>
    <definedName name="ActualBeyond" localSheetId="6">'Peter Planner'!PeriodInActual*('Peter Planner'!$F1&gt;0)</definedName>
    <definedName name="ActualBeyond" localSheetId="7">'Zack Planner'!PeriodInActual*('Zack Planner'!$F1&gt;0)</definedName>
    <definedName name="ActualBeyond">PeriodInActual*(#REF!&gt;0)</definedName>
    <definedName name="Metrics">(#REF!=MEDIAN(#REF!,#REF!,#REF!+#REF!)*(#REF!&gt;0))*((#REF!&lt;(INT(#REF!+#REF!*#REF!)))+(#REF!=#REF!))*(#REF!&gt;0)</definedName>
    <definedName name="PercentComplete" localSheetId="11">[2]!PercentCompleteBeyond*'Andrei Planner'!PeriodInPlan</definedName>
    <definedName name="PercentComplete" localSheetId="3">'[3]Weekly Meeting Costs'!PercentCompleteBeyond*'Bach Planner'!PeriodInPlan</definedName>
    <definedName name="PercentComplete" localSheetId="4">[3]!PercentCompleteBeyond*'Brandon Planner'!PeriodInPlan</definedName>
    <definedName name="PercentComplete" localSheetId="8">'Burn Report'!PercentCompleteBeyond*'Burn Report'!PeriodInPlan</definedName>
    <definedName name="PercentComplete" localSheetId="2">PercentCompleteBeyond*PeriodInPlan</definedName>
    <definedName name="PercentComplete" localSheetId="5">[3]!PercentCompleteBeyond*'Cody Planner'!PeriodInPlan</definedName>
    <definedName name="PercentComplete" localSheetId="10">Metrics!PercentCompleteBeyond*Metrics!PeriodInPlan</definedName>
    <definedName name="PercentComplete" localSheetId="0">Overview!PercentCompleteBeyond*Overview!PeriodInPlan</definedName>
    <definedName name="PercentComplete" localSheetId="9">'PDR Project Planner'!PercentCompleteBeyond*'PDR Project Planner'!PeriodInPlan</definedName>
    <definedName name="PercentComplete" localSheetId="6">[3]!PercentCompleteBeyond*'Peter Planner'!PeriodInPlan</definedName>
    <definedName name="PercentComplete" localSheetId="7">[3]!PercentCompleteBeyond*'Zack Planner'!PeriodInPlan</definedName>
    <definedName name="PercentComplete">PercentCompleteBeyond*PeriodInPlan</definedName>
    <definedName name="PercentCompleteBeyond" localSheetId="11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3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4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8">(#REF!=MEDIAN(#REF!,#REF!,#REF!+#REF!)*(#REF!&gt;0))*((#REF!&lt;(INT(#REF!+#REF!*#REF!)))+(#REF!=#REF!))*(#REF!&gt;0)</definedName>
    <definedName name="PercentCompleteBeyond" localSheetId="2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5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10">(#REF!=MEDIAN(#REF!,#REF!,#REF!+#REF!)*(#REF!&gt;0))*((#REF!&lt;(INT(#REF!+#REF!*#REF!)))+(#REF!=#REF!))*(#REF!&gt;0)</definedName>
    <definedName name="PercentCompleteBeyond" localSheetId="0">(#REF!=MEDIAN(#REF!,#REF!,#REF!+#REF!)*(#REF!&gt;0))*((#REF!&lt;(INT(#REF!+#REF!*#REF!)))+(#REF!=#REF!))*(#REF!&gt;0)</definedName>
    <definedName name="PercentCompleteBeyond" localSheetId="9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centCompleteBeyond" localSheetId="6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7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(#REF!=MEDIAN(#REF!,#REF!,#REF!+#REF!)*(#REF!&gt;0))*((#REF!&lt;(INT(#REF!+#REF!*#REF!)))+(#REF!=#REF!))*(#REF!&gt;0)</definedName>
    <definedName name="period_selected" localSheetId="11">'Andrei Planner'!$I$2</definedName>
    <definedName name="period_selected" localSheetId="3">'Bach Planner'!$I$2</definedName>
    <definedName name="period_selected" localSheetId="4">'Brandon Planner'!$I$2</definedName>
    <definedName name="period_selected" localSheetId="8">#REF!</definedName>
    <definedName name="period_selected" localSheetId="2">'CDR Project Planner'!$I$2</definedName>
    <definedName name="period_selected" localSheetId="5">'Cody Planner'!$I$2</definedName>
    <definedName name="period_selected" localSheetId="10">#REF!</definedName>
    <definedName name="period_selected" localSheetId="0">#REF!</definedName>
    <definedName name="period_selected" localSheetId="9">'PDR Project Planner'!$I$2</definedName>
    <definedName name="period_selected" localSheetId="6">'Peter Planner'!$I$2</definedName>
    <definedName name="period_selected" localSheetId="7">'Zack Planner'!$I$2</definedName>
    <definedName name="period_selected">#REF!</definedName>
    <definedName name="PeriodInActual" localSheetId="11">'Andrei Planner'!A$4=MEDIAN('Andrei Planner'!A$4,'Andrei Planner'!$F1,'Andrei Planner'!$F1+'Andrei Planner'!$G1-1)</definedName>
    <definedName name="PeriodInActual" localSheetId="3">'Bach Planner'!A$4=MEDIAN('Bach Planner'!A$4,'Bach Planner'!$F1,'Bach Planner'!$F1+'Bach Planner'!$G1-1)</definedName>
    <definedName name="PeriodInActual" localSheetId="4">'Brandon Planner'!A$4=MEDIAN('Brandon Planner'!A$4,'Brandon Planner'!$F1,'Brandon Planner'!$F1+'Brandon Planner'!$G1-1)</definedName>
    <definedName name="PeriodInActual" localSheetId="8">#REF!=MEDIAN(#REF!,#REF!,#REF!+#REF!-1)</definedName>
    <definedName name="PeriodInActual" localSheetId="2">'CDR Project Planner'!A$4=MEDIAN('CDR Project Planner'!A$4,'CDR Project Planner'!$F1,'CDR Project Planner'!$F1+'CDR Project Planner'!$G1-1)</definedName>
    <definedName name="PeriodInActual" localSheetId="5">'Cody Planner'!A$4=MEDIAN('Cody Planner'!A$4,'Cody Planner'!$F1,'Cody Planner'!$F1+'Cody Planner'!$G1-1)</definedName>
    <definedName name="PeriodInActual" localSheetId="10">#REF!=MEDIAN(#REF!,#REF!,#REF!+#REF!-1)</definedName>
    <definedName name="PeriodInActual" localSheetId="0">#REF!=MEDIAN(#REF!,#REF!,#REF!+#REF!-1)</definedName>
    <definedName name="PeriodInActual" localSheetId="9">'PDR Project Planner'!A$4=MEDIAN('PDR Project Planner'!A$4,'PDR Project Planner'!$F1,'PDR Project Planner'!$F1+'PDR Project Planner'!$G1-1)</definedName>
    <definedName name="PeriodInActual" localSheetId="6">'Peter Planner'!A$4=MEDIAN('Peter Planner'!A$4,'Peter Planner'!$F1,'Peter Planner'!$F1+'Peter Planner'!$G1-1)</definedName>
    <definedName name="PeriodInActual" localSheetId="7">'Zack Planner'!A$4=MEDIAN('Zack Planner'!A$4,'Zack Planner'!$F1,'Zack Planner'!$F1+'Zack Planner'!$G1-1)</definedName>
    <definedName name="PeriodInActual">#REF!=MEDIAN(#REF!,#REF!,#REF!+#REF!-1)</definedName>
    <definedName name="PeriodInPlan" localSheetId="11">'Andrei Planner'!A$4=MEDIAN('Andrei Planner'!A$4,'Andrei Planner'!$D1,'Andrei Planner'!$D1+'Andrei Planner'!$E1-1)</definedName>
    <definedName name="PeriodInPlan" localSheetId="3">'Bach Planner'!A$4=MEDIAN('Bach Planner'!A$4,'Bach Planner'!$D1,'Bach Planner'!$D1+'Bach Planner'!$E1-1)</definedName>
    <definedName name="PeriodInPlan" localSheetId="4">'Brandon Planner'!A$4=MEDIAN('Brandon Planner'!A$4,'Brandon Planner'!$D1,'Brandon Planner'!$D1+'Brandon Planner'!$E1-1)</definedName>
    <definedName name="PeriodInPlan" localSheetId="8">#REF!=MEDIAN(#REF!,#REF!,#REF!+#REF!-1)</definedName>
    <definedName name="PeriodInPlan" localSheetId="2">'CDR Project Planner'!A$4=MEDIAN('CDR Project Planner'!A$4,'CDR Project Planner'!$D1,'CDR Project Planner'!$D1+'CDR Project Planner'!$E1-1)</definedName>
    <definedName name="PeriodInPlan" localSheetId="5">'Cody Planner'!A$4=MEDIAN('Cody Planner'!A$4,'Cody Planner'!$D1,'Cody Planner'!$D1+'Cody Planner'!$E1-1)</definedName>
    <definedName name="PeriodInPlan" localSheetId="10">#REF!=MEDIAN(#REF!,#REF!,#REF!+#REF!-1)</definedName>
    <definedName name="PeriodInPlan" localSheetId="0">#REF!=MEDIAN(#REF!,#REF!,#REF!+#REF!-1)</definedName>
    <definedName name="PeriodInPlan" localSheetId="9">'PDR Project Planner'!A$4=MEDIAN('PDR Project Planner'!A$4,'PDR Project Planner'!$D1,'PDR Project Planner'!$D1+'PDR Project Planner'!$E1-1)</definedName>
    <definedName name="PeriodInPlan" localSheetId="6">'Peter Planner'!A$4=MEDIAN('Peter Planner'!A$4,'Peter Planner'!$D1,'Peter Planner'!$D1+'Peter Planner'!$E1-1)</definedName>
    <definedName name="PeriodInPlan" localSheetId="7">'Zack Planner'!A$4=MEDIAN('Zack Planner'!A$4,'Zack Planner'!$D1,'Zack Planner'!$D1+'Zack Planner'!$E1-1)</definedName>
    <definedName name="PeriodInPlan">#REF!=MEDIAN(#REF!,#REF!,#REF!+#REF!-1)</definedName>
    <definedName name="Plan" localSheetId="11">'Andrei Planner'!PeriodInPlan*('Andrei Planner'!$D1&gt;0)</definedName>
    <definedName name="Plan" localSheetId="3">'Bach Planner'!PeriodInPlan*('Bach Planner'!$D1&gt;0)</definedName>
    <definedName name="Plan" localSheetId="4">'Brandon Planner'!PeriodInPlan*('Brandon Planner'!$D1&gt;0)</definedName>
    <definedName name="Plan" localSheetId="8">'Burn Report'!PeriodInPlan*(#REF!&gt;0)</definedName>
    <definedName name="Plan" localSheetId="2">PeriodInPlan*('CDR Project Planner'!$D1&gt;0)</definedName>
    <definedName name="Plan" localSheetId="5">'Cody Planner'!PeriodInPlan*('Cody Planner'!$D1&gt;0)</definedName>
    <definedName name="Plan" localSheetId="10">Metrics!PeriodInPlan*(#REF!&gt;0)</definedName>
    <definedName name="Plan" localSheetId="0">Overview!PeriodInPlan*(#REF!&gt;0)</definedName>
    <definedName name="Plan" localSheetId="9">'PDR Project Planner'!PeriodInPlan*('PDR Project Planner'!$D1&gt;0)</definedName>
    <definedName name="Plan" localSheetId="6">'Peter Planner'!PeriodInPlan*('Peter Planner'!$D1&gt;0)</definedName>
    <definedName name="Plan" localSheetId="7">'Zack Planner'!PeriodInPlan*('Zack Planner'!$D1&gt;0)</definedName>
    <definedName name="Plan">PeriodInPlan*(#REF!&gt;0)</definedName>
    <definedName name="_xlnm.Print_Titles" localSheetId="11">'Andrei Planner'!$3:$4</definedName>
    <definedName name="_xlnm.Print_Titles" localSheetId="3">'Bach Planner'!$3:$4</definedName>
    <definedName name="_xlnm.Print_Titles" localSheetId="4">'Brandon Planner'!$3:$4</definedName>
    <definedName name="_xlnm.Print_Titles" localSheetId="2">'CDR Project Planner'!$3:$4</definedName>
    <definedName name="_xlnm.Print_Titles" localSheetId="5">'Cody Planner'!$3:$4</definedName>
    <definedName name="_xlnm.Print_Titles" localSheetId="9">'PDR Project Planner'!$3:$4</definedName>
    <definedName name="_xlnm.Print_Titles" localSheetId="6">'Peter Planner'!$3:$4</definedName>
    <definedName name="_xlnm.Print_Titles" localSheetId="7">'Zack Planner'!$3:$4</definedName>
    <definedName name="Test12" localSheetId="11">PeriodInActual*(#REF!&gt;0)</definedName>
    <definedName name="Test12" localSheetId="14">[3]!PeriodInActual*(#REF!&gt;0)</definedName>
    <definedName name="Test12" localSheetId="10">PeriodInActual*(#REF!&gt;0)</definedName>
    <definedName name="Test12">PeriodInActual*(#REF!&gt;0)</definedName>
    <definedName name="TitleRegion..BO60" localSheetId="11">'Andrei Planner'!$B$3:$B$4</definedName>
    <definedName name="TitleRegion..BO60" localSheetId="3">'Bach Planner'!$B$3:$B$4</definedName>
    <definedName name="TitleRegion..BO60" localSheetId="4">'Brandon Planner'!$B$3:$B$4</definedName>
    <definedName name="TitleRegion..BO60" localSheetId="2">'CDR Project Planner'!$B$3:$B$4</definedName>
    <definedName name="TitleRegion..BO60" localSheetId="5">'Cody Planner'!$B$3:$B$4</definedName>
    <definedName name="TitleRegion..BO60" localSheetId="10">#REF!</definedName>
    <definedName name="TitleRegion..BO60" localSheetId="9">'PDR Project Planner'!$B$3:$B$4</definedName>
    <definedName name="TitleRegion..BO60" localSheetId="6">'Peter Planner'!$B$3:$B$4</definedName>
    <definedName name="TitleRegion..BO60" localSheetId="7">'Zack Planner'!$B$3:$B$4</definedName>
    <definedName name="TitleRegion..BO60">#REF!</definedName>
    <definedName name="Um">PeriodInPlan*(#REF!&gt;0)</definedName>
  </definedNames>
  <calcPr calcId="162913" calcMode="manual" iterateDelta="1E-4"/>
  <fileRecoveryPr repairLoad="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168" i="20" l="1"/>
  <c r="H19" i="20" l="1"/>
  <c r="G19" i="20"/>
  <c r="F19" i="20"/>
  <c r="E19" i="20"/>
  <c r="D19" i="20"/>
  <c r="C19" i="20"/>
  <c r="H18" i="20"/>
  <c r="G18" i="20"/>
  <c r="F18" i="20"/>
  <c r="E18" i="20"/>
  <c r="D18" i="20"/>
  <c r="C18" i="20"/>
  <c r="H17" i="20"/>
  <c r="G17" i="20"/>
  <c r="F17" i="20"/>
  <c r="E17" i="20"/>
  <c r="D17" i="20"/>
  <c r="C17" i="20"/>
  <c r="H16" i="20"/>
  <c r="G16" i="20"/>
  <c r="F16" i="20"/>
  <c r="E16" i="20"/>
  <c r="D16" i="20"/>
  <c r="C16" i="20"/>
  <c r="H15" i="20"/>
  <c r="G15" i="20"/>
  <c r="F15" i="20"/>
  <c r="E15" i="20"/>
  <c r="D15" i="20"/>
  <c r="C15" i="20"/>
  <c r="H14" i="20"/>
  <c r="G14" i="20"/>
  <c r="F14" i="20"/>
  <c r="E14" i="20"/>
  <c r="D14" i="20"/>
  <c r="C14" i="20"/>
  <c r="H13" i="20"/>
  <c r="G13" i="20"/>
  <c r="F13" i="20"/>
  <c r="E13" i="20"/>
  <c r="D13" i="20"/>
  <c r="C13" i="20"/>
  <c r="H12" i="20"/>
  <c r="G12" i="20"/>
  <c r="F12" i="20"/>
  <c r="E12" i="20"/>
  <c r="D12" i="20"/>
  <c r="C12" i="20"/>
  <c r="H11" i="20"/>
  <c r="G11" i="20"/>
  <c r="F11" i="20"/>
  <c r="E11" i="20"/>
  <c r="D11" i="20"/>
  <c r="C11" i="20"/>
  <c r="H10" i="20"/>
  <c r="G10" i="20"/>
  <c r="F10" i="20"/>
  <c r="E10" i="20"/>
  <c r="D10" i="20"/>
  <c r="C10" i="20"/>
  <c r="H9" i="20"/>
  <c r="G9" i="20"/>
  <c r="F9" i="20"/>
  <c r="E9" i="20"/>
  <c r="D9" i="20"/>
  <c r="C9" i="20"/>
  <c r="H8" i="20"/>
  <c r="G8" i="20"/>
  <c r="F8" i="20"/>
  <c r="E8" i="20"/>
  <c r="D8" i="20"/>
  <c r="C8" i="20"/>
  <c r="H7" i="20"/>
  <c r="G7" i="20"/>
  <c r="F7" i="20"/>
  <c r="E7" i="20"/>
  <c r="D7" i="20"/>
  <c r="C7" i="20"/>
  <c r="H6" i="20"/>
  <c r="G6" i="20"/>
  <c r="F6" i="20"/>
  <c r="E6" i="20"/>
  <c r="D6" i="20"/>
  <c r="C6" i="20"/>
  <c r="H5" i="20"/>
  <c r="G5" i="20"/>
  <c r="G20" i="20" s="1"/>
  <c r="F5" i="20"/>
  <c r="E5" i="20"/>
  <c r="D5" i="20"/>
  <c r="C5" i="20"/>
  <c r="C20" i="20" s="1"/>
  <c r="H4" i="20"/>
  <c r="G4" i="20"/>
  <c r="F4" i="20"/>
  <c r="E4" i="20"/>
  <c r="D4" i="20"/>
  <c r="C4" i="20"/>
  <c r="H3" i="20"/>
  <c r="G3" i="20"/>
  <c r="F3" i="20"/>
  <c r="E3" i="20"/>
  <c r="D3" i="20"/>
  <c r="C3" i="20"/>
  <c r="E20" i="20" l="1"/>
  <c r="F20" i="20"/>
  <c r="B11" i="20"/>
  <c r="B3" i="20"/>
  <c r="B19" i="20"/>
  <c r="B7" i="20"/>
  <c r="B4" i="20"/>
  <c r="B8" i="20"/>
  <c r="B12" i="20"/>
  <c r="B16" i="20"/>
  <c r="B15" i="20"/>
  <c r="B6" i="20"/>
  <c r="B10" i="20"/>
  <c r="B14" i="20"/>
  <c r="B18" i="20"/>
  <c r="B9" i="20"/>
  <c r="B13" i="20"/>
  <c r="B17" i="20"/>
  <c r="D20" i="20"/>
  <c r="H20" i="20"/>
  <c r="B5" i="20"/>
  <c r="B20" i="20" l="1"/>
  <c r="C40" i="20"/>
  <c r="C30" i="20"/>
  <c r="D103" i="20" l="1"/>
  <c r="E103" i="20"/>
  <c r="F103" i="20"/>
  <c r="G103" i="20"/>
  <c r="H103" i="20"/>
  <c r="C103" i="20"/>
  <c r="D61" i="20"/>
  <c r="E61" i="20"/>
  <c r="F61" i="20"/>
  <c r="G61" i="20"/>
  <c r="H61" i="20"/>
  <c r="C61" i="20"/>
  <c r="D82" i="20"/>
  <c r="E82" i="20"/>
  <c r="F82" i="20"/>
  <c r="G82" i="20"/>
  <c r="H82" i="20"/>
  <c r="C82" i="20"/>
  <c r="C60" i="20"/>
  <c r="D60" i="20"/>
  <c r="E60" i="20"/>
  <c r="F60" i="20"/>
  <c r="G60" i="20"/>
  <c r="H60" i="20"/>
  <c r="C81" i="20"/>
  <c r="D81" i="20"/>
  <c r="E81" i="20"/>
  <c r="F81" i="20"/>
  <c r="G81" i="20"/>
  <c r="H81" i="20"/>
  <c r="C102" i="20"/>
  <c r="D102" i="20"/>
  <c r="E102" i="20"/>
  <c r="F102" i="20"/>
  <c r="G102" i="20"/>
  <c r="H102" i="20"/>
  <c r="D40" i="20"/>
  <c r="E40" i="20"/>
  <c r="F40" i="20"/>
  <c r="G40" i="20"/>
  <c r="H40" i="20"/>
  <c r="D39" i="20"/>
  <c r="C39" i="20"/>
  <c r="E39" i="20"/>
  <c r="F39" i="20"/>
  <c r="G39" i="20"/>
  <c r="H39" i="20"/>
  <c r="C45" i="20"/>
  <c r="D45" i="20"/>
  <c r="E45" i="20"/>
  <c r="F45" i="20"/>
  <c r="G45" i="20"/>
  <c r="H45" i="20"/>
  <c r="C46" i="20"/>
  <c r="D46" i="20"/>
  <c r="E46" i="20"/>
  <c r="F46" i="20"/>
  <c r="G46" i="20"/>
  <c r="H46" i="20"/>
  <c r="C47" i="20"/>
  <c r="D47" i="20"/>
  <c r="E47" i="20"/>
  <c r="F47" i="20"/>
  <c r="G47" i="20"/>
  <c r="H47" i="20"/>
  <c r="C48" i="20"/>
  <c r="D48" i="20"/>
  <c r="E48" i="20"/>
  <c r="F48" i="20"/>
  <c r="G48" i="20"/>
  <c r="H48" i="20"/>
  <c r="C49" i="20"/>
  <c r="D49" i="20"/>
  <c r="E49" i="20"/>
  <c r="F49" i="20"/>
  <c r="G49" i="20"/>
  <c r="H49" i="20"/>
  <c r="C50" i="20"/>
  <c r="D50" i="20"/>
  <c r="E50" i="20"/>
  <c r="F50" i="20"/>
  <c r="G50" i="20"/>
  <c r="H50" i="20"/>
  <c r="C51" i="20"/>
  <c r="D51" i="20"/>
  <c r="E51" i="20"/>
  <c r="F51" i="20"/>
  <c r="G51" i="20"/>
  <c r="H51" i="20"/>
  <c r="C52" i="20"/>
  <c r="D52" i="20"/>
  <c r="E52" i="20"/>
  <c r="F52" i="20"/>
  <c r="G52" i="20"/>
  <c r="H52" i="20"/>
  <c r="C53" i="20"/>
  <c r="D53" i="20"/>
  <c r="E53" i="20"/>
  <c r="F53" i="20"/>
  <c r="G53" i="20"/>
  <c r="H53" i="20"/>
  <c r="C54" i="20"/>
  <c r="D54" i="20"/>
  <c r="E54" i="20"/>
  <c r="F54" i="20"/>
  <c r="G54" i="20"/>
  <c r="H54" i="20"/>
  <c r="C55" i="20"/>
  <c r="D55" i="20"/>
  <c r="E55" i="20"/>
  <c r="F55" i="20"/>
  <c r="G55" i="20"/>
  <c r="H55" i="20"/>
  <c r="C56" i="20"/>
  <c r="D56" i="20"/>
  <c r="E56" i="20"/>
  <c r="F56" i="20"/>
  <c r="G56" i="20"/>
  <c r="H56" i="20"/>
  <c r="C57" i="20"/>
  <c r="D57" i="20"/>
  <c r="E57" i="20"/>
  <c r="F57" i="20"/>
  <c r="G57" i="20"/>
  <c r="H57" i="20"/>
  <c r="C58" i="20"/>
  <c r="D58" i="20"/>
  <c r="E58" i="20"/>
  <c r="F58" i="20"/>
  <c r="G58" i="20"/>
  <c r="H58" i="20"/>
  <c r="C59" i="20"/>
  <c r="D59" i="20"/>
  <c r="E59" i="20"/>
  <c r="F59" i="20"/>
  <c r="G59" i="20"/>
  <c r="H59" i="20"/>
  <c r="C66" i="20"/>
  <c r="D66" i="20"/>
  <c r="E66" i="20"/>
  <c r="F66" i="20"/>
  <c r="G66" i="20"/>
  <c r="H66" i="20"/>
  <c r="C67" i="20"/>
  <c r="D67" i="20"/>
  <c r="E67" i="20"/>
  <c r="F67" i="20"/>
  <c r="G67" i="20"/>
  <c r="H67" i="20"/>
  <c r="C68" i="20"/>
  <c r="D68" i="20"/>
  <c r="E68" i="20"/>
  <c r="F68" i="20"/>
  <c r="G68" i="20"/>
  <c r="H68" i="20"/>
  <c r="C80" i="20"/>
  <c r="D80" i="20"/>
  <c r="E80" i="20"/>
  <c r="F80" i="20"/>
  <c r="G80" i="20"/>
  <c r="H80" i="20"/>
  <c r="C87" i="20"/>
  <c r="D87" i="20"/>
  <c r="E87" i="20"/>
  <c r="F87" i="20"/>
  <c r="G87" i="20"/>
  <c r="H87" i="20"/>
  <c r="C88" i="20"/>
  <c r="D88" i="20"/>
  <c r="E88" i="20"/>
  <c r="F88" i="20"/>
  <c r="G88" i="20"/>
  <c r="H88" i="20"/>
  <c r="C89" i="20"/>
  <c r="D89" i="20"/>
  <c r="E89" i="20"/>
  <c r="F89" i="20"/>
  <c r="G89" i="20"/>
  <c r="H89" i="20"/>
  <c r="C90" i="20"/>
  <c r="D90" i="20"/>
  <c r="E90" i="20"/>
  <c r="F90" i="20"/>
  <c r="G90" i="20"/>
  <c r="H90" i="20"/>
  <c r="C91" i="20"/>
  <c r="D91" i="20"/>
  <c r="E91" i="20"/>
  <c r="F91" i="20"/>
  <c r="G91" i="20"/>
  <c r="H91" i="20"/>
  <c r="C92" i="20"/>
  <c r="D92" i="20"/>
  <c r="E92" i="20"/>
  <c r="F92" i="20"/>
  <c r="G92" i="20"/>
  <c r="H92" i="20"/>
  <c r="C93" i="20"/>
  <c r="D93" i="20"/>
  <c r="E93" i="20"/>
  <c r="F93" i="20"/>
  <c r="G93" i="20"/>
  <c r="H93" i="20"/>
  <c r="C94" i="20"/>
  <c r="D94" i="20"/>
  <c r="E94" i="20"/>
  <c r="F94" i="20"/>
  <c r="G94" i="20"/>
  <c r="H94" i="20"/>
  <c r="C95" i="20"/>
  <c r="D95" i="20"/>
  <c r="E95" i="20"/>
  <c r="F95" i="20"/>
  <c r="G95" i="20"/>
  <c r="H95" i="20"/>
  <c r="C96" i="20"/>
  <c r="D96" i="20"/>
  <c r="E96" i="20"/>
  <c r="F96" i="20"/>
  <c r="G96" i="20"/>
  <c r="H96" i="20"/>
  <c r="C97" i="20"/>
  <c r="D97" i="20"/>
  <c r="E97" i="20"/>
  <c r="F97" i="20"/>
  <c r="G97" i="20"/>
  <c r="H97" i="20"/>
  <c r="C98" i="20"/>
  <c r="D98" i="20"/>
  <c r="E98" i="20"/>
  <c r="F98" i="20"/>
  <c r="G98" i="20"/>
  <c r="H98" i="20"/>
  <c r="C99" i="20"/>
  <c r="D99" i="20"/>
  <c r="E99" i="20"/>
  <c r="F99" i="20"/>
  <c r="G99" i="20"/>
  <c r="H99" i="20"/>
  <c r="C100" i="20"/>
  <c r="D100" i="20"/>
  <c r="E100" i="20"/>
  <c r="F100" i="20"/>
  <c r="G100" i="20"/>
  <c r="H100" i="20"/>
  <c r="C101" i="20"/>
  <c r="D101" i="20"/>
  <c r="E101" i="20"/>
  <c r="F101" i="20"/>
  <c r="G101" i="20"/>
  <c r="H101" i="20"/>
  <c r="C26" i="20"/>
  <c r="B61" i="20" l="1"/>
  <c r="B99" i="20"/>
  <c r="B60" i="20"/>
  <c r="B95" i="20"/>
  <c r="E104" i="20"/>
  <c r="B91" i="20"/>
  <c r="B52" i="20"/>
  <c r="E62" i="20"/>
  <c r="B98" i="20"/>
  <c r="B94" i="20"/>
  <c r="B67" i="20"/>
  <c r="B57" i="20"/>
  <c r="B49" i="20"/>
  <c r="B82" i="20"/>
  <c r="B103" i="20"/>
  <c r="B102" i="20"/>
  <c r="B81" i="20"/>
  <c r="B80" i="20"/>
  <c r="H104" i="20"/>
  <c r="B96" i="20"/>
  <c r="B92" i="20"/>
  <c r="B53" i="20"/>
  <c r="H62" i="20"/>
  <c r="B101" i="20"/>
  <c r="B97" i="20"/>
  <c r="D104" i="20"/>
  <c r="B88" i="20"/>
  <c r="B58" i="20"/>
  <c r="B45" i="20"/>
  <c r="B93" i="20"/>
  <c r="B89" i="20"/>
  <c r="B54" i="20"/>
  <c r="B50" i="20"/>
  <c r="B59" i="20"/>
  <c r="B56" i="20"/>
  <c r="B55" i="20"/>
  <c r="D62" i="20"/>
  <c r="B46" i="20"/>
  <c r="F62" i="20"/>
  <c r="F104" i="20"/>
  <c r="B66" i="20"/>
  <c r="B51" i="20"/>
  <c r="B48" i="20"/>
  <c r="B47" i="20"/>
  <c r="B40" i="20"/>
  <c r="B90" i="20"/>
  <c r="G104" i="20"/>
  <c r="B39" i="20"/>
  <c r="B100" i="20"/>
  <c r="B87" i="20"/>
  <c r="B68" i="20"/>
  <c r="G62" i="20"/>
  <c r="C104" i="20"/>
  <c r="C62" i="20"/>
  <c r="B104" i="20" l="1"/>
  <c r="B62" i="20"/>
  <c r="M35" i="20" l="1"/>
  <c r="C34" i="20" l="1"/>
  <c r="O28" i="20"/>
  <c r="P28" i="20"/>
  <c r="Q28" i="20"/>
  <c r="R28" i="20"/>
  <c r="S28" i="20"/>
  <c r="N28" i="20"/>
  <c r="O27" i="20"/>
  <c r="P27" i="20"/>
  <c r="Q27" i="20"/>
  <c r="R27" i="20"/>
  <c r="S27" i="20"/>
  <c r="N27" i="20"/>
  <c r="O17" i="20"/>
  <c r="P17" i="20"/>
  <c r="Q17" i="20"/>
  <c r="R17" i="20"/>
  <c r="S17" i="20"/>
  <c r="N17" i="20"/>
  <c r="O16" i="20"/>
  <c r="P16" i="20"/>
  <c r="Q16" i="20"/>
  <c r="R16" i="20"/>
  <c r="S16" i="20"/>
  <c r="N16" i="20"/>
  <c r="O6" i="20"/>
  <c r="P6" i="20"/>
  <c r="Q6" i="20"/>
  <c r="R6" i="20"/>
  <c r="S6" i="20"/>
  <c r="N6" i="20"/>
  <c r="O5" i="20"/>
  <c r="P5" i="20"/>
  <c r="Q5" i="20"/>
  <c r="R5" i="20"/>
  <c r="S5" i="20"/>
  <c r="N5" i="20"/>
  <c r="M6" i="20" l="1"/>
  <c r="M5" i="20"/>
  <c r="N14" i="20"/>
  <c r="R4" i="20"/>
  <c r="R3" i="20"/>
  <c r="Q3" i="20"/>
  <c r="P4" i="20"/>
  <c r="Q4" i="20"/>
  <c r="O26" i="20"/>
  <c r="P26" i="20"/>
  <c r="Q26" i="20"/>
  <c r="R26" i="20"/>
  <c r="S26" i="20"/>
  <c r="N26" i="20"/>
  <c r="O25" i="20"/>
  <c r="P25" i="20"/>
  <c r="Q25" i="20"/>
  <c r="R25" i="20"/>
  <c r="S25" i="20"/>
  <c r="S30" i="20" s="1"/>
  <c r="N25" i="20"/>
  <c r="O15" i="20"/>
  <c r="P15" i="20"/>
  <c r="Q15" i="20"/>
  <c r="R15" i="20"/>
  <c r="S15" i="20"/>
  <c r="P14" i="20"/>
  <c r="Q14" i="20"/>
  <c r="R14" i="20"/>
  <c r="S14" i="20"/>
  <c r="O4" i="20"/>
  <c r="S4" i="20"/>
  <c r="N4" i="20"/>
  <c r="O3" i="20"/>
  <c r="P3" i="20"/>
  <c r="S3" i="20"/>
  <c r="M4" i="20" l="1"/>
  <c r="N3" i="20"/>
  <c r="N8" i="20" s="1"/>
  <c r="O14" i="20"/>
  <c r="M14" i="20" s="1"/>
  <c r="N15" i="20"/>
  <c r="M15" i="20" s="1"/>
  <c r="N34" i="20" s="1"/>
  <c r="M26" i="20"/>
  <c r="M25" i="20"/>
  <c r="C36" i="9"/>
  <c r="O31" i="20"/>
  <c r="M28" i="20"/>
  <c r="M27" i="20"/>
  <c r="S31" i="20"/>
  <c r="R31" i="20"/>
  <c r="R30" i="20"/>
  <c r="Q30" i="20"/>
  <c r="M30" i="20" l="1"/>
  <c r="M3" i="20"/>
  <c r="M8" i="20" s="1"/>
  <c r="M31" i="20"/>
  <c r="N30" i="20"/>
  <c r="N31" i="20"/>
  <c r="O30" i="20"/>
  <c r="P31" i="20"/>
  <c r="P30" i="20"/>
  <c r="Q31" i="20"/>
  <c r="S20" i="20"/>
  <c r="R20" i="20"/>
  <c r="R19" i="20"/>
  <c r="Q19" i="20"/>
  <c r="P19" i="20"/>
  <c r="N19" i="20"/>
  <c r="M17" i="20" l="1"/>
  <c r="O34" i="20" s="1"/>
  <c r="M34" i="20" s="1"/>
  <c r="M16" i="20"/>
  <c r="M19" i="20" s="1"/>
  <c r="O19" i="20"/>
  <c r="S19" i="20"/>
  <c r="B6" i="21" l="1"/>
  <c r="H40" i="21"/>
  <c r="C24" i="20" l="1"/>
  <c r="I2" i="1" l="1"/>
  <c r="V4" i="11" l="1"/>
  <c r="C69" i="20" s="1"/>
  <c r="N5" i="11"/>
  <c r="O5" i="11"/>
  <c r="P5" i="11"/>
  <c r="Q5" i="11"/>
  <c r="R5" i="11"/>
  <c r="S5" i="11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O4" i="11"/>
  <c r="P4" i="11"/>
  <c r="Q4" i="11"/>
  <c r="R4" i="11"/>
  <c r="S4" i="11"/>
  <c r="N4" i="11"/>
  <c r="C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62" i="11" l="1"/>
  <c r="W26" i="11" l="1"/>
  <c r="C25" i="20" l="1"/>
  <c r="I2" i="21" l="1"/>
  <c r="B2" i="21" l="1"/>
  <c r="B5" i="21"/>
  <c r="C5" i="21"/>
  <c r="D5" i="21"/>
  <c r="E5" i="21"/>
  <c r="F5" i="21"/>
  <c r="G5" i="21"/>
  <c r="H5" i="21"/>
  <c r="C6" i="21"/>
  <c r="D6" i="21"/>
  <c r="E6" i="21"/>
  <c r="F6" i="21"/>
  <c r="G6" i="21"/>
  <c r="H6" i="21"/>
  <c r="B7" i="21"/>
  <c r="C7" i="21"/>
  <c r="D7" i="21"/>
  <c r="E7" i="21"/>
  <c r="F7" i="21"/>
  <c r="G7" i="21"/>
  <c r="H7" i="21"/>
  <c r="B8" i="21"/>
  <c r="C8" i="21"/>
  <c r="D8" i="21"/>
  <c r="E8" i="21"/>
  <c r="F8" i="21"/>
  <c r="G8" i="21"/>
  <c r="H8" i="21"/>
  <c r="B9" i="21"/>
  <c r="C9" i="21"/>
  <c r="D9" i="21"/>
  <c r="E9" i="21"/>
  <c r="F9" i="21"/>
  <c r="G9" i="21"/>
  <c r="H9" i="21"/>
  <c r="B10" i="21"/>
  <c r="C10" i="21"/>
  <c r="D10" i="21"/>
  <c r="E10" i="21"/>
  <c r="F10" i="21"/>
  <c r="G10" i="21"/>
  <c r="H10" i="21"/>
  <c r="B11" i="21"/>
  <c r="C11" i="21"/>
  <c r="D11" i="21"/>
  <c r="E11" i="21"/>
  <c r="F11" i="21"/>
  <c r="G11" i="21"/>
  <c r="H11" i="21"/>
  <c r="B12" i="21"/>
  <c r="C12" i="21"/>
  <c r="D12" i="21"/>
  <c r="E12" i="21"/>
  <c r="F12" i="21"/>
  <c r="G12" i="21"/>
  <c r="H12" i="21"/>
  <c r="B13" i="21"/>
  <c r="C13" i="21"/>
  <c r="D13" i="21"/>
  <c r="E13" i="21"/>
  <c r="F13" i="21"/>
  <c r="G13" i="21"/>
  <c r="H13" i="21"/>
  <c r="B14" i="21"/>
  <c r="C14" i="21"/>
  <c r="D14" i="21"/>
  <c r="E14" i="21"/>
  <c r="F14" i="21"/>
  <c r="G14" i="21"/>
  <c r="H14" i="21"/>
  <c r="B15" i="21"/>
  <c r="C15" i="21"/>
  <c r="D15" i="21"/>
  <c r="E15" i="21"/>
  <c r="F15" i="21"/>
  <c r="G15" i="21"/>
  <c r="H15" i="21"/>
  <c r="B16" i="21"/>
  <c r="C16" i="21"/>
  <c r="D16" i="21"/>
  <c r="E16" i="21"/>
  <c r="F16" i="21"/>
  <c r="G16" i="21"/>
  <c r="H16" i="21"/>
  <c r="B17" i="21"/>
  <c r="C17" i="21"/>
  <c r="D17" i="21"/>
  <c r="E17" i="21"/>
  <c r="F17" i="21"/>
  <c r="G17" i="21"/>
  <c r="H17" i="21"/>
  <c r="B18" i="21"/>
  <c r="C18" i="21"/>
  <c r="D18" i="21"/>
  <c r="E18" i="21"/>
  <c r="F18" i="21"/>
  <c r="G18" i="21"/>
  <c r="H18" i="21"/>
  <c r="B19" i="21"/>
  <c r="C19" i="21"/>
  <c r="D19" i="21"/>
  <c r="E19" i="21"/>
  <c r="F19" i="21"/>
  <c r="G19" i="21"/>
  <c r="H19" i="21"/>
  <c r="B20" i="21"/>
  <c r="C20" i="21"/>
  <c r="D20" i="21"/>
  <c r="E20" i="21"/>
  <c r="F20" i="21"/>
  <c r="G20" i="21"/>
  <c r="H20" i="21"/>
  <c r="B21" i="21"/>
  <c r="C21" i="21"/>
  <c r="D21" i="21"/>
  <c r="E21" i="21"/>
  <c r="F21" i="21"/>
  <c r="G21" i="21"/>
  <c r="H21" i="21"/>
  <c r="B22" i="21"/>
  <c r="C22" i="21"/>
  <c r="D22" i="21"/>
  <c r="E22" i="21"/>
  <c r="F22" i="21"/>
  <c r="G22" i="21"/>
  <c r="H22" i="21"/>
  <c r="B23" i="21"/>
  <c r="C23" i="21"/>
  <c r="D23" i="21"/>
  <c r="E23" i="21"/>
  <c r="F23" i="21"/>
  <c r="G23" i="21"/>
  <c r="H23" i="21"/>
  <c r="B24" i="21"/>
  <c r="C24" i="21"/>
  <c r="D24" i="21"/>
  <c r="E24" i="21"/>
  <c r="F24" i="21"/>
  <c r="G24" i="21"/>
  <c r="H24" i="21"/>
  <c r="B25" i="21"/>
  <c r="C25" i="21"/>
  <c r="D25" i="21"/>
  <c r="E25" i="21"/>
  <c r="F25" i="21"/>
  <c r="G25" i="21"/>
  <c r="H25" i="21"/>
  <c r="B26" i="21"/>
  <c r="C26" i="21"/>
  <c r="D26" i="21"/>
  <c r="E26" i="21"/>
  <c r="F26" i="21"/>
  <c r="G26" i="21"/>
  <c r="H26" i="21"/>
  <c r="B27" i="21"/>
  <c r="C27" i="21"/>
  <c r="D27" i="21"/>
  <c r="E27" i="21"/>
  <c r="F27" i="21"/>
  <c r="G27" i="21"/>
  <c r="H27" i="21"/>
  <c r="B28" i="21"/>
  <c r="C28" i="21"/>
  <c r="D28" i="21"/>
  <c r="E28" i="21"/>
  <c r="F28" i="21"/>
  <c r="G28" i="21"/>
  <c r="H28" i="21"/>
  <c r="B29" i="21"/>
  <c r="C29" i="21"/>
  <c r="D29" i="21"/>
  <c r="E29" i="21"/>
  <c r="F29" i="21"/>
  <c r="G29" i="21"/>
  <c r="H29" i="21"/>
  <c r="B30" i="21"/>
  <c r="C30" i="21"/>
  <c r="H30" i="21"/>
  <c r="B31" i="21"/>
  <c r="C31" i="21"/>
  <c r="D31" i="21"/>
  <c r="E31" i="21"/>
  <c r="F31" i="21"/>
  <c r="G31" i="21"/>
  <c r="H31" i="21"/>
  <c r="B32" i="21"/>
  <c r="C32" i="21"/>
  <c r="D32" i="21"/>
  <c r="E32" i="21"/>
  <c r="F32" i="21"/>
  <c r="G32" i="21"/>
  <c r="H32" i="21"/>
  <c r="B33" i="21"/>
  <c r="C33" i="21"/>
  <c r="D33" i="21"/>
  <c r="E33" i="21"/>
  <c r="F33" i="21"/>
  <c r="G33" i="21"/>
  <c r="H33" i="21"/>
  <c r="B34" i="21"/>
  <c r="C34" i="21"/>
  <c r="D34" i="21"/>
  <c r="E34" i="21"/>
  <c r="F34" i="21"/>
  <c r="G34" i="21"/>
  <c r="H34" i="21"/>
  <c r="B35" i="21"/>
  <c r="C35" i="21"/>
  <c r="D35" i="21"/>
  <c r="E35" i="21"/>
  <c r="F35" i="21"/>
  <c r="G35" i="21"/>
  <c r="H35" i="21"/>
  <c r="B36" i="21"/>
  <c r="C36" i="21"/>
  <c r="D36" i="21"/>
  <c r="E36" i="21"/>
  <c r="F36" i="21"/>
  <c r="G36" i="21"/>
  <c r="H36" i="21"/>
  <c r="B37" i="21"/>
  <c r="C37" i="21"/>
  <c r="H37" i="21"/>
  <c r="B38" i="21"/>
  <c r="C38" i="21"/>
  <c r="D38" i="21"/>
  <c r="E38" i="21"/>
  <c r="F38" i="21"/>
  <c r="G38" i="21"/>
  <c r="H38" i="21"/>
  <c r="B39" i="21"/>
  <c r="C39" i="21"/>
  <c r="D39" i="21"/>
  <c r="E39" i="21"/>
  <c r="F39" i="21"/>
  <c r="G39" i="21"/>
  <c r="H39" i="21"/>
  <c r="B40" i="21"/>
  <c r="C40" i="21"/>
  <c r="D40" i="21"/>
  <c r="E40" i="21"/>
  <c r="F40" i="21"/>
  <c r="G40" i="21"/>
  <c r="B41" i="21"/>
  <c r="C41" i="21"/>
  <c r="D41" i="21"/>
  <c r="E41" i="21"/>
  <c r="F41" i="21"/>
  <c r="G41" i="21"/>
  <c r="H41" i="21"/>
  <c r="B42" i="21"/>
  <c r="C42" i="21"/>
  <c r="D42" i="21"/>
  <c r="E42" i="21"/>
  <c r="F42" i="21"/>
  <c r="G42" i="21"/>
  <c r="H42" i="21"/>
  <c r="B43" i="21"/>
  <c r="C43" i="21"/>
  <c r="D43" i="21"/>
  <c r="E43" i="21"/>
  <c r="F43" i="21"/>
  <c r="G43" i="21"/>
  <c r="H43" i="21"/>
  <c r="B44" i="21"/>
  <c r="C44" i="21"/>
  <c r="D44" i="21"/>
  <c r="E44" i="21"/>
  <c r="F44" i="21"/>
  <c r="G44" i="21"/>
  <c r="H44" i="21"/>
  <c r="B45" i="21"/>
  <c r="C45" i="21"/>
  <c r="D45" i="21"/>
  <c r="E45" i="21"/>
  <c r="F45" i="21"/>
  <c r="G45" i="21"/>
  <c r="H45" i="21"/>
  <c r="B46" i="21"/>
  <c r="C46" i="21"/>
  <c r="D46" i="21"/>
  <c r="E46" i="21"/>
  <c r="F46" i="21"/>
  <c r="G46" i="21"/>
  <c r="H46" i="21"/>
  <c r="B47" i="21"/>
  <c r="C47" i="21"/>
  <c r="D47" i="21"/>
  <c r="E47" i="21"/>
  <c r="F47" i="21"/>
  <c r="G47" i="21"/>
  <c r="H47" i="21"/>
  <c r="B48" i="21"/>
  <c r="C48" i="21"/>
  <c r="D48" i="21"/>
  <c r="E48" i="21"/>
  <c r="F48" i="21"/>
  <c r="G48" i="21"/>
  <c r="H48" i="21"/>
  <c r="B49" i="21"/>
  <c r="C49" i="21"/>
  <c r="D49" i="21"/>
  <c r="E49" i="21"/>
  <c r="F49" i="21"/>
  <c r="G49" i="21"/>
  <c r="H49" i="21"/>
  <c r="B50" i="21"/>
  <c r="C50" i="21"/>
  <c r="D50" i="21"/>
  <c r="E50" i="21"/>
  <c r="F50" i="21"/>
  <c r="G50" i="21"/>
  <c r="H50" i="21"/>
  <c r="B51" i="21"/>
  <c r="C51" i="21"/>
  <c r="D51" i="21"/>
  <c r="E51" i="21"/>
  <c r="F51" i="21"/>
  <c r="G51" i="21"/>
  <c r="H51" i="21"/>
  <c r="B52" i="21"/>
  <c r="C52" i="21"/>
  <c r="D52" i="21"/>
  <c r="E52" i="21"/>
  <c r="F52" i="21"/>
  <c r="G52" i="21"/>
  <c r="H52" i="21"/>
  <c r="H38" i="20" l="1"/>
  <c r="G38" i="20"/>
  <c r="F38" i="20"/>
  <c r="E38" i="20"/>
  <c r="D38" i="20"/>
  <c r="C38" i="20"/>
  <c r="H37" i="20"/>
  <c r="G37" i="20"/>
  <c r="F37" i="20"/>
  <c r="E37" i="20"/>
  <c r="D37" i="20"/>
  <c r="C37" i="20"/>
  <c r="H36" i="20"/>
  <c r="G36" i="20"/>
  <c r="F36" i="20"/>
  <c r="E36" i="20"/>
  <c r="D36" i="20"/>
  <c r="C36" i="20"/>
  <c r="H26" i="20"/>
  <c r="G26" i="20"/>
  <c r="F26" i="20"/>
  <c r="E26" i="20"/>
  <c r="D26" i="20"/>
  <c r="H25" i="20"/>
  <c r="G25" i="20"/>
  <c r="F25" i="20"/>
  <c r="E25" i="20"/>
  <c r="D25" i="20"/>
  <c r="H24" i="20"/>
  <c r="G24" i="20"/>
  <c r="F24" i="20"/>
  <c r="E24" i="20"/>
  <c r="D24" i="20"/>
  <c r="V26" i="11"/>
  <c r="V41" i="11"/>
  <c r="V42" i="11"/>
  <c r="V43" i="11"/>
  <c r="V44" i="11"/>
  <c r="V45" i="11"/>
  <c r="V46" i="11"/>
  <c r="V47" i="11"/>
  <c r="C77" i="20" s="1"/>
  <c r="V48" i="11"/>
  <c r="V49" i="11"/>
  <c r="V50" i="11"/>
  <c r="C35" i="20"/>
  <c r="C27" i="20"/>
  <c r="C28" i="20"/>
  <c r="D27" i="20"/>
  <c r="I2" i="19"/>
  <c r="C76" i="20" l="1"/>
  <c r="B24" i="20"/>
  <c r="B37" i="20"/>
  <c r="B36" i="20"/>
  <c r="B26" i="20"/>
  <c r="B38" i="20"/>
  <c r="B25" i="20"/>
  <c r="C32" i="20"/>
  <c r="C29" i="20"/>
  <c r="C31" i="20"/>
  <c r="C33" i="20"/>
  <c r="I2" i="7"/>
  <c r="B47" i="7"/>
  <c r="I2" i="6"/>
  <c r="I2" i="5"/>
  <c r="I2" i="4"/>
  <c r="I2" i="3"/>
  <c r="C41" i="20" l="1"/>
  <c r="B2" i="19"/>
  <c r="E27" i="20" l="1"/>
  <c r="F27" i="20"/>
  <c r="G27" i="20"/>
  <c r="H27" i="20"/>
  <c r="W4" i="11"/>
  <c r="D69" i="20" s="1"/>
  <c r="X4" i="11"/>
  <c r="E69" i="20" s="1"/>
  <c r="Y4" i="11"/>
  <c r="F69" i="20" s="1"/>
  <c r="Z4" i="11"/>
  <c r="G69" i="20" s="1"/>
  <c r="AA4" i="11"/>
  <c r="H69" i="20" s="1"/>
  <c r="D28" i="20"/>
  <c r="E28" i="20"/>
  <c r="F28" i="20"/>
  <c r="G28" i="20"/>
  <c r="H28" i="20"/>
  <c r="V5" i="11"/>
  <c r="C70" i="20" s="1"/>
  <c r="W5" i="11"/>
  <c r="D70" i="20" s="1"/>
  <c r="X5" i="11"/>
  <c r="E70" i="20" s="1"/>
  <c r="Y5" i="11"/>
  <c r="F70" i="20" s="1"/>
  <c r="Z5" i="11"/>
  <c r="G70" i="20" s="1"/>
  <c r="AA5" i="11"/>
  <c r="H70" i="20" s="1"/>
  <c r="V6" i="11"/>
  <c r="W6" i="11"/>
  <c r="X6" i="11"/>
  <c r="Y6" i="11"/>
  <c r="Z6" i="11"/>
  <c r="AA6" i="11"/>
  <c r="V7" i="11"/>
  <c r="W7" i="11"/>
  <c r="X7" i="11"/>
  <c r="Y7" i="11"/>
  <c r="Z7" i="11"/>
  <c r="AA7" i="11"/>
  <c r="V8" i="11"/>
  <c r="W8" i="11"/>
  <c r="X8" i="11"/>
  <c r="Y8" i="11"/>
  <c r="Z8" i="11"/>
  <c r="AA8" i="11"/>
  <c r="V9" i="11"/>
  <c r="W9" i="11"/>
  <c r="X9" i="11"/>
  <c r="Z9" i="11"/>
  <c r="AA9" i="11"/>
  <c r="V10" i="11"/>
  <c r="W10" i="11"/>
  <c r="X10" i="11"/>
  <c r="Y10" i="11"/>
  <c r="Z10" i="11"/>
  <c r="AA10" i="11"/>
  <c r="V11" i="11"/>
  <c r="W11" i="11"/>
  <c r="X11" i="11"/>
  <c r="Y11" i="11"/>
  <c r="Z11" i="11"/>
  <c r="AA11" i="11"/>
  <c r="V12" i="11"/>
  <c r="W12" i="11"/>
  <c r="X12" i="11"/>
  <c r="Z12" i="11"/>
  <c r="AA12" i="11"/>
  <c r="V13" i="11"/>
  <c r="W13" i="11"/>
  <c r="X13" i="11"/>
  <c r="Y13" i="11"/>
  <c r="Z13" i="11"/>
  <c r="AA13" i="11"/>
  <c r="V14" i="11"/>
  <c r="W14" i="11"/>
  <c r="X14" i="11"/>
  <c r="Y14" i="11"/>
  <c r="Z14" i="11"/>
  <c r="AA14" i="11"/>
  <c r="V15" i="11"/>
  <c r="W15" i="11"/>
  <c r="X15" i="11"/>
  <c r="Y15" i="11"/>
  <c r="Z15" i="11"/>
  <c r="AA15" i="11"/>
  <c r="V16" i="11"/>
  <c r="W16" i="11"/>
  <c r="X16" i="11"/>
  <c r="Y16" i="11"/>
  <c r="Z16" i="11"/>
  <c r="AA16" i="11"/>
  <c r="V17" i="11"/>
  <c r="W17" i="11"/>
  <c r="X17" i="11"/>
  <c r="Y17" i="11"/>
  <c r="Z17" i="11"/>
  <c r="AA17" i="11"/>
  <c r="V18" i="11"/>
  <c r="W18" i="11"/>
  <c r="X18" i="11"/>
  <c r="Y18" i="11"/>
  <c r="Z18" i="11"/>
  <c r="AA18" i="11"/>
  <c r="V19" i="11"/>
  <c r="W19" i="11"/>
  <c r="X19" i="11"/>
  <c r="Y19" i="11"/>
  <c r="Z19" i="11"/>
  <c r="AA19" i="11"/>
  <c r="V20" i="11"/>
  <c r="W20" i="11"/>
  <c r="X20" i="11"/>
  <c r="Y20" i="11"/>
  <c r="Z20" i="11"/>
  <c r="AA20" i="11"/>
  <c r="V21" i="11"/>
  <c r="W21" i="11"/>
  <c r="X21" i="11"/>
  <c r="Y21" i="11"/>
  <c r="Z21" i="11"/>
  <c r="AA21" i="11"/>
  <c r="V22" i="11"/>
  <c r="W22" i="11"/>
  <c r="X22" i="11"/>
  <c r="Y22" i="11"/>
  <c r="Z22" i="11"/>
  <c r="AA22" i="11"/>
  <c r="V23" i="11"/>
  <c r="W23" i="11"/>
  <c r="X23" i="11"/>
  <c r="Y23" i="11"/>
  <c r="Z23" i="11"/>
  <c r="AA23" i="11"/>
  <c r="V24" i="11"/>
  <c r="W24" i="11"/>
  <c r="X24" i="11"/>
  <c r="Y24" i="11"/>
  <c r="Z24" i="11"/>
  <c r="AA24" i="11"/>
  <c r="V25" i="11"/>
  <c r="W25" i="11"/>
  <c r="X25" i="11"/>
  <c r="Y25" i="11"/>
  <c r="Z25" i="11"/>
  <c r="AA25" i="11"/>
  <c r="X26" i="11"/>
  <c r="Y26" i="11"/>
  <c r="Z26" i="11"/>
  <c r="AA26" i="11"/>
  <c r="V27" i="11"/>
  <c r="W27" i="11"/>
  <c r="X27" i="11"/>
  <c r="Y27" i="11"/>
  <c r="Z27" i="11"/>
  <c r="AA27" i="11"/>
  <c r="V28" i="11"/>
  <c r="W28" i="11"/>
  <c r="X28" i="11"/>
  <c r="Y28" i="11"/>
  <c r="Z28" i="11"/>
  <c r="AA28" i="11"/>
  <c r="V29" i="11"/>
  <c r="W29" i="11"/>
  <c r="X29" i="11"/>
  <c r="Y29" i="11"/>
  <c r="Z29" i="11"/>
  <c r="AA29" i="11"/>
  <c r="V30" i="11"/>
  <c r="W30" i="11"/>
  <c r="X30" i="11"/>
  <c r="Y30" i="11"/>
  <c r="Z30" i="11"/>
  <c r="AA30" i="11"/>
  <c r="V31" i="11"/>
  <c r="W31" i="11"/>
  <c r="X31" i="11"/>
  <c r="Y31" i="11"/>
  <c r="Z31" i="11"/>
  <c r="AA31" i="11"/>
  <c r="V32" i="11"/>
  <c r="W32" i="11"/>
  <c r="X32" i="11"/>
  <c r="Y32" i="11"/>
  <c r="Z32" i="11"/>
  <c r="AA32" i="11"/>
  <c r="V33" i="11"/>
  <c r="W33" i="11"/>
  <c r="X33" i="11"/>
  <c r="Y33" i="11"/>
  <c r="Z33" i="11"/>
  <c r="AA33" i="11"/>
  <c r="V34" i="11"/>
  <c r="W34" i="11"/>
  <c r="X34" i="11"/>
  <c r="Y34" i="11"/>
  <c r="Z34" i="11"/>
  <c r="AA34" i="11"/>
  <c r="V35" i="11"/>
  <c r="W35" i="11"/>
  <c r="X35" i="11"/>
  <c r="Y35" i="11"/>
  <c r="Z35" i="11"/>
  <c r="AA35" i="11"/>
  <c r="V36" i="11"/>
  <c r="W36" i="11"/>
  <c r="X36" i="11"/>
  <c r="Y36" i="11"/>
  <c r="Z36" i="11"/>
  <c r="AA36" i="11"/>
  <c r="V37" i="11"/>
  <c r="W37" i="11"/>
  <c r="X37" i="11"/>
  <c r="Y37" i="11"/>
  <c r="Z37" i="11"/>
  <c r="AA37" i="11"/>
  <c r="V38" i="11"/>
  <c r="W38" i="11"/>
  <c r="X38" i="11"/>
  <c r="Y38" i="11"/>
  <c r="Z38" i="11"/>
  <c r="AA38" i="11"/>
  <c r="V39" i="11"/>
  <c r="W39" i="11"/>
  <c r="X39" i="11"/>
  <c r="Y39" i="11"/>
  <c r="Z39" i="11"/>
  <c r="AA39" i="11"/>
  <c r="V40" i="11"/>
  <c r="W40" i="11"/>
  <c r="X40" i="11"/>
  <c r="Y40" i="11"/>
  <c r="Z40" i="11"/>
  <c r="AA40" i="11"/>
  <c r="W41" i="11"/>
  <c r="X41" i="11"/>
  <c r="Y41" i="11"/>
  <c r="Z41" i="11"/>
  <c r="AA41" i="11"/>
  <c r="W42" i="11"/>
  <c r="X42" i="11"/>
  <c r="Y42" i="11"/>
  <c r="Z42" i="11"/>
  <c r="AA42" i="11"/>
  <c r="W43" i="11"/>
  <c r="X43" i="11"/>
  <c r="Y43" i="11"/>
  <c r="Z43" i="11"/>
  <c r="AA43" i="11"/>
  <c r="W44" i="11"/>
  <c r="X44" i="11"/>
  <c r="Y44" i="11"/>
  <c r="Z44" i="11"/>
  <c r="AA44" i="11"/>
  <c r="W45" i="11"/>
  <c r="X45" i="11"/>
  <c r="Y45" i="11"/>
  <c r="Z45" i="11"/>
  <c r="AA45" i="11"/>
  <c r="W46" i="11"/>
  <c r="X46" i="11"/>
  <c r="Y46" i="11"/>
  <c r="Z46" i="11"/>
  <c r="AA46" i="11"/>
  <c r="E35" i="20"/>
  <c r="F35" i="20"/>
  <c r="W47" i="11"/>
  <c r="X47" i="11"/>
  <c r="Y47" i="11"/>
  <c r="Z47" i="11"/>
  <c r="AA47" i="11"/>
  <c r="W48" i="11"/>
  <c r="X48" i="11"/>
  <c r="Y48" i="11"/>
  <c r="Z48" i="11"/>
  <c r="AA48" i="11"/>
  <c r="W49" i="11"/>
  <c r="X49" i="11"/>
  <c r="Y49" i="11"/>
  <c r="Z49" i="11"/>
  <c r="AA49" i="11"/>
  <c r="W50" i="11"/>
  <c r="X50" i="11"/>
  <c r="Y50" i="11"/>
  <c r="Z50" i="11"/>
  <c r="AA50" i="11"/>
  <c r="V51" i="11"/>
  <c r="W51" i="11"/>
  <c r="X51" i="11"/>
  <c r="Y51" i="11"/>
  <c r="Z51" i="11"/>
  <c r="AA51" i="11"/>
  <c r="V52" i="11"/>
  <c r="W52" i="11"/>
  <c r="X52" i="11"/>
  <c r="Y52" i="11"/>
  <c r="Z52" i="11"/>
  <c r="AA52" i="11"/>
  <c r="V53" i="11"/>
  <c r="W53" i="11"/>
  <c r="X53" i="11"/>
  <c r="Y53" i="11"/>
  <c r="Z53" i="11"/>
  <c r="AA53" i="11"/>
  <c r="V54" i="11"/>
  <c r="W54" i="11"/>
  <c r="X54" i="11"/>
  <c r="Y54" i="11"/>
  <c r="Z54" i="11"/>
  <c r="AA54" i="11"/>
  <c r="V55" i="11"/>
  <c r="W55" i="11"/>
  <c r="X55" i="11"/>
  <c r="Y55" i="11"/>
  <c r="Z55" i="11"/>
  <c r="AA55" i="11"/>
  <c r="V56" i="11"/>
  <c r="W56" i="11"/>
  <c r="X56" i="11"/>
  <c r="Y56" i="11"/>
  <c r="Z56" i="11"/>
  <c r="AA56" i="11"/>
  <c r="V57" i="11"/>
  <c r="W57" i="11"/>
  <c r="X57" i="11"/>
  <c r="Y57" i="11"/>
  <c r="Z57" i="11"/>
  <c r="AA57" i="11"/>
  <c r="V58" i="11"/>
  <c r="W58" i="11"/>
  <c r="X58" i="11"/>
  <c r="Y58" i="11"/>
  <c r="Z58" i="11"/>
  <c r="AA58" i="11"/>
  <c r="V59" i="11"/>
  <c r="W59" i="11"/>
  <c r="X59" i="11"/>
  <c r="Y59" i="11"/>
  <c r="Z59" i="11"/>
  <c r="AA59" i="11"/>
  <c r="V60" i="11"/>
  <c r="W60" i="11"/>
  <c r="X60" i="11"/>
  <c r="Y60" i="11"/>
  <c r="Z60" i="11"/>
  <c r="AA60" i="11"/>
  <c r="V61" i="11"/>
  <c r="W61" i="11"/>
  <c r="X61" i="11"/>
  <c r="Y61" i="11"/>
  <c r="Z61" i="11"/>
  <c r="AA61" i="11"/>
  <c r="D77" i="20" l="1"/>
  <c r="E77" i="20"/>
  <c r="F78" i="20"/>
  <c r="H79" i="20"/>
  <c r="D76" i="20"/>
  <c r="F74" i="20"/>
  <c r="F73" i="20"/>
  <c r="C72" i="20"/>
  <c r="D75" i="20"/>
  <c r="F76" i="20"/>
  <c r="E76" i="20"/>
  <c r="H71" i="20"/>
  <c r="C75" i="20"/>
  <c r="F79" i="20"/>
  <c r="D74" i="20"/>
  <c r="D73" i="20"/>
  <c r="F71" i="20"/>
  <c r="E79" i="20"/>
  <c r="C78" i="20"/>
  <c r="H77" i="20"/>
  <c r="C74" i="20"/>
  <c r="C73" i="20"/>
  <c r="H72" i="20"/>
  <c r="E71" i="20"/>
  <c r="B70" i="20"/>
  <c r="D79" i="20"/>
  <c r="H78" i="20"/>
  <c r="G77" i="20"/>
  <c r="H76" i="20"/>
  <c r="H75" i="20"/>
  <c r="G72" i="20"/>
  <c r="D71" i="20"/>
  <c r="C79" i="20"/>
  <c r="G78" i="20"/>
  <c r="F77" i="20"/>
  <c r="B77" i="20" s="1"/>
  <c r="G76" i="20"/>
  <c r="G75" i="20"/>
  <c r="F72" i="20"/>
  <c r="C71" i="20"/>
  <c r="B69" i="20"/>
  <c r="F75" i="20"/>
  <c r="H74" i="20"/>
  <c r="H73" i="20"/>
  <c r="E72" i="20"/>
  <c r="E78" i="20"/>
  <c r="E75" i="20"/>
  <c r="G74" i="20"/>
  <c r="G73" i="20"/>
  <c r="D72" i="20"/>
  <c r="D78" i="20"/>
  <c r="G79" i="20"/>
  <c r="E74" i="20"/>
  <c r="E73" i="20"/>
  <c r="G71" i="20"/>
  <c r="B28" i="20"/>
  <c r="B27" i="20"/>
  <c r="G35" i="20"/>
  <c r="D35" i="20"/>
  <c r="H35" i="20"/>
  <c r="H34" i="20"/>
  <c r="F34" i="20"/>
  <c r="G32" i="20"/>
  <c r="E30" i="20"/>
  <c r="E32" i="20"/>
  <c r="D34" i="20"/>
  <c r="H31" i="20"/>
  <c r="F29" i="20"/>
  <c r="H33" i="20"/>
  <c r="D32" i="20"/>
  <c r="G31" i="20"/>
  <c r="E29" i="20"/>
  <c r="G33" i="20"/>
  <c r="F31" i="20"/>
  <c r="F33" i="20"/>
  <c r="E31" i="20"/>
  <c r="H30" i="20"/>
  <c r="E33" i="20"/>
  <c r="D31" i="20"/>
  <c r="G30" i="20"/>
  <c r="G34" i="20"/>
  <c r="D33" i="20"/>
  <c r="H32" i="20"/>
  <c r="F30" i="20"/>
  <c r="D29" i="20"/>
  <c r="H29" i="20"/>
  <c r="H41" i="20" s="1"/>
  <c r="E34" i="20"/>
  <c r="F32" i="20"/>
  <c r="D30" i="20"/>
  <c r="G29" i="20"/>
  <c r="V62" i="11"/>
  <c r="W62" i="11"/>
  <c r="Z62" i="11"/>
  <c r="Y62" i="11"/>
  <c r="AA62" i="11"/>
  <c r="X62" i="11"/>
  <c r="P62" i="11"/>
  <c r="E62" i="11" s="1"/>
  <c r="R62" i="11"/>
  <c r="G62" i="11" s="1"/>
  <c r="O62" i="11"/>
  <c r="D62" i="11" s="1"/>
  <c r="Q62" i="11"/>
  <c r="F62" i="11" s="1"/>
  <c r="S62" i="11"/>
  <c r="H62" i="11" s="1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B2" i="3"/>
  <c r="B2" i="1"/>
  <c r="B72" i="20" l="1"/>
  <c r="G83" i="20"/>
  <c r="B76" i="20"/>
  <c r="H83" i="20"/>
  <c r="F83" i="20"/>
  <c r="D83" i="20"/>
  <c r="E83" i="20"/>
  <c r="B75" i="20"/>
  <c r="G41" i="20"/>
  <c r="B71" i="20"/>
  <c r="B78" i="20"/>
  <c r="C83" i="20"/>
  <c r="B73" i="20"/>
  <c r="B79" i="20"/>
  <c r="B74" i="20"/>
  <c r="D41" i="20"/>
  <c r="F41" i="20"/>
  <c r="E41" i="20"/>
  <c r="B29" i="20"/>
  <c r="D36" i="9"/>
  <c r="B32" i="20"/>
  <c r="B35" i="20"/>
  <c r="B33" i="20"/>
  <c r="B30" i="20"/>
  <c r="B31" i="20"/>
  <c r="AB62" i="11"/>
  <c r="B83" i="20" l="1"/>
  <c r="B41" i="20"/>
  <c r="N62" i="11"/>
  <c r="T62" i="11" s="1"/>
  <c r="I62" i="11" s="1"/>
  <c r="B34" i="20" l="1"/>
  <c r="N9" i="20"/>
  <c r="S9" i="20" l="1"/>
  <c r="Q9" i="20"/>
  <c r="O9" i="20"/>
  <c r="R9" i="20"/>
  <c r="P9" i="20"/>
  <c r="M20" i="20"/>
  <c r="Q8" i="20"/>
  <c r="M9" i="20"/>
  <c r="N20" i="20"/>
  <c r="S8" i="20"/>
  <c r="P20" i="20"/>
  <c r="R8" i="20"/>
  <c r="O20" i="20"/>
  <c r="P8" i="20"/>
  <c r="Q20" i="20"/>
  <c r="O8" i="20"/>
</calcChain>
</file>

<file path=xl/sharedStrings.xml><?xml version="1.0" encoding="utf-8"?>
<sst xmlns="http://schemas.openxmlformats.org/spreadsheetml/2006/main" count="638" uniqueCount="241">
  <si>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</si>
  <si>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</si>
  <si>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</si>
  <si>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</si>
  <si>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</si>
  <si>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</si>
  <si>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</si>
  <si>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</si>
  <si>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</si>
  <si>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</si>
  <si>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</si>
  <si>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</si>
  <si>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</si>
  <si>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</si>
  <si>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</si>
  <si>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</si>
  <si>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</si>
  <si>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</si>
  <si>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</si>
  <si>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</si>
  <si>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</si>
  <si>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</si>
  <si>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</si>
  <si>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</si>
  <si>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</si>
  <si>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</si>
  <si>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</si>
  <si>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</si>
  <si>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</si>
  <si>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</si>
  <si>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</si>
  <si>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</si>
  <si>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</si>
  <si>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</si>
  <si>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</si>
  <si>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</si>
  <si>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</si>
  <si>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</si>
  <si>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</si>
  <si>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</si>
  <si>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</si>
  <si>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</si>
  <si>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</si>
  <si>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</si>
  <si>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</si>
  <si>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</si>
  <si>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</si>
  <si>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</si>
  <si>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</si>
  <si>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</si>
  <si>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</si>
  <si>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</si>
  <si>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</si>
  <si>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</si>
  <si>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</si>
  <si>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</si>
  <si>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</si>
  <si>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</si>
  <si>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</si>
  <si>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</si>
  <si>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</si>
  <si>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</si>
  <si>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</si>
  <si>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</si>
  <si>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</si>
  <si>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</si>
  <si>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</si>
  <si>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</si>
  <si>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</si>
  <si>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</si>
  <si>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</si>
  <si>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</si>
  <si>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</si>
  <si>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</si>
  <si>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</si>
  <si>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</si>
  <si>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</si>
  <si>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</si>
  <si>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</si>
  <si>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</si>
  <si>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</si>
  <si>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</si>
  <si>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</si>
  <si>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</si>
  <si>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</si>
  <si>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</si>
  <si>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</si>
  <si>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</si>
  <si>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</si>
  <si>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</si>
  <si>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</si>
  <si>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</si>
  <si>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</si>
  <si>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</si>
  <si>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</si>
  <si>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</si>
  <si>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</si>
  <si>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</si>
  <si>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</si>
  <si>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</si>
  <si>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</si>
  <si>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</si>
  <si>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</si>
  <si>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</si>
  <si>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</si>
  <si>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</si>
  <si>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</si>
  <si>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</si>
  <si>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</si>
  <si>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</si>
  <si>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</si>
  <si>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</si>
  <si>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</si>
  <si>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</si>
  <si>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</si>
  <si>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</si>
  <si>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</si>
  <si>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</si>
  <si>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</si>
  <si>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</si>
  <si>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</si>
  <si>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</si>
  <si>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</si>
  <si>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</si>
  <si>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</si>
  <si>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</si>
  <si>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</si>
  <si>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</si>
  <si>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</si>
  <si>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</si>
  <si>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</si>
  <si>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</si>
  <si>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</si>
  <si>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</si>
  <si>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</si>
  <si>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</si>
  <si>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</si>
  <si>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</si>
  <si>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</si>
  <si>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</si>
  <si>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</si>
  <si>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</si>
  <si>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</si>
  <si>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</si>
  <si>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</si>
  <si>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</si>
  <si>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Individual Time Spent</t>
  </si>
  <si>
    <t>Individual Costs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</si>
  <si>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</si>
  <si>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</si>
  <si>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</si>
  <si>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</si>
  <si>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</si>
  <si>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</si>
  <si>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</si>
  <si>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</si>
  <si>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>Write code for LEDs - On, Off, Blink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</si>
  <si>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</si>
  <si>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</si>
  <si>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</si>
  <si>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</si>
  <si>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</si>
  <si>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</si>
  <si>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</si>
  <si>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</si>
  <si>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</si>
  <si>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</si>
  <si>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Cody &amp; Andrei</t>
  </si>
  <si>
    <t>Weekly Task Hours</t>
  </si>
  <si>
    <t>Weekly Meeting Hours</t>
  </si>
  <si>
    <t>Andrei Project Planner</t>
  </si>
  <si>
    <t>Z or C</t>
  </si>
  <si>
    <t>Calibration - PWM</t>
  </si>
  <si>
    <t>Calibration - OpenCV</t>
  </si>
  <si>
    <t>Calibration - Encoders</t>
  </si>
  <si>
    <t>Calibration - Ultrasonic sensors</t>
  </si>
  <si>
    <t>Develop Tech Memo - Encoders</t>
  </si>
  <si>
    <t>Develop Tech Memo - Ultrasonic Sensors</t>
  </si>
  <si>
    <t>Mechanical Drawing</t>
  </si>
  <si>
    <t>Per Person</t>
  </si>
  <si>
    <t>Task</t>
  </si>
  <si>
    <t>Hours</t>
  </si>
  <si>
    <t>Task Cost</t>
  </si>
  <si>
    <t>[Ignore] For Chart Formatting</t>
  </si>
  <si>
    <t>Meeting Planning</t>
  </si>
  <si>
    <t>Gather hardware manuals along with examples for hardware implementations</t>
  </si>
  <si>
    <t>Came up with requirements for system and modules</t>
  </si>
  <si>
    <t>Derive Requirements for sensors</t>
  </si>
  <si>
    <t>Wrote a summary and requirement report for ultrasonic sensors</t>
  </si>
  <si>
    <t>Python Motor idea implementation</t>
  </si>
  <si>
    <t>Wrapped memory access logic in class – modularization</t>
  </si>
  <si>
    <t>Finish up task list, updated burn list, and started gantt</t>
  </si>
  <si>
    <t>Python Sensor idea implementation</t>
  </si>
  <si>
    <t>Explore opencv object detection</t>
  </si>
  <si>
    <t>Create and train Haar cascades for various ‘brick’ faces</t>
  </si>
  <si>
    <t>Created initial revision of pre-pdr gantt</t>
  </si>
  <si>
    <t>Retrain cascades with new samples – shell script automation</t>
  </si>
  <si>
    <t>Worked on Gantt and organizing files</t>
  </si>
  <si>
    <t>Came up with test plan for system and modules</t>
  </si>
  <si>
    <t>Organized Files in folders</t>
  </si>
  <si>
    <t>Further Organized and Updated Gantt</t>
  </si>
  <si>
    <t>Researched OpenCV functionality with python</t>
  </si>
  <si>
    <t>Worked on Powerpoint and Gantt. Communicated with team</t>
  </si>
  <si>
    <t>Brainstormed project's application and purpose</t>
  </si>
  <si>
    <t>Created Powerpoint skeleton and updated Gantt.</t>
  </si>
  <si>
    <t>Designed VHDL block dragrams for sensor modules.</t>
  </si>
  <si>
    <t>Wrote VHDL for sensor modules.</t>
  </si>
  <si>
    <t>Added OpenCV and python module to PDR</t>
  </si>
  <si>
    <t>Cleaned up Burn Report and added intro into slides</t>
  </si>
  <si>
    <t>Drove to fire station and interviewed with firemen to get ideas on how to help them</t>
  </si>
  <si>
    <t>Added requirements for the system as a whole and for each subsystem to PDR</t>
  </si>
  <si>
    <t>Added hardware overview and test plan to PDR</t>
  </si>
  <si>
    <t>Worked on PP</t>
  </si>
  <si>
    <t>Finalized PP</t>
  </si>
  <si>
    <t>Researched localization and other algorithms</t>
  </si>
  <si>
    <t>Created Individual Gantt Charts for each team member</t>
  </si>
  <si>
    <t>Created basic Memory Access Unit tests in Python and C</t>
  </si>
  <si>
    <t>Added more metrics to our Planner and combined reports/created dashboard for flexibility</t>
  </si>
  <si>
    <t>Messing around with dashboard and charts</t>
  </si>
  <si>
    <t>Experimenting creation of time card</t>
  </si>
  <si>
    <t>Calibration - IMU</t>
  </si>
  <si>
    <t>Develop Tech Memo - Dashboard</t>
  </si>
  <si>
    <t>Fix Rover Wheel</t>
  </si>
  <si>
    <t>Inspect Broken Rover Wheel</t>
  </si>
  <si>
    <t>Develop Tech Memo - IMU</t>
  </si>
  <si>
    <t>Create AXI wrapper</t>
  </si>
  <si>
    <t>Create Ultrasonic sensor Module</t>
  </si>
  <si>
    <t>Create PWM Module</t>
  </si>
  <si>
    <t>Create IMU Module Reassert</t>
  </si>
  <si>
    <t>Ba &amp; Z</t>
  </si>
  <si>
    <t>Software Requirement</t>
  </si>
  <si>
    <t>Create Movement Functions</t>
  </si>
  <si>
    <t>Create Encoder Functions</t>
  </si>
  <si>
    <t>Python System Logic Flow</t>
  </si>
  <si>
    <t>C Memory Access</t>
  </si>
  <si>
    <t>New Folder CDR</t>
  </si>
  <si>
    <t>New Folder PDR</t>
  </si>
  <si>
    <t>Weekly Total Costs</t>
  </si>
  <si>
    <t>Meeting</t>
  </si>
  <si>
    <t>All</t>
  </si>
  <si>
    <t>Expected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</si>
</sst>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\$* #,##0.00_);_(\$* \(#,##0.00\);_(\$* \-??_);_(@_)"/>
    <numFmt numFmtId="165" formatCode="\$#,##0.00"/>
    <numFmt numFmtId="166" formatCode="0.0"/>
    <numFmt numFmtId="167" formatCode="&quot;$&quot;#,##0.00"/>
    <numFmt numFmtId="168" formatCode="mm/dd/yy"/>
  </numFmts>
  <fonts count="59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sz val="12"/>
      <color rgb="FF000000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1" tint="0.24994659260841701"/>
      <name val="Calibri"/>
      <family val="2"/>
    </font>
    <font>
      <b/>
      <sz val="12"/>
      <color theme="1"/>
      <name val="Calibri Light"/>
      <family val="2"/>
      <scheme val="major"/>
    </font>
    <font>
      <sz val="12"/>
      <color theme="1" tint="0.24994659260841701"/>
      <name val="Calibri"/>
      <family val="2"/>
    </font>
    <font>
      <b/>
      <sz val="13"/>
      <color theme="7"/>
      <name val="Calibri Light"/>
      <family val="2"/>
      <scheme val="major"/>
    </font>
    <font>
      <b/>
      <sz val="13"/>
      <color theme="7"/>
      <name val="Calibri"/>
      <family val="2"/>
    </font>
    <font>
      <sz val="11"/>
      <color rgb="FF000000"/>
      <name val="Calibri Light"/>
      <family val="2"/>
    </font>
    <font>
      <sz val="12"/>
      <color theme="1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 tint="0.24994659260841701"/>
      <name val="Calibri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3"/>
      <color theme="1" tint="0.24994659260841701"/>
      <name val="Calibri"/>
      <family val="2"/>
      <scheme val="minor"/>
    </font>
    <font>
      <sz val="11"/>
      <color theme="1"/>
      <name val="Calibri"/>
      <family val="2"/>
    </font>
    <font>
      <sz val="13"/>
      <color theme="1" tint="0.24994659260841701"/>
      <name val="Calibri"/>
      <family val="2"/>
    </font>
    <font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  <fill>
      <patternFill patternType="solid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7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theme="1"/>
      </right>
      <top style="thin">
        <color auto="1"/>
      </top>
      <bottom/>
      <diagonal/>
    </border>
    <border>
      <left style="medium">
        <color auto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 style="thin">
        <color auto="1"/>
      </right>
      <top/>
      <bottom style="thin">
        <color theme="1"/>
      </bottom>
      <diagonal/>
    </border>
    <border>
      <left style="medium">
        <color auto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theme="1"/>
      </right>
      <top/>
      <bottom style="medium">
        <color auto="1"/>
      </bottom>
      <diagonal/>
    </border>
    <border>
      <left style="thin">
        <color auto="1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auto="1"/>
      </bottom>
      <diagonal/>
    </border>
  </borders>
  <cellStyleXfs count="26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10" fillId="2" borderId="0" applyBorder="0" applyProtection="0"/>
    <xf numFmtId="0" fontId="23" fillId="0" borderId="0"/>
    <xf numFmtId="164" fontId="23" fillId="0" borderId="0" applyBorder="0" applyProtection="0"/>
    <xf numFmtId="0" fontId="22" fillId="0" borderId="0"/>
    <xf numFmtId="0" fontId="29" fillId="15" borderId="0" applyNumberFormat="0" applyBorder="0" applyAlignment="0" applyProtection="0"/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Protection="0">
      <alignment horizontal="center" vertical="center"/>
    </xf>
    <xf numFmtId="0" fontId="32" fillId="0" borderId="0" applyNumberFormat="0" applyFill="0" applyBorder="0" applyProtection="0">
      <alignment vertical="center"/>
    </xf>
    <xf numFmtId="1" fontId="33" fillId="16" borderId="43">
      <alignment horizontal="center" vertical="center"/>
    </xf>
    <xf numFmtId="0" fontId="31" fillId="17" borderId="44" applyNumberFormat="0" applyFont="0" applyAlignment="0">
      <alignment horizontal="center"/>
    </xf>
    <xf numFmtId="0" fontId="34" fillId="0" borderId="0" applyNumberFormat="0" applyFill="0" applyBorder="0" applyProtection="0">
      <alignment horizontal="left" vertical="center"/>
    </xf>
    <xf numFmtId="0" fontId="31" fillId="18" borderId="47" applyNumberFormat="0" applyFont="0" applyAlignment="0">
      <alignment horizontal="center"/>
    </xf>
    <xf numFmtId="0" fontId="31" fillId="19" borderId="47" applyNumberFormat="0" applyFont="0" applyAlignment="0">
      <alignment horizontal="center"/>
    </xf>
    <xf numFmtId="0" fontId="31" fillId="20" borderId="47" applyNumberFormat="0" applyFont="0" applyAlignment="0">
      <alignment horizontal="center"/>
    </xf>
    <xf numFmtId="0" fontId="36" fillId="0" borderId="0" applyFill="0" applyProtection="0">
      <alignment vertical="center"/>
    </xf>
    <xf numFmtId="0" fontId="36" fillId="0" borderId="0" applyFill="0" applyProtection="0">
      <alignment horizontal="center" vertical="center" wrapText="1"/>
    </xf>
    <xf numFmtId="0" fontId="36" fillId="0" borderId="0" applyFill="0" applyProtection="0">
      <alignment horizontal="left"/>
    </xf>
    <xf numFmtId="0" fontId="36" fillId="0" borderId="0" applyFill="0" applyBorder="0" applyProtection="0">
      <alignment horizontal="center" wrapText="1"/>
    </xf>
    <xf numFmtId="3" fontId="36" fillId="0" borderId="49" applyFill="0" applyProtection="0">
      <alignment horizontal="center"/>
    </xf>
    <xf numFmtId="0" fontId="37" fillId="0" borderId="0" applyFill="0" applyBorder="0" applyProtection="0">
      <alignment horizontal="left" wrapText="1"/>
    </xf>
    <xf numFmtId="9" fontId="41" fillId="0" borderId="0" applyFill="0" applyBorder="0" applyProtection="0">
      <alignment horizontal="center" vertical="center"/>
    </xf>
    <xf numFmtId="0" fontId="45" fillId="0" borderId="0" applyNumberFormat="0" applyFill="0" applyBorder="0" applyAlignment="0" applyProtection="0">
      <alignment horizontal="center" vertical="center"/>
    </xf>
  </cellStyleXfs>
  <cellXfs count="307">
    <xf numFmtId="0" fontId="0" fillId="0" borderId="0" xfId="0"/>
    <xf numFmtId="0" fontId="5" fillId="0" borderId="0" xfId="3" applyNumberFormat="1" applyFont="1" applyFill="1" applyBorder="1" applyAlignment="1" applyProtection="1">
      <alignment horizontal="center" vertical="center"/>
    </xf>
    <xf numFmtId="0" fontId="1" fillId="0" borderId="0" xfId="3" applyNumberFormat="1" applyFont="1" applyFill="1" applyBorder="1" applyAlignment="1" applyProtection="1">
      <alignment horizontal="left" wrapText="1"/>
    </xf>
    <xf numFmtId="0" fontId="1" fillId="0" borderId="0" xfId="3" applyNumberFormat="1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/>
    </xf>
    <xf numFmtId="9" fontId="6" fillId="0" borderId="0" xfId="3" applyNumberFormat="1" applyFont="1" applyFill="1" applyBorder="1" applyAlignment="1" applyProtection="1">
      <alignment horizontal="center" vertical="center"/>
    </xf>
    <xf numFmtId="0" fontId="3" fillId="0" borderId="0" xfId="3" applyFont="1" applyFill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0" fontId="3" fillId="0" borderId="0" xfId="3" applyNumberFormat="1" applyFont="1" applyFill="1" applyBorder="1" applyAlignment="1" applyProtection="1">
      <alignment horizontal="center"/>
    </xf>
    <xf numFmtId="1" fontId="8" fillId="6" borderId="3" xfId="3" applyNumberFormat="1" applyFont="1" applyFill="1" applyBorder="1" applyAlignment="1">
      <alignment horizontal="center" vertical="center"/>
    </xf>
    <xf numFmtId="1" fontId="8" fillId="6" borderId="3" xfId="3" applyNumberFormat="1" applyFont="1" applyFill="1" applyBorder="1" applyAlignment="1">
      <alignment horizontal="center" vertical="center"/>
    </xf>
    <xf numFmtId="0" fontId="0" fillId="7" borderId="4" xfId="3" applyFont="1" applyFill="1" applyBorder="1" applyAlignment="1">
      <alignment horizontal="center"/>
    </xf>
    <xf numFmtId="0" fontId="0" fillId="5" borderId="1" xfId="3" applyNumberFormat="1" applyFont="1" applyFill="1" applyBorder="1" applyAlignment="1">
      <alignment horizontal="center"/>
    </xf>
    <xf numFmtId="0" fontId="10" fillId="2" borderId="1" xfId="3" applyBorder="1" applyAlignment="1" applyProtection="1">
      <alignment horizontal="center"/>
    </xf>
    <xf numFmtId="0" fontId="0" fillId="4" borderId="1" xfId="3" applyNumberFormat="1" applyFont="1" applyFill="1" applyBorder="1" applyAlignment="1">
      <alignment horizontal="center"/>
    </xf>
    <xf numFmtId="0" fontId="0" fillId="3" borderId="1" xfId="3" applyNumberFormat="1" applyFont="1" applyFill="1" applyBorder="1" applyAlignment="1">
      <alignment horizontal="center"/>
    </xf>
    <xf numFmtId="0" fontId="5" fillId="0" borderId="0" xfId="3" applyNumberFormat="1" applyFont="1" applyFill="1" applyBorder="1" applyAlignment="1" applyProtection="1">
      <alignment vertical="center" wrapText="1"/>
    </xf>
    <xf numFmtId="0" fontId="4" fillId="0" borderId="0" xfId="3" applyNumberFormat="1" applyFont="1" applyFill="1" applyBorder="1" applyAlignment="1" applyProtection="1">
      <alignment horizontal="left"/>
    </xf>
    <xf numFmtId="0" fontId="4" fillId="0" borderId="0" xfId="3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 wrapText="1"/>
    </xf>
    <xf numFmtId="0" fontId="5" fillId="0" borderId="8" xfId="3" applyNumberFormat="1" applyFont="1" applyFill="1" applyBorder="1" applyAlignment="1" applyProtection="1">
      <alignment vertical="center"/>
    </xf>
    <xf numFmtId="0" fontId="7" fillId="0" borderId="0" xfId="3" applyNumberFormat="1" applyFont="1" applyFill="1" applyBorder="1" applyAlignment="1" applyProtection="1">
      <alignment horizontal="center" wrapText="1"/>
    </xf>
    <xf numFmtId="3" fontId="4" fillId="0" borderId="2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 vertical="center"/>
    </xf>
    <xf numFmtId="0" fontId="11" fillId="8" borderId="0" xfId="3" applyNumberFormat="1" applyFont="1" applyFill="1" applyBorder="1" applyAlignment="1" applyProtection="1">
      <alignment horizontal="left" wrapText="1"/>
    </xf>
    <xf numFmtId="0" fontId="12" fillId="8" borderId="0" xfId="3" applyNumberFormat="1" applyFont="1" applyFill="1" applyBorder="1" applyAlignment="1" applyProtection="1">
      <alignment horizontal="center" wrapText="1"/>
    </xf>
    <xf numFmtId="1" fontId="13" fillId="8" borderId="0" xfId="3" applyNumberFormat="1" applyFont="1" applyFill="1" applyBorder="1" applyAlignment="1" applyProtection="1">
      <alignment horizontal="center"/>
    </xf>
    <xf numFmtId="0" fontId="13" fillId="8" borderId="0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/>
    </xf>
    <xf numFmtId="0" fontId="11" fillId="0" borderId="0" xfId="3" applyNumberFormat="1" applyFont="1" applyFill="1" applyBorder="1" applyAlignment="1" applyProtection="1">
      <alignment horizontal="left" wrapText="1"/>
    </xf>
    <xf numFmtId="0" fontId="12" fillId="0" borderId="0" xfId="3" applyNumberFormat="1" applyFont="1" applyFill="1" applyBorder="1" applyAlignment="1" applyProtection="1">
      <alignment horizontal="center" wrapText="1"/>
    </xf>
    <xf numFmtId="0" fontId="13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wrapText="1" indent="3"/>
    </xf>
    <xf numFmtId="0" fontId="11" fillId="0" borderId="0" xfId="3" applyNumberFormat="1" applyFont="1" applyFill="1" applyBorder="1" applyAlignment="1" applyProtection="1">
      <alignment horizontal="left"/>
    </xf>
    <xf numFmtId="0" fontId="15" fillId="8" borderId="0" xfId="3" applyNumberFormat="1" applyFont="1" applyFill="1" applyBorder="1" applyAlignment="1" applyProtection="1">
      <alignment horizontal="left" indent="3"/>
    </xf>
    <xf numFmtId="0" fontId="12" fillId="8" borderId="0" xfId="3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left" indent="4"/>
    </xf>
    <xf numFmtId="0" fontId="17" fillId="0" borderId="0" xfId="3" applyNumberFormat="1" applyFont="1" applyFill="1" applyBorder="1" applyAlignment="1" applyProtection="1">
      <alignment horizontal="center" wrapText="1"/>
    </xf>
    <xf numFmtId="0" fontId="12" fillId="0" borderId="0" xfId="3" applyNumberFormat="1" applyFont="1" applyFill="1" applyBorder="1" applyAlignment="1" applyProtection="1">
      <alignment horizontal="left" indent="6"/>
    </xf>
    <xf numFmtId="0" fontId="17" fillId="0" borderId="0" xfId="3" applyNumberFormat="1" applyFont="1" applyFill="1" applyBorder="1" applyAlignment="1" applyProtection="1">
      <alignment horizontal="center"/>
    </xf>
    <xf numFmtId="0" fontId="15" fillId="8" borderId="0" xfId="3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3" applyNumberFormat="1" applyFont="1" applyFill="1" applyBorder="1" applyAlignment="1" applyProtection="1">
      <alignment horizontal="center"/>
    </xf>
    <xf numFmtId="0" fontId="5" fillId="0" borderId="0" xfId="3" applyNumberFormat="1" applyFont="1" applyFill="1" applyBorder="1" applyAlignment="1" applyProtection="1">
      <alignment horizontal="left" indent="3"/>
    </xf>
    <xf numFmtId="0" fontId="5" fillId="0" borderId="0" xfId="3" applyNumberFormat="1" applyFont="1" applyFill="1" applyBorder="1" applyAlignment="1" applyProtection="1">
      <alignment horizontal="left" indent="6"/>
    </xf>
    <xf numFmtId="0" fontId="19" fillId="0" borderId="0" xfId="0" applyFont="1" applyAlignment="1">
      <alignment horizontal="center"/>
    </xf>
    <xf numFmtId="0" fontId="18" fillId="0" borderId="0" xfId="3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0" fillId="0" borderId="0" xfId="3" applyNumberFormat="1" applyFont="1" applyFill="1" applyBorder="1" applyAlignment="1" applyProtection="1">
      <alignment horizontal="left" wrapText="1" indent="3"/>
    </xf>
    <xf numFmtId="0" fontId="20" fillId="0" borderId="0" xfId="3" applyNumberFormat="1" applyFont="1" applyFill="1" applyBorder="1" applyAlignment="1" applyProtection="1">
      <alignment horizontal="left" wrapText="1" indent="6"/>
    </xf>
    <xf numFmtId="0" fontId="20" fillId="0" borderId="0" xfId="3" applyNumberFormat="1" applyFont="1" applyFill="1" applyBorder="1" applyAlignment="1" applyProtection="1">
      <alignment horizontal="left" wrapText="1" indent="1"/>
    </xf>
    <xf numFmtId="0" fontId="18" fillId="0" borderId="0" xfId="3" applyNumberFormat="1" applyFont="1" applyFill="1" applyBorder="1" applyAlignment="1" applyProtection="1">
      <alignment horizontal="center" vertical="center"/>
    </xf>
    <xf numFmtId="0" fontId="18" fillId="0" borderId="0" xfId="3" applyNumberFormat="1" applyFont="1" applyFill="1" applyBorder="1" applyAlignment="1" applyProtection="1">
      <alignment horizontal="left" wrapText="1" indent="3"/>
    </xf>
    <xf numFmtId="0" fontId="18" fillId="0" borderId="0" xfId="3" applyNumberFormat="1" applyFont="1" applyFill="1" applyBorder="1" applyAlignment="1" applyProtection="1">
      <alignment horizontal="left" wrapText="1" indent="6"/>
    </xf>
    <xf numFmtId="0" fontId="5" fillId="0" borderId="0" xfId="3" applyNumberFormat="1" applyFont="1" applyFill="1" applyBorder="1" applyAlignment="1" applyProtection="1">
      <alignment horizontal="left" wrapText="1" indent="3"/>
    </xf>
    <xf numFmtId="0" fontId="21" fillId="0" borderId="0" xfId="3" applyNumberFormat="1" applyFont="1" applyFill="1" applyBorder="1" applyAlignment="1" applyProtection="1">
      <alignment horizontal="center"/>
    </xf>
    <xf numFmtId="0" fontId="18" fillId="0" borderId="9" xfId="3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23" fillId="0" borderId="0" xfId="4"/>
    <xf numFmtId="14" fontId="23" fillId="0" borderId="19" xfId="4" applyNumberForma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 applyAlignment="1">
      <alignment horizontal="center"/>
    </xf>
    <xf numFmtId="0" fontId="24" fillId="0" borderId="22" xfId="4" applyFont="1" applyBorder="1" applyAlignment="1">
      <alignment horizontal="center"/>
    </xf>
    <xf numFmtId="0" fontId="24" fillId="0" borderId="23" xfId="4" applyFont="1" applyBorder="1" applyAlignment="1">
      <alignment horizontal="center"/>
    </xf>
    <xf numFmtId="0" fontId="25" fillId="0" borderId="0" xfId="4" applyFont="1"/>
    <xf numFmtId="0" fontId="23" fillId="0" borderId="30" xfId="4" applyFont="1" applyBorder="1"/>
    <xf numFmtId="0" fontId="23" fillId="0" borderId="36" xfId="4" applyFont="1" applyBorder="1"/>
    <xf numFmtId="164" fontId="0" fillId="0" borderId="24" xfId="5" applyFont="1" applyBorder="1" applyAlignment="1" applyProtection="1"/>
    <xf numFmtId="164" fontId="0" fillId="0" borderId="0" xfId="5" applyFont="1" applyBorder="1" applyAlignment="1" applyProtection="1"/>
    <xf numFmtId="0" fontId="23" fillId="0" borderId="38" xfId="4" applyBorder="1"/>
    <xf numFmtId="0" fontId="23" fillId="0" borderId="40" xfId="4" applyFont="1" applyBorder="1"/>
    <xf numFmtId="0" fontId="23" fillId="0" borderId="19" xfId="4" applyFont="1" applyBorder="1"/>
    <xf numFmtId="0" fontId="26" fillId="0" borderId="41" xfId="6" applyFont="1" applyBorder="1" applyAlignment="1">
      <alignment horizontal="center"/>
    </xf>
    <xf numFmtId="0" fontId="26" fillId="0" borderId="42" xfId="6" applyFont="1" applyBorder="1" applyAlignment="1">
      <alignment horizontal="center"/>
    </xf>
    <xf numFmtId="0" fontId="27" fillId="0" borderId="21" xfId="4" applyFont="1" applyBorder="1" applyAlignment="1">
      <alignment horizontal="center"/>
    </xf>
    <xf numFmtId="0" fontId="28" fillId="0" borderId="23" xfId="4" applyFont="1" applyBorder="1"/>
    <xf numFmtId="0" fontId="22" fillId="0" borderId="0" xfId="6"/>
    <xf numFmtId="165" fontId="22" fillId="0" borderId="0" xfId="6" applyNumberFormat="1"/>
    <xf numFmtId="14" fontId="22" fillId="0" borderId="0" xfId="6" applyNumberFormat="1" applyAlignment="1">
      <alignment horizontal="center"/>
    </xf>
    <xf numFmtId="0" fontId="26" fillId="0" borderId="0" xfId="6" applyFont="1"/>
    <xf numFmtId="0" fontId="26" fillId="0" borderId="0" xfId="6" applyFont="1" applyAlignment="1">
      <alignment horizontal="center"/>
    </xf>
    <xf numFmtId="0" fontId="26" fillId="0" borderId="0" xfId="6" applyFont="1" applyAlignment="1"/>
    <xf numFmtId="0" fontId="30" fillId="0" borderId="0" xfId="8">
      <alignment vertical="center"/>
    </xf>
    <xf numFmtId="0" fontId="30" fillId="0" borderId="0" xfId="8" applyAlignment="1">
      <alignment horizontal="center" vertical="center"/>
    </xf>
    <xf numFmtId="0" fontId="30" fillId="0" borderId="0" xfId="9" applyAlignment="1">
      <alignment horizontal="center"/>
    </xf>
    <xf numFmtId="0" fontId="31" fillId="0" borderId="0" xfId="10" applyAlignment="1">
      <alignment horizontal="center"/>
    </xf>
    <xf numFmtId="0" fontId="31" fillId="0" borderId="0" xfId="10">
      <alignment horizontal="center" vertical="center"/>
    </xf>
    <xf numFmtId="1" fontId="33" fillId="16" borderId="43" xfId="12">
      <alignment horizontal="center" vertical="center"/>
    </xf>
    <xf numFmtId="0" fontId="0" fillId="17" borderId="44" xfId="13" applyFont="1" applyAlignment="1">
      <alignment horizontal="center"/>
    </xf>
    <xf numFmtId="0" fontId="0" fillId="18" borderId="47" xfId="15" applyFont="1" applyAlignment="1">
      <alignment horizontal="center"/>
    </xf>
    <xf numFmtId="0" fontId="29" fillId="15" borderId="47" xfId="7" applyBorder="1" applyAlignment="1">
      <alignment horizontal="center"/>
    </xf>
    <xf numFmtId="0" fontId="0" fillId="19" borderId="47" xfId="16" applyFont="1" applyAlignment="1">
      <alignment horizontal="center"/>
    </xf>
    <xf numFmtId="0" fontId="0" fillId="20" borderId="47" xfId="17" applyFont="1" applyAlignment="1">
      <alignment horizontal="center"/>
    </xf>
    <xf numFmtId="0" fontId="36" fillId="0" borderId="0" xfId="20">
      <alignment horizontal="left"/>
    </xf>
    <xf numFmtId="0" fontId="36" fillId="0" borderId="0" xfId="21" applyAlignment="1">
      <alignment horizontal="center" wrapText="1"/>
    </xf>
    <xf numFmtId="0" fontId="31" fillId="0" borderId="0" xfId="10" applyAlignment="1">
      <alignment horizontal="center" wrapText="1"/>
    </xf>
    <xf numFmtId="0" fontId="31" fillId="0" borderId="0" xfId="10" applyAlignment="1">
      <alignment vertical="center" wrapText="1"/>
    </xf>
    <xf numFmtId="0" fontId="31" fillId="0" borderId="8" xfId="10" applyBorder="1" applyAlignment="1">
      <alignment vertical="center"/>
    </xf>
    <xf numFmtId="3" fontId="36" fillId="0" borderId="49" xfId="22">
      <alignment horizontal="center"/>
    </xf>
    <xf numFmtId="0" fontId="38" fillId="0" borderId="0" xfId="23" applyFont="1">
      <alignment horizontal="left" wrapText="1"/>
    </xf>
    <xf numFmtId="0" fontId="39" fillId="0" borderId="0" xfId="23" applyFont="1" applyAlignment="1">
      <alignment horizontal="center" wrapText="1"/>
    </xf>
    <xf numFmtId="0" fontId="40" fillId="0" borderId="0" xfId="10" applyFont="1" applyAlignment="1">
      <alignment horizontal="center"/>
    </xf>
    <xf numFmtId="9" fontId="42" fillId="0" borderId="0" xfId="24" applyFont="1">
      <alignment horizontal="center" vertical="center"/>
    </xf>
    <xf numFmtId="0" fontId="43" fillId="0" borderId="0" xfId="10" applyFont="1" applyBorder="1" applyAlignment="1">
      <alignment horizontal="left" indent="2"/>
    </xf>
    <xf numFmtId="0" fontId="44" fillId="0" borderId="0" xfId="10" applyFont="1" applyBorder="1" applyAlignment="1">
      <alignment horizontal="center"/>
    </xf>
    <xf numFmtId="0" fontId="45" fillId="0" borderId="0" xfId="25" applyAlignment="1">
      <alignment horizontal="left" indent="2"/>
    </xf>
    <xf numFmtId="0" fontId="44" fillId="0" borderId="0" xfId="10" applyFont="1" applyAlignment="1">
      <alignment horizontal="center"/>
    </xf>
    <xf numFmtId="0" fontId="31" fillId="0" borderId="0" xfId="10" applyAlignment="1">
      <alignment horizontal="left" indent="2"/>
    </xf>
    <xf numFmtId="0" fontId="31" fillId="0" borderId="0" xfId="10" applyAlignment="1">
      <alignment horizontal="left" indent="4"/>
    </xf>
    <xf numFmtId="0" fontId="46" fillId="0" borderId="0" xfId="0" applyFont="1" applyAlignment="1">
      <alignment horizontal="left" indent="2"/>
    </xf>
    <xf numFmtId="0" fontId="31" fillId="0" borderId="0" xfId="10" applyFont="1" applyAlignment="1">
      <alignment horizontal="left" indent="2"/>
    </xf>
    <xf numFmtId="0" fontId="38" fillId="21" borderId="0" xfId="23" applyFont="1" applyFill="1">
      <alignment horizontal="left" wrapText="1"/>
    </xf>
    <xf numFmtId="0" fontId="44" fillId="21" borderId="0" xfId="23" applyFont="1" applyFill="1" applyAlignment="1">
      <alignment horizontal="center" wrapText="1"/>
    </xf>
    <xf numFmtId="0" fontId="40" fillId="21" borderId="0" xfId="10" applyFont="1" applyFill="1" applyAlignment="1">
      <alignment horizontal="center"/>
    </xf>
    <xf numFmtId="9" fontId="42" fillId="21" borderId="0" xfId="24" applyFont="1" applyFill="1">
      <alignment horizontal="center" vertical="center"/>
    </xf>
    <xf numFmtId="0" fontId="31" fillId="21" borderId="0" xfId="10" applyFill="1" applyAlignment="1">
      <alignment horizontal="center"/>
    </xf>
    <xf numFmtId="0" fontId="31" fillId="21" borderId="0" xfId="10" applyFill="1">
      <alignment horizontal="center" vertical="center"/>
    </xf>
    <xf numFmtId="0" fontId="44" fillId="0" borderId="0" xfId="23" applyFont="1" applyAlignment="1">
      <alignment horizontal="center" wrapText="1"/>
    </xf>
    <xf numFmtId="0" fontId="47" fillId="0" borderId="0" xfId="23" applyFont="1" applyAlignment="1">
      <alignment horizontal="left" wrapText="1" indent="2"/>
    </xf>
    <xf numFmtId="0" fontId="47" fillId="0" borderId="0" xfId="23" applyFont="1" applyAlignment="1">
      <alignment horizontal="left" wrapText="1" indent="4"/>
    </xf>
    <xf numFmtId="0" fontId="47" fillId="0" borderId="0" xfId="23" applyFont="1" applyAlignment="1">
      <alignment horizontal="left" wrapText="1" indent="1"/>
    </xf>
    <xf numFmtId="0" fontId="44" fillId="0" borderId="0" xfId="10" applyFont="1" applyBorder="1" applyAlignment="1">
      <alignment horizontal="center" vertical="center"/>
    </xf>
    <xf numFmtId="0" fontId="44" fillId="0" borderId="0" xfId="23" applyFont="1" applyAlignment="1">
      <alignment horizontal="left" wrapText="1" indent="2"/>
    </xf>
    <xf numFmtId="0" fontId="44" fillId="0" borderId="0" xfId="23" applyFont="1" applyAlignment="1">
      <alignment horizontal="left" wrapText="1" indent="4"/>
    </xf>
    <xf numFmtId="0" fontId="48" fillId="0" borderId="0" xfId="23" applyFont="1" applyAlignment="1">
      <alignment horizontal="left" wrapText="1" indent="2"/>
    </xf>
    <xf numFmtId="0" fontId="48" fillId="0" borderId="0" xfId="10" applyFont="1" applyAlignment="1">
      <alignment horizontal="left" indent="2"/>
    </xf>
    <xf numFmtId="0" fontId="31" fillId="0" borderId="0" xfId="23" applyFont="1" applyAlignment="1">
      <alignment horizontal="left" wrapText="1" indent="2"/>
    </xf>
    <xf numFmtId="0" fontId="49" fillId="0" borderId="0" xfId="10" applyFont="1" applyAlignment="1">
      <alignment horizontal="center"/>
    </xf>
    <xf numFmtId="0" fontId="50" fillId="0" borderId="0" xfId="10" applyFont="1" applyAlignment="1">
      <alignment horizontal="left"/>
    </xf>
    <xf numFmtId="0" fontId="35" fillId="0" borderId="0" xfId="10" applyFont="1" applyAlignment="1">
      <alignment horizontal="center"/>
    </xf>
    <xf numFmtId="0" fontId="51" fillId="0" borderId="0" xfId="23" applyFont="1" applyAlignment="1">
      <alignment horizontal="center" wrapText="1"/>
    </xf>
    <xf numFmtId="0" fontId="52" fillId="0" borderId="0" xfId="23" applyFont="1" applyAlignment="1">
      <alignment horizontal="center" wrapText="1"/>
    </xf>
    <xf numFmtId="0" fontId="37" fillId="0" borderId="0" xfId="23">
      <alignment horizontal="left" wrapText="1"/>
    </xf>
    <xf numFmtId="0" fontId="37" fillId="0" borderId="0" xfId="23" applyAlignment="1">
      <alignment horizontal="center" wrapText="1"/>
    </xf>
    <xf numFmtId="9" fontId="41" fillId="0" borderId="0" xfId="24">
      <alignment horizontal="center" vertical="center"/>
    </xf>
    <xf numFmtId="0" fontId="25" fillId="11" borderId="17" xfId="4" applyFont="1" applyFill="1" applyBorder="1" applyAlignment="1">
      <alignment horizontal="right"/>
    </xf>
    <xf numFmtId="166" fontId="25" fillId="11" borderId="15" xfId="4" applyNumberFormat="1" applyFont="1" applyFill="1" applyBorder="1" applyAlignment="1">
      <alignment horizontal="center"/>
    </xf>
    <xf numFmtId="0" fontId="27" fillId="11" borderId="17" xfId="4" applyFont="1" applyFill="1" applyBorder="1" applyAlignment="1">
      <alignment horizontal="right"/>
    </xf>
    <xf numFmtId="2" fontId="22" fillId="0" borderId="0" xfId="6" applyNumberFormat="1"/>
    <xf numFmtId="167" fontId="22" fillId="0" borderId="0" xfId="6" applyNumberFormat="1"/>
    <xf numFmtId="0" fontId="16" fillId="0" borderId="0" xfId="3" applyNumberFormat="1" applyFont="1" applyFill="1" applyBorder="1" applyAlignment="1" applyProtection="1">
      <alignment horizontal="center"/>
    </xf>
    <xf numFmtId="0" fontId="53" fillId="0" borderId="0" xfId="10" applyFont="1" applyAlignment="1">
      <alignment horizontal="left" indent="6"/>
    </xf>
    <xf numFmtId="0" fontId="26" fillId="0" borderId="0" xfId="6" applyFont="1" applyAlignment="1">
      <alignment horizontal="left"/>
    </xf>
    <xf numFmtId="14" fontId="26" fillId="0" borderId="50" xfId="6" applyNumberFormat="1" applyFont="1" applyBorder="1" applyAlignment="1">
      <alignment horizontal="center"/>
    </xf>
    <xf numFmtId="14" fontId="26" fillId="0" borderId="42" xfId="6" applyNumberFormat="1" applyFont="1" applyBorder="1" applyAlignment="1">
      <alignment horizontal="center"/>
    </xf>
    <xf numFmtId="0" fontId="26" fillId="0" borderId="51" xfId="6" applyFont="1" applyBorder="1" applyAlignment="1">
      <alignment horizontal="center"/>
    </xf>
    <xf numFmtId="165" fontId="26" fillId="0" borderId="20" xfId="4" applyNumberFormat="1" applyFont="1" applyBorder="1" applyAlignment="1" applyProtection="1">
      <alignment horizontal="center"/>
    </xf>
    <xf numFmtId="14" fontId="22" fillId="0" borderId="52" xfId="6" applyNumberFormat="1" applyFont="1" applyBorder="1" applyAlignment="1">
      <alignment horizontal="center"/>
    </xf>
    <xf numFmtId="14" fontId="22" fillId="0" borderId="0" xfId="6" applyNumberFormat="1" applyFont="1" applyBorder="1" applyAlignment="1">
      <alignment horizontal="left" wrapText="1"/>
    </xf>
    <xf numFmtId="0" fontId="22" fillId="0" borderId="53" xfId="6" applyFont="1" applyBorder="1" applyAlignment="1">
      <alignment horizontal="center"/>
    </xf>
    <xf numFmtId="0" fontId="26" fillId="0" borderId="54" xfId="6" applyFont="1" applyBorder="1" applyAlignment="1">
      <alignment horizontal="center"/>
    </xf>
    <xf numFmtId="0" fontId="26" fillId="0" borderId="55" xfId="6" applyFont="1" applyBorder="1" applyAlignment="1">
      <alignment horizontal="center"/>
    </xf>
    <xf numFmtId="165" fontId="22" fillId="0" borderId="56" xfId="6" applyNumberFormat="1" applyBorder="1" applyAlignment="1">
      <alignment horizontal="center"/>
    </xf>
    <xf numFmtId="14" fontId="22" fillId="0" borderId="36" xfId="6" applyNumberFormat="1" applyFont="1" applyBorder="1" applyAlignment="1">
      <alignment horizontal="center"/>
    </xf>
    <xf numFmtId="14" fontId="22" fillId="0" borderId="18" xfId="6" applyNumberFormat="1" applyFont="1" applyBorder="1" applyAlignment="1">
      <alignment horizontal="left" wrapText="1"/>
    </xf>
    <xf numFmtId="0" fontId="22" fillId="0" borderId="57" xfId="6" applyFont="1" applyBorder="1" applyAlignment="1">
      <alignment horizontal="center"/>
    </xf>
    <xf numFmtId="0" fontId="22" fillId="0" borderId="0" xfId="6" applyFont="1" applyBorder="1" applyAlignment="1">
      <alignment horizontal="center"/>
    </xf>
    <xf numFmtId="0" fontId="26" fillId="0" borderId="0" xfId="6" applyFont="1" applyBorder="1" applyAlignment="1">
      <alignment horizontal="center"/>
    </xf>
    <xf numFmtId="14" fontId="22" fillId="0" borderId="19" xfId="6" applyNumberFormat="1" applyBorder="1" applyAlignment="1">
      <alignment horizontal="center"/>
    </xf>
    <xf numFmtId="14" fontId="22" fillId="0" borderId="18" xfId="6" applyNumberFormat="1" applyFont="1" applyBorder="1" applyAlignment="1">
      <alignment wrapText="1"/>
    </xf>
    <xf numFmtId="0" fontId="22" fillId="0" borderId="18" xfId="6" applyBorder="1" applyAlignment="1">
      <alignment horizontal="center"/>
    </xf>
    <xf numFmtId="0" fontId="22" fillId="0" borderId="0" xfId="6" applyBorder="1" applyAlignment="1">
      <alignment horizontal="center"/>
    </xf>
    <xf numFmtId="0" fontId="22" fillId="0" borderId="18" xfId="6" applyFont="1" applyBorder="1" applyAlignment="1">
      <alignment wrapText="1"/>
    </xf>
    <xf numFmtId="168" fontId="22" fillId="0" borderId="19" xfId="6" applyNumberFormat="1" applyBorder="1" applyAlignment="1">
      <alignment horizontal="center"/>
    </xf>
    <xf numFmtId="0" fontId="22" fillId="0" borderId="18" xfId="6" applyFont="1" applyBorder="1" applyAlignment="1">
      <alignment horizontal="center"/>
    </xf>
    <xf numFmtId="0" fontId="22" fillId="0" borderId="54" xfId="6" applyBorder="1" applyAlignment="1">
      <alignment horizontal="center"/>
    </xf>
    <xf numFmtId="0" fontId="22" fillId="0" borderId="55" xfId="6" applyBorder="1" applyAlignment="1">
      <alignment horizontal="center"/>
    </xf>
    <xf numFmtId="165" fontId="22" fillId="0" borderId="24" xfId="6" applyNumberFormat="1" applyBorder="1" applyAlignment="1">
      <alignment horizontal="center"/>
    </xf>
    <xf numFmtId="0" fontId="0" fillId="0" borderId="18" xfId="6" applyFont="1" applyBorder="1" applyAlignment="1">
      <alignment wrapText="1"/>
    </xf>
    <xf numFmtId="0" fontId="22" fillId="0" borderId="18" xfId="6" applyFont="1" applyFill="1" applyBorder="1" applyAlignment="1">
      <alignment wrapText="1"/>
    </xf>
    <xf numFmtId="0" fontId="22" fillId="0" borderId="18" xfId="6" applyBorder="1" applyAlignment="1">
      <alignment wrapText="1"/>
    </xf>
    <xf numFmtId="14" fontId="22" fillId="0" borderId="58" xfId="6" applyNumberFormat="1" applyBorder="1" applyAlignment="1">
      <alignment horizontal="center"/>
    </xf>
    <xf numFmtId="0" fontId="26" fillId="10" borderId="59" xfId="6" applyFont="1" applyFill="1" applyBorder="1" applyAlignment="1">
      <alignment horizontal="right"/>
    </xf>
    <xf numFmtId="0" fontId="26" fillId="10" borderId="60" xfId="6" applyFont="1" applyFill="1" applyBorder="1" applyAlignment="1">
      <alignment horizontal="center"/>
    </xf>
    <xf numFmtId="0" fontId="26" fillId="10" borderId="37" xfId="6" applyFont="1" applyFill="1" applyBorder="1" applyAlignment="1">
      <alignment horizontal="center"/>
    </xf>
    <xf numFmtId="165" fontId="26" fillId="10" borderId="61" xfId="6" applyNumberFormat="1" applyFont="1" applyFill="1" applyBorder="1" applyAlignment="1">
      <alignment horizontal="center"/>
    </xf>
    <xf numFmtId="0" fontId="26" fillId="0" borderId="62" xfId="6" applyFont="1" applyBorder="1" applyAlignment="1">
      <alignment horizontal="center"/>
    </xf>
    <xf numFmtId="0" fontId="26" fillId="0" borderId="13" xfId="6" applyFont="1" applyBorder="1" applyAlignment="1">
      <alignment horizontal="center"/>
    </xf>
    <xf numFmtId="165" fontId="26" fillId="0" borderId="12" xfId="4" applyNumberFormat="1" applyFont="1" applyBorder="1" applyAlignment="1" applyProtection="1">
      <alignment horizontal="center"/>
    </xf>
    <xf numFmtId="0" fontId="11" fillId="21" borderId="0" xfId="3" applyNumberFormat="1" applyFont="1" applyFill="1" applyBorder="1" applyAlignment="1" applyProtection="1">
      <alignment horizontal="left" wrapText="1"/>
    </xf>
    <xf numFmtId="0" fontId="12" fillId="21" borderId="0" xfId="3" applyNumberFormat="1" applyFont="1" applyFill="1" applyBorder="1" applyAlignment="1" applyProtection="1">
      <alignment horizontal="center" wrapText="1"/>
    </xf>
    <xf numFmtId="0" fontId="13" fillId="21" borderId="0" xfId="3" applyNumberFormat="1" applyFont="1" applyFill="1" applyBorder="1" applyAlignment="1" applyProtection="1">
      <alignment horizontal="center"/>
    </xf>
    <xf numFmtId="9" fontId="54" fillId="8" borderId="0" xfId="3" applyNumberFormat="1" applyFont="1" applyFill="1" applyBorder="1" applyAlignment="1" applyProtection="1">
      <alignment horizontal="center" vertical="center"/>
    </xf>
    <xf numFmtId="9" fontId="54" fillId="0" borderId="0" xfId="3" applyNumberFormat="1" applyFont="1" applyFill="1" applyBorder="1" applyAlignment="1" applyProtection="1">
      <alignment horizontal="center" vertical="center"/>
    </xf>
    <xf numFmtId="9" fontId="54" fillId="0" borderId="0" xfId="24" applyFont="1">
      <alignment horizontal="center" vertical="center"/>
    </xf>
    <xf numFmtId="0" fontId="23" fillId="0" borderId="0" xfId="4" applyAlignment="1">
      <alignment horizontal="center"/>
    </xf>
    <xf numFmtId="0" fontId="23" fillId="0" borderId="25" xfId="4" applyBorder="1" applyAlignment="1">
      <alignment horizontal="center"/>
    </xf>
    <xf numFmtId="0" fontId="24" fillId="0" borderId="63" xfId="4" applyFont="1" applyBorder="1" applyAlignment="1">
      <alignment horizontal="center"/>
    </xf>
    <xf numFmtId="0" fontId="23" fillId="0" borderId="64" xfId="4" applyBorder="1" applyAlignment="1">
      <alignment horizontal="center"/>
    </xf>
    <xf numFmtId="0" fontId="23" fillId="0" borderId="56" xfId="4" applyBorder="1" applyAlignment="1">
      <alignment horizontal="center"/>
    </xf>
    <xf numFmtId="2" fontId="25" fillId="21" borderId="16" xfId="4" applyNumberFormat="1" applyFont="1" applyFill="1" applyBorder="1"/>
    <xf numFmtId="166" fontId="25" fillId="21" borderId="15" xfId="4" applyNumberFormat="1" applyFont="1" applyFill="1" applyBorder="1"/>
    <xf numFmtId="166" fontId="25" fillId="21" borderId="14" xfId="4" applyNumberFormat="1" applyFont="1" applyFill="1" applyBorder="1"/>
    <xf numFmtId="2" fontId="26" fillId="21" borderId="16" xfId="1" applyNumberFormat="1" applyFont="1" applyFill="1" applyBorder="1"/>
    <xf numFmtId="2" fontId="26" fillId="21" borderId="15" xfId="1" applyNumberFormat="1" applyFont="1" applyFill="1" applyBorder="1"/>
    <xf numFmtId="2" fontId="26" fillId="21" borderId="14" xfId="1" applyNumberFormat="1" applyFont="1" applyFill="1" applyBorder="1"/>
    <xf numFmtId="2" fontId="23" fillId="21" borderId="18" xfId="4" applyNumberFormat="1" applyFill="1" applyBorder="1" applyAlignment="1">
      <alignment horizontal="center"/>
    </xf>
    <xf numFmtId="2" fontId="23" fillId="0" borderId="0" xfId="5" applyNumberFormat="1" applyBorder="1"/>
    <xf numFmtId="2" fontId="56" fillId="14" borderId="0" xfId="4" applyNumberFormat="1" applyFont="1" applyFill="1" applyBorder="1"/>
    <xf numFmtId="0" fontId="55" fillId="14" borderId="0" xfId="5" applyNumberFormat="1" applyFont="1" applyFill="1" applyBorder="1" applyAlignment="1" applyProtection="1"/>
    <xf numFmtId="0" fontId="55" fillId="14" borderId="24" xfId="5" applyNumberFormat="1" applyFont="1" applyFill="1" applyBorder="1" applyAlignment="1" applyProtection="1"/>
    <xf numFmtId="0" fontId="56" fillId="12" borderId="34" xfId="4" applyFont="1" applyFill="1" applyBorder="1"/>
    <xf numFmtId="0" fontId="56" fillId="12" borderId="33" xfId="4" applyFont="1" applyFill="1" applyBorder="1"/>
    <xf numFmtId="0" fontId="56" fillId="12" borderId="32" xfId="4" applyFont="1" applyFill="1" applyBorder="1"/>
    <xf numFmtId="0" fontId="56" fillId="12" borderId="31" xfId="4" applyFont="1" applyFill="1" applyBorder="1"/>
    <xf numFmtId="2" fontId="56" fillId="14" borderId="24" xfId="4" applyNumberFormat="1" applyFont="1" applyFill="1" applyBorder="1"/>
    <xf numFmtId="167" fontId="55" fillId="14" borderId="13" xfId="5" applyNumberFormat="1" applyFont="1" applyFill="1" applyBorder="1" applyAlignment="1" applyProtection="1"/>
    <xf numFmtId="167" fontId="55" fillId="14" borderId="39" xfId="5" applyNumberFormat="1" applyFont="1" applyFill="1" applyBorder="1" applyAlignment="1" applyProtection="1"/>
    <xf numFmtId="167" fontId="55" fillId="12" borderId="26" xfId="5" applyNumberFormat="1" applyFont="1" applyFill="1" applyBorder="1" applyAlignment="1" applyProtection="1">
      <alignment horizontal="left"/>
    </xf>
    <xf numFmtId="167" fontId="55" fillId="12" borderId="28" xfId="5" applyNumberFormat="1" applyFont="1" applyFill="1" applyBorder="1" applyAlignment="1" applyProtection="1">
      <alignment horizontal="left"/>
    </xf>
    <xf numFmtId="167" fontId="55" fillId="12" borderId="27" xfId="5" applyNumberFormat="1" applyFont="1" applyFill="1" applyBorder="1" applyAlignment="1" applyProtection="1">
      <alignment horizontal="left"/>
    </xf>
    <xf numFmtId="167" fontId="55" fillId="12" borderId="25" xfId="5" applyNumberFormat="1" applyFont="1" applyFill="1" applyBorder="1" applyAlignment="1" applyProtection="1">
      <alignment horizontal="left"/>
    </xf>
    <xf numFmtId="167" fontId="23" fillId="21" borderId="18" xfId="4" applyNumberFormat="1" applyFill="1" applyBorder="1" applyAlignment="1">
      <alignment horizontal="center"/>
    </xf>
    <xf numFmtId="167" fontId="23" fillId="0" borderId="0" xfId="5" applyNumberFormat="1" applyBorder="1"/>
    <xf numFmtId="167" fontId="25" fillId="21" borderId="16" xfId="4" applyNumberFormat="1" applyFont="1" applyFill="1" applyBorder="1"/>
    <xf numFmtId="167" fontId="25" fillId="21" borderId="15" xfId="4" applyNumberFormat="1" applyFont="1" applyFill="1" applyBorder="1"/>
    <xf numFmtId="167" fontId="26" fillId="11" borderId="15" xfId="1" applyNumberFormat="1" applyFont="1" applyFill="1" applyBorder="1"/>
    <xf numFmtId="167" fontId="26" fillId="21" borderId="16" xfId="1" applyNumberFormat="1" applyFont="1" applyFill="1" applyBorder="1"/>
    <xf numFmtId="167" fontId="26" fillId="21" borderId="15" xfId="1" applyNumberFormat="1" applyFont="1" applyFill="1" applyBorder="1"/>
    <xf numFmtId="167" fontId="26" fillId="21" borderId="14" xfId="1" applyNumberFormat="1" applyFont="1" applyFill="1" applyBorder="1"/>
    <xf numFmtId="164" fontId="0" fillId="13" borderId="65" xfId="5" applyFont="1" applyFill="1" applyBorder="1" applyAlignment="1" applyProtection="1"/>
    <xf numFmtId="167" fontId="23" fillId="12" borderId="18" xfId="4" applyNumberFormat="1" applyFill="1" applyBorder="1"/>
    <xf numFmtId="2" fontId="23" fillId="12" borderId="67" xfId="4" applyNumberFormat="1" applyFill="1" applyBorder="1"/>
    <xf numFmtId="0" fontId="27" fillId="0" borderId="68" xfId="4" applyFont="1" applyBorder="1" applyAlignment="1">
      <alignment horizontal="center"/>
    </xf>
    <xf numFmtId="0" fontId="23" fillId="0" borderId="69" xfId="4" applyFont="1" applyBorder="1"/>
    <xf numFmtId="0" fontId="23" fillId="0" borderId="70" xfId="4" applyFont="1" applyBorder="1"/>
    <xf numFmtId="2" fontId="23" fillId="12" borderId="71" xfId="4" applyNumberFormat="1" applyFill="1" applyBorder="1"/>
    <xf numFmtId="0" fontId="27" fillId="0" borderId="72" xfId="4" applyFont="1" applyBorder="1" applyAlignment="1">
      <alignment horizontal="center"/>
    </xf>
    <xf numFmtId="167" fontId="23" fillId="12" borderId="73" xfId="4" applyNumberFormat="1" applyFill="1" applyBorder="1"/>
    <xf numFmtId="167" fontId="56" fillId="14" borderId="74" xfId="4" applyNumberFormat="1" applyFont="1" applyFill="1" applyBorder="1"/>
    <xf numFmtId="167" fontId="56" fillId="14" borderId="75" xfId="4" applyNumberFormat="1" applyFont="1" applyFill="1" applyBorder="1"/>
    <xf numFmtId="0" fontId="23" fillId="0" borderId="76" xfId="4" applyFont="1" applyBorder="1"/>
    <xf numFmtId="0" fontId="23" fillId="0" borderId="77" xfId="4" applyFont="1" applyBorder="1"/>
    <xf numFmtId="167" fontId="23" fillId="12" borderId="78" xfId="4" applyNumberFormat="1" applyFill="1" applyBorder="1"/>
    <xf numFmtId="2" fontId="23" fillId="12" borderId="79" xfId="4" applyNumberFormat="1" applyFill="1" applyBorder="1"/>
    <xf numFmtId="2" fontId="56" fillId="12" borderId="31" xfId="4" applyNumberFormat="1" applyFont="1" applyFill="1" applyBorder="1"/>
    <xf numFmtId="167" fontId="58" fillId="10" borderId="29" xfId="5" applyNumberFormat="1" applyFont="1" applyFill="1" applyBorder="1" applyAlignment="1" applyProtection="1">
      <alignment horizontal="left"/>
    </xf>
    <xf numFmtId="0" fontId="57" fillId="10" borderId="35" xfId="4" applyFont="1" applyFill="1" applyBorder="1"/>
    <xf numFmtId="2" fontId="25" fillId="11" borderId="15" xfId="4" applyNumberFormat="1" applyFont="1" applyFill="1" applyBorder="1" applyAlignment="1">
      <alignment horizontal="center"/>
    </xf>
    <xf numFmtId="2" fontId="57" fillId="10" borderId="35" xfId="4" applyNumberFormat="1" applyFont="1" applyFill="1" applyBorder="1" applyAlignment="1">
      <alignment horizontal="center"/>
    </xf>
    <xf numFmtId="2" fontId="56" fillId="12" borderId="34" xfId="4" applyNumberFormat="1" applyFont="1" applyFill="1" applyBorder="1" applyAlignment="1">
      <alignment horizontal="center"/>
    </xf>
    <xf numFmtId="0" fontId="56" fillId="12" borderId="33" xfId="4" applyFont="1" applyFill="1" applyBorder="1" applyAlignment="1">
      <alignment horizontal="center"/>
    </xf>
    <xf numFmtId="0" fontId="56" fillId="12" borderId="32" xfId="4" applyFont="1" applyFill="1" applyBorder="1" applyAlignment="1">
      <alignment horizontal="center"/>
    </xf>
    <xf numFmtId="0" fontId="56" fillId="12" borderId="31" xfId="4" applyFont="1" applyFill="1" applyBorder="1" applyAlignment="1">
      <alignment horizontal="center"/>
    </xf>
    <xf numFmtId="167" fontId="58" fillId="10" borderId="29" xfId="5" applyNumberFormat="1" applyFont="1" applyFill="1" applyBorder="1" applyAlignment="1" applyProtection="1">
      <alignment horizontal="center"/>
    </xf>
    <xf numFmtId="167" fontId="55" fillId="12" borderId="26" xfId="5" applyNumberFormat="1" applyFont="1" applyFill="1" applyBorder="1" applyAlignment="1" applyProtection="1">
      <alignment horizontal="center"/>
    </xf>
    <xf numFmtId="167" fontId="55" fillId="12" borderId="28" xfId="5" applyNumberFormat="1" applyFont="1" applyFill="1" applyBorder="1" applyAlignment="1" applyProtection="1">
      <alignment horizontal="center"/>
    </xf>
    <xf numFmtId="167" fontId="55" fillId="12" borderId="27" xfId="5" applyNumberFormat="1" applyFont="1" applyFill="1" applyBorder="1" applyAlignment="1" applyProtection="1">
      <alignment horizontal="center"/>
    </xf>
    <xf numFmtId="167" fontId="55" fillId="12" borderId="25" xfId="5" applyNumberFormat="1" applyFont="1" applyFill="1" applyBorder="1" applyAlignment="1" applyProtection="1">
      <alignment horizontal="center"/>
    </xf>
    <xf numFmtId="2" fontId="23" fillId="12" borderId="66" xfId="4" applyNumberFormat="1" applyFill="1" applyBorder="1" applyAlignment="1">
      <alignment horizontal="right"/>
    </xf>
    <xf numFmtId="167" fontId="23" fillId="12" borderId="73" xfId="4" applyNumberFormat="1" applyFill="1" applyBorder="1" applyAlignment="1">
      <alignment horizontal="right"/>
    </xf>
    <xf numFmtId="2" fontId="23" fillId="12" borderId="67" xfId="4" applyNumberFormat="1" applyFill="1" applyBorder="1" applyAlignment="1">
      <alignment horizontal="right"/>
    </xf>
    <xf numFmtId="167" fontId="23" fillId="12" borderId="18" xfId="4" applyNumberFormat="1" applyFill="1" applyBorder="1" applyAlignment="1">
      <alignment horizontal="right"/>
    </xf>
    <xf numFmtId="0" fontId="23" fillId="0" borderId="81" xfId="4" applyBorder="1"/>
    <xf numFmtId="0" fontId="23" fillId="22" borderId="80" xfId="4" applyFill="1" applyBorder="1"/>
    <xf numFmtId="167" fontId="23" fillId="22" borderId="80" xfId="4" applyNumberFormat="1" applyFill="1" applyBorder="1"/>
    <xf numFmtId="0" fontId="23" fillId="0" borderId="80" xfId="4" applyBorder="1"/>
    <xf numFmtId="0" fontId="23" fillId="0" borderId="82" xfId="4" applyBorder="1"/>
    <xf numFmtId="0" fontId="23" fillId="0" borderId="24" xfId="4" applyBorder="1" applyAlignment="1">
      <alignment horizontal="center"/>
    </xf>
    <xf numFmtId="167" fontId="23" fillId="0" borderId="57" xfId="5" applyNumberFormat="1" applyBorder="1"/>
    <xf numFmtId="167" fontId="25" fillId="11" borderId="16" xfId="4" applyNumberFormat="1" applyFont="1" applyFill="1" applyBorder="1" applyAlignment="1">
      <alignment horizontal="center"/>
    </xf>
    <xf numFmtId="0" fontId="24" fillId="0" borderId="0" xfId="4" applyFont="1" applyBorder="1" applyAlignment="1">
      <alignment horizontal="center"/>
    </xf>
    <xf numFmtId="0" fontId="25" fillId="0" borderId="84" xfId="4" applyFont="1" applyBorder="1"/>
    <xf numFmtId="0" fontId="23" fillId="0" borderId="51" xfId="4" applyBorder="1"/>
    <xf numFmtId="167" fontId="23" fillId="0" borderId="83" xfId="5" applyNumberFormat="1" applyBorder="1"/>
    <xf numFmtId="0" fontId="23" fillId="0" borderId="85" xfId="4" applyBorder="1" applyAlignment="1">
      <alignment horizontal="center"/>
    </xf>
    <xf numFmtId="0" fontId="23" fillId="0" borderId="86" xfId="4" applyBorder="1" applyAlignment="1">
      <alignment horizontal="center"/>
    </xf>
    <xf numFmtId="14" fontId="23" fillId="0" borderId="87" xfId="4" applyNumberFormat="1" applyBorder="1" applyAlignment="1">
      <alignment horizontal="center"/>
    </xf>
    <xf numFmtId="0" fontId="25" fillId="11" borderId="88" xfId="4" applyFont="1" applyFill="1" applyBorder="1" applyAlignment="1">
      <alignment horizontal="right"/>
    </xf>
    <xf numFmtId="0" fontId="23" fillId="0" borderId="89" xfId="4" applyBorder="1"/>
    <xf numFmtId="2" fontId="57" fillId="10" borderId="35" xfId="4" applyNumberFormat="1" applyFont="1" applyFill="1" applyBorder="1"/>
    <xf numFmtId="14" fontId="23" fillId="22" borderId="80" xfId="4" applyNumberFormat="1" applyFill="1" applyBorder="1"/>
    <xf numFmtId="0" fontId="9" fillId="0" borderId="6" xfId="3" applyNumberFormat="1" applyFont="1" applyFill="1" applyBorder="1" applyAlignment="1" applyProtection="1">
      <alignment horizontal="left" vertical="center"/>
    </xf>
    <xf numFmtId="0" fontId="4" fillId="0" borderId="2" xfId="3" applyNumberFormat="1" applyFont="1" applyFill="1" applyBorder="1" applyAlignment="1" applyProtection="1">
      <alignment vertical="center"/>
    </xf>
    <xf numFmtId="0" fontId="4" fillId="0" borderId="2" xfId="3" applyNumberFormat="1" applyFont="1" applyFill="1" applyBorder="1" applyAlignment="1" applyProtection="1">
      <alignment horizontal="center" vertical="center"/>
    </xf>
    <xf numFmtId="0" fontId="4" fillId="0" borderId="2" xfId="3" applyNumberFormat="1" applyFont="1" applyFill="1" applyBorder="1" applyAlignment="1" applyProtection="1">
      <alignment horizontal="center" vertical="center" wrapText="1"/>
    </xf>
    <xf numFmtId="0" fontId="4" fillId="0" borderId="7" xfId="3" applyNumberFormat="1" applyFont="1" applyFill="1" applyBorder="1" applyAlignment="1" applyProtection="1">
      <alignment horizontal="center" vertical="center" wrapText="1"/>
    </xf>
    <xf numFmtId="14" fontId="2" fillId="0" borderId="0" xfId="3" applyNumberFormat="1" applyFont="1" applyFill="1" applyBorder="1" applyAlignment="1" applyProtection="1">
      <alignment vertical="center"/>
    </xf>
    <xf numFmtId="0" fontId="9" fillId="0" borderId="5" xfId="3" applyNumberFormat="1" applyFont="1" applyFill="1" applyBorder="1" applyAlignment="1" applyProtection="1">
      <alignment horizontal="left" vertical="center"/>
    </xf>
    <xf numFmtId="0" fontId="36" fillId="0" borderId="48" xfId="19" applyBorder="1">
      <alignment horizontal="center" vertical="center" wrapText="1"/>
    </xf>
    <xf numFmtId="0" fontId="36" fillId="0" borderId="49" xfId="19" applyBorder="1">
      <alignment horizontal="center" vertical="center" wrapText="1"/>
    </xf>
    <xf numFmtId="0" fontId="36" fillId="0" borderId="0" xfId="18">
      <alignment vertical="center"/>
    </xf>
    <xf numFmtId="0" fontId="36" fillId="0" borderId="49" xfId="18" applyBorder="1">
      <alignment vertical="center"/>
    </xf>
    <xf numFmtId="0" fontId="36" fillId="0" borderId="0" xfId="18" applyAlignment="1">
      <alignment horizontal="center" vertical="center"/>
    </xf>
    <xf numFmtId="0" fontId="36" fillId="0" borderId="49" xfId="18" applyBorder="1" applyAlignment="1">
      <alignment horizontal="center" vertical="center"/>
    </xf>
    <xf numFmtId="0" fontId="36" fillId="0" borderId="0" xfId="19">
      <alignment horizontal="center" vertical="center" wrapText="1"/>
    </xf>
    <xf numFmtId="0" fontId="0" fillId="0" borderId="45" xfId="14" applyFont="1" applyBorder="1">
      <alignment horizontal="left" vertical="center"/>
    </xf>
    <xf numFmtId="0" fontId="0" fillId="0" borderId="0" xfId="14" applyFont="1" applyBorder="1">
      <alignment horizontal="left" vertical="center"/>
    </xf>
    <xf numFmtId="14" fontId="32" fillId="0" borderId="0" xfId="11" applyNumberFormat="1">
      <alignment vertical="center"/>
    </xf>
    <xf numFmtId="0" fontId="35" fillId="0" borderId="45" xfId="14" applyFont="1" applyBorder="1">
      <alignment horizontal="left" vertical="center"/>
    </xf>
    <xf numFmtId="0" fontId="35" fillId="0" borderId="0" xfId="14" applyFont="1">
      <alignment horizontal="left" vertical="center"/>
    </xf>
    <xf numFmtId="0" fontId="35" fillId="0" borderId="46" xfId="14" applyFont="1" applyBorder="1">
      <alignment horizontal="left" vertical="center"/>
    </xf>
    <xf numFmtId="0" fontId="35" fillId="0" borderId="0" xfId="14" applyFont="1" applyBorder="1">
      <alignment horizontal="left" vertical="center"/>
    </xf>
    <xf numFmtId="0" fontId="0" fillId="0" borderId="46" xfId="14" applyFont="1" applyBorder="1">
      <alignment horizontal="left" vertical="center"/>
    </xf>
    <xf numFmtId="0" fontId="0" fillId="0" borderId="45" xfId="14" applyFont="1" applyBorder="1" applyAlignment="1">
      <alignment horizontal="left" vertical="center"/>
    </xf>
    <xf numFmtId="0" fontId="0" fillId="0" borderId="0" xfId="14" applyFont="1" applyBorder="1" applyAlignment="1">
      <alignment horizontal="left" vertical="center"/>
    </xf>
    <xf numFmtId="0" fontId="0" fillId="0" borderId="46" xfId="14" applyFont="1" applyBorder="1" applyAlignment="1">
      <alignment horizontal="left" vertical="center"/>
    </xf>
  </cellXfs>
  <cellStyles count="26">
    <cellStyle name="% complete (beyond plan) legend" xfId="17"/>
    <cellStyle name="Accent4" xfId="7" builtinId="41"/>
    <cellStyle name="Activity" xfId="23"/>
    <cellStyle name="Actual (beyond plan) legend" xfId="16"/>
    <cellStyle name="Actual legend" xfId="15"/>
    <cellStyle name="Currency" xfId="1" builtinId="4"/>
    <cellStyle name="Currency 2" xfId="5"/>
    <cellStyle name="Explanatory Text" xfId="3" builtinId="53" customBuiltin="1"/>
    <cellStyle name="Explanatory Text 2" xfId="6"/>
    <cellStyle name="Explanatory Text 2 2" xfId="11"/>
    <cellStyle name="Heading 1 2" xfId="9"/>
    <cellStyle name="Heading 2 2" xfId="18"/>
    <cellStyle name="Heading 3 2" xfId="19"/>
    <cellStyle name="Heading 4 2" xfId="20"/>
    <cellStyle name="Hyperlink 2" xfId="25"/>
    <cellStyle name="Label" xfId="14"/>
    <cellStyle name="Normal" xfId="0" builtinId="0"/>
    <cellStyle name="Normal 2" xfId="4"/>
    <cellStyle name="Normal 2 2" xfId="10"/>
    <cellStyle name="Percent" xfId="2" builtinId="5"/>
    <cellStyle name="Percent Complete" xfId="24"/>
    <cellStyle name="Period Headers" xfId="22"/>
    <cellStyle name="Period Value" xfId="12"/>
    <cellStyle name="Plan legend" xfId="13"/>
    <cellStyle name="Project Headers" xfId="21"/>
    <cellStyle name="Title 2" xfId="8"/>
  </cellStyles>
  <dxfs count="287"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border>
        <top style="thin">
          <color auto="1"/>
        </top>
        <vertical/>
        <horizontal/>
      </border>
    </dxf>
    <dxf>
      <fill>
        <patternFill>
          <bgColor theme="9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9" tint="0.39994506668294322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Weekly Task Costs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82329317648243605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Metrics!$C$23</c:f>
              <c:strCache>
                <c:ptCount val="1"/>
                <c:pt idx="0">
                  <c:v>Andrei</c:v>
                </c:pt>
              </c:strCache>
            </c:strRef>
          </c:tx>
          <c:spPr>
            <a:ln w="349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Metrics!$I$24:$I$40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Metrics!$C$24:$C$40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Metrics!$D$23</c:f>
              <c:strCache>
                <c:ptCount val="1"/>
                <c:pt idx="0">
                  <c:v>Bach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Metrics!$I$24:$I$40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Metrics!$D$24:$D$40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Metrics!$E$23</c:f>
              <c:strCache>
                <c:ptCount val="1"/>
                <c:pt idx="0">
                  <c:v>Brandon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Metrics!$I$24:$I$40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Metrics!$E$24:$E$40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Metrics!$F$23</c:f>
              <c:strCache>
                <c:ptCount val="1"/>
                <c:pt idx="0">
                  <c:v>Cody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Metrics!$I$24:$I$40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Metrics!$F$24:$F$40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Metrics!$G$23</c:f>
              <c:strCache>
                <c:ptCount val="1"/>
                <c:pt idx="0">
                  <c:v>Peter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Metrics!$I$24:$I$40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Metrics!$G$24:$G$40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Metrics!$H$23</c:f>
              <c:strCache>
                <c:ptCount val="1"/>
                <c:pt idx="0">
                  <c:v>Zack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Metrics!$I$24:$I$40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Metrics!$H$24:$H$39</c:f>
              <c:numCache>
                <c:formatCode>"$"#,##0.00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726768"/>
        <c:axId val="1739732208"/>
      </c:lineChart>
      <c:catAx>
        <c:axId val="173972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32208"/>
        <c:crosses val="autoZero"/>
        <c:auto val="1"/>
        <c:lblAlgn val="ctr"/>
        <c:lblOffset val="100"/>
        <c:tickLblSkip val="1"/>
        <c:noMultiLvlLbl val="1"/>
      </c:catAx>
      <c:valAx>
        <c:axId val="173973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Metrics!$C$44</c:f>
              <c:strCache>
                <c:ptCount val="1"/>
                <c:pt idx="0">
                  <c:v>Andrei</c:v>
                </c:pt>
              </c:strCache>
            </c:strRef>
          </c:tx>
          <c:spPr>
            <a:ln w="349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Metrics!$I$45:$I$61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Metrics!$C$45:$C$61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Metrics!$D$44</c:f>
              <c:strCache>
                <c:ptCount val="1"/>
                <c:pt idx="0">
                  <c:v>Bach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Metrics!$I$45:$I$61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Metrics!$D$45:$D$61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Metrics!$E$44</c:f>
              <c:strCache>
                <c:ptCount val="1"/>
                <c:pt idx="0">
                  <c:v>Brandon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Metrics!$I$45:$I$61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Metrics!$E$44:$E$61</c:f>
              <c:numCache>
                <c:formatCode>"$"#,##0.00</c:formatCode>
                <c:ptCount val="1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Metrics!$F$44</c:f>
              <c:strCache>
                <c:ptCount val="1"/>
                <c:pt idx="0">
                  <c:v>Cody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Metrics!$I$45:$I$61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Metrics!$F$44:$F$61</c:f>
              <c:numCache>
                <c:formatCode>"$"#,##0.00</c:formatCode>
                <c:ptCount val="1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Metrics!$G$44</c:f>
              <c:strCache>
                <c:ptCount val="1"/>
                <c:pt idx="0">
                  <c:v>Peter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Metrics!$I$45:$I$61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Metrics!$G$44:$G$61</c:f>
              <c:numCache>
                <c:formatCode>"$"#,##0.00</c:formatCode>
                <c:ptCount val="1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Metrics!$H$44</c:f>
              <c:strCache>
                <c:ptCount val="1"/>
                <c:pt idx="0">
                  <c:v>Zack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Metrics!$I$45:$I$61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Metrics!$H$44:$H$61</c:f>
              <c:numCache>
                <c:formatCode>"$"#,##0.00</c:formatCode>
                <c:ptCount val="1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719696"/>
        <c:axId val="1739724592"/>
      </c:lineChart>
      <c:catAx>
        <c:axId val="1739719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  <a:endParaRPr lang="en-US" baseline="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4592"/>
        <c:crosses val="autoZero"/>
        <c:auto val="1"/>
        <c:lblAlgn val="ctr"/>
        <c:lblOffset val="100"/>
        <c:noMultiLvlLbl val="1"/>
      </c:catAx>
      <c:valAx>
        <c:axId val="173972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1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Task Costs vs. Expected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ED1-490C-9AD4-6E5B159629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ED1-490C-9AD4-6E5B1596295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Metrics!$L$34:$L$35</c:f>
              <c:strCache>
                <c:ptCount val="2"/>
                <c:pt idx="0">
                  <c:v>Total Costs</c:v>
                </c:pt>
                <c:pt idx="1">
                  <c:v>Expected Costs</c:v>
                </c:pt>
              </c:strCache>
            </c:strRef>
          </c:cat>
          <c:val>
            <c:numRef>
              <c:f>Metrics!#REF!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9-4FCC-9B87-E553465307BD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Task Costs vs. Expected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Metrics!$L$35</c:f>
              <c:strCache>
                <c:ptCount val="1"/>
                <c:pt idx="0">
                  <c:v>Expected Costs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Metrics!$L$35</c:f>
              <c:strCache>
                <c:ptCount val="1"/>
                <c:pt idx="0">
                  <c:v>Expected Costs</c:v>
                </c:pt>
              </c:strCache>
            </c:strRef>
          </c:cat>
          <c:val>
            <c:numRef>
              <c:f>Metrics!$B$168</c:f>
              <c:numCache>
                <c:formatCode>General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1-4019-B7D7-49BCB42C19A5}"/>
            </c:ext>
          </c:extLst>
        </c:ser>
        <c:ser>
          <c:idx val="1"/>
          <c:order val="1"/>
          <c:tx>
            <c:strRef>
              <c:f>Metrics!$L$34</c:f>
              <c:strCache>
                <c:ptCount val="1"/>
                <c:pt idx="0">
                  <c:v>Total Costs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Metrics!$L$35</c:f>
              <c:strCache>
                <c:ptCount val="1"/>
                <c:pt idx="0">
                  <c:v>Expected Costs</c:v>
                </c:pt>
              </c:strCache>
            </c:strRef>
          </c:cat>
          <c:val>
            <c:numRef>
              <c:f>Metrics!$O$34</c:f>
              <c:numCache>
                <c:formatCode>"$"#,##0.00</c:formatCode>
                <c:ptCount val="1"/>
                <c:pt idx="0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7-4097-B167-041C11A01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739725136"/>
        <c:axId val="1739730032"/>
        <c:axId val="0"/>
      </c:bar3DChart>
      <c:catAx>
        <c:axId val="173972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30032"/>
        <c:crosses val="autoZero"/>
        <c:auto val="1"/>
        <c:lblAlgn val="ctr"/>
        <c:lblOffset val="100"/>
        <c:noMultiLvlLbl val="0"/>
      </c:catAx>
      <c:valAx>
        <c:axId val="17397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Meeting Costs vs. Expected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Metrics!$L$36:$L$37</c:f>
              <c:numCache>
                <c:formatCode>General</c:formatCode>
                <c:ptCount val="2"/>
              </c:numCache>
            </c:numRef>
          </c:cat>
          <c:val>
            <c:numRef>
              <c:f>Metrics!$M$36:$M$37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76B-4616-A3B8-7BD70B4B3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39725680"/>
        <c:axId val="1739729488"/>
        <c:axId val="0"/>
      </c:bar3DChart>
      <c:catAx>
        <c:axId val="17397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9488"/>
        <c:crosses val="autoZero"/>
        <c:auto val="1"/>
        <c:lblAlgn val="ctr"/>
        <c:lblOffset val="100"/>
        <c:noMultiLvlLbl val="0"/>
      </c:catAx>
      <c:valAx>
        <c:axId val="173972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Meeting Costs vs. Expected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3912-414B-815F-34AC35CEDA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3912-414B-815F-34AC35CEDA7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Metrics!$L$36:$L$37</c:f>
              <c:numCache>
                <c:formatCode>General</c:formatCode>
                <c:ptCount val="2"/>
              </c:numCache>
            </c:numRef>
          </c:cat>
          <c:val>
            <c:numRef>
              <c:f>Metrics!$M$36:$M$37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863-44E6-9B8A-5DF63108E03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Costs vs. Expected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numRef>
              <c:f>Metrics!$L$38:$L$39</c:f>
              <c:numCache>
                <c:formatCode>General</c:formatCode>
                <c:ptCount val="2"/>
              </c:numCache>
            </c:numRef>
          </c:cat>
          <c:val>
            <c:numRef>
              <c:f>Metrics!$M$34:$M$35</c:f>
              <c:numCache>
                <c:formatCode>"$"#,##0.00</c:formatCode>
                <c:ptCount val="2"/>
                <c:pt idx="0">
                  <c:v>4850</c:v>
                </c:pt>
                <c:pt idx="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5FE-95B1-9A4FC0DC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39720784"/>
        <c:axId val="1739732752"/>
        <c:axId val="0"/>
      </c:bar3DChart>
      <c:catAx>
        <c:axId val="173972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32752"/>
        <c:crosses val="autoZero"/>
        <c:auto val="1"/>
        <c:lblAlgn val="ctr"/>
        <c:lblOffset val="100"/>
        <c:noMultiLvlLbl val="0"/>
      </c:catAx>
      <c:valAx>
        <c:axId val="173973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Costs vs. Expected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979-407C-951E-0CEDB7D32F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979-407C-951E-0CEDB7D32F6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Metrics!$L$38:$L$39</c:f>
              <c:numCache>
                <c:formatCode>General</c:formatCode>
                <c:ptCount val="2"/>
              </c:numCache>
            </c:numRef>
          </c:cat>
          <c:val>
            <c:numRef>
              <c:f>Metrics!$M$34:$M$35</c:f>
              <c:numCache>
                <c:formatCode>"$"#,##0.00</c:formatCode>
                <c:ptCount val="2"/>
                <c:pt idx="0">
                  <c:v>4850</c:v>
                </c:pt>
                <c:pt idx="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0-45FC-814D-359203DCB0F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Expected</a:t>
            </a:r>
            <a:r>
              <a:rPr lang="en-US" baseline="0"/>
              <a:t> Costs vs Total Costs Cumulative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9"/>
          <c:order val="0"/>
          <c:tx>
            <c:strRef>
              <c:f>Metrics!$L$35</c:f>
              <c:strCache>
                <c:ptCount val="1"/>
                <c:pt idx="0">
                  <c:v>Expected Costs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</c:marker>
          <c:cat>
            <c:numRef>
              <c:f>Metrics!$A$13:$A$19</c:f>
              <c:numCache>
                <c:formatCode>m/d/yyyy</c:formatCode>
                <c:ptCount val="7"/>
                <c:pt idx="0">
                  <c:v>43184</c:v>
                </c:pt>
                <c:pt idx="1">
                  <c:v>43191</c:v>
                </c:pt>
                <c:pt idx="2">
                  <c:v>43198</c:v>
                </c:pt>
                <c:pt idx="3">
                  <c:v>43205</c:v>
                </c:pt>
                <c:pt idx="4">
                  <c:v>43212</c:v>
                </c:pt>
                <c:pt idx="5">
                  <c:v>43219</c:v>
                </c:pt>
                <c:pt idx="6">
                  <c:v>43226</c:v>
                </c:pt>
              </c:numCache>
            </c:numRef>
          </c:cat>
          <c:val>
            <c:numRef>
              <c:f>Metrics!$B$160:$B$168</c:f>
              <c:numCache>
                <c:formatCode>General</c:formatCode>
                <c:ptCount val="9"/>
                <c:pt idx="0">
                  <c:v>0</c:v>
                </c:pt>
                <c:pt idx="1">
                  <c:v>500</c:v>
                </c:pt>
                <c:pt idx="2">
                  <c:v>1500</c:v>
                </c:pt>
                <c:pt idx="3">
                  <c:v>2500</c:v>
                </c:pt>
                <c:pt idx="4">
                  <c:v>3500</c:v>
                </c:pt>
                <c:pt idx="5">
                  <c:v>4500</c:v>
                </c:pt>
                <c:pt idx="6">
                  <c:v>5500</c:v>
                </c:pt>
                <c:pt idx="7">
                  <c:v>6000</c:v>
                </c:pt>
                <c:pt idx="8">
                  <c:v>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A-4F1D-A9D6-BDC0EE2DDC17}"/>
            </c:ext>
          </c:extLst>
        </c:ser>
        <c:ser>
          <c:idx val="0"/>
          <c:order val="1"/>
          <c:tx>
            <c:strRef>
              <c:f>Metrics!$L$34</c:f>
              <c:strCache>
                <c:ptCount val="1"/>
                <c:pt idx="0">
                  <c:v>Total Costs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numRef>
              <c:f>Metrics!$A$13:$A$19</c:f>
              <c:numCache>
                <c:formatCode>m/d/yyyy</c:formatCode>
                <c:ptCount val="7"/>
                <c:pt idx="0">
                  <c:v>43184</c:v>
                </c:pt>
                <c:pt idx="1">
                  <c:v>43191</c:v>
                </c:pt>
                <c:pt idx="2">
                  <c:v>43198</c:v>
                </c:pt>
                <c:pt idx="3">
                  <c:v>43205</c:v>
                </c:pt>
                <c:pt idx="4">
                  <c:v>43212</c:v>
                </c:pt>
                <c:pt idx="5">
                  <c:v>43219</c:v>
                </c:pt>
                <c:pt idx="6">
                  <c:v>43226</c:v>
                </c:pt>
              </c:numCache>
            </c:numRef>
          </c:cat>
          <c:val>
            <c:numRef>
              <c:f>'[1]Burn Report'!$AM$43:$AM$82</c:f>
              <c:numCache>
                <c:formatCode>General</c:formatCode>
                <c:ptCount val="40"/>
                <c:pt idx="0">
                  <c:v>1275</c:v>
                </c:pt>
                <c:pt idx="1">
                  <c:v>1475</c:v>
                </c:pt>
                <c:pt idx="2">
                  <c:v>1475</c:v>
                </c:pt>
                <c:pt idx="3">
                  <c:v>1575</c:v>
                </c:pt>
                <c:pt idx="4">
                  <c:v>1725</c:v>
                </c:pt>
                <c:pt idx="5">
                  <c:v>1825</c:v>
                </c:pt>
                <c:pt idx="6">
                  <c:v>1825</c:v>
                </c:pt>
                <c:pt idx="7">
                  <c:v>1825</c:v>
                </c:pt>
                <c:pt idx="8">
                  <c:v>1825</c:v>
                </c:pt>
                <c:pt idx="9">
                  <c:v>1925</c:v>
                </c:pt>
                <c:pt idx="10">
                  <c:v>1925</c:v>
                </c:pt>
                <c:pt idx="11">
                  <c:v>1925</c:v>
                </c:pt>
                <c:pt idx="12">
                  <c:v>1925</c:v>
                </c:pt>
                <c:pt idx="13">
                  <c:v>1925</c:v>
                </c:pt>
                <c:pt idx="14">
                  <c:v>1925</c:v>
                </c:pt>
                <c:pt idx="15">
                  <c:v>1925</c:v>
                </c:pt>
                <c:pt idx="16">
                  <c:v>1925</c:v>
                </c:pt>
                <c:pt idx="17">
                  <c:v>1925</c:v>
                </c:pt>
                <c:pt idx="18">
                  <c:v>1925</c:v>
                </c:pt>
                <c:pt idx="19">
                  <c:v>1925</c:v>
                </c:pt>
                <c:pt idx="20">
                  <c:v>1925</c:v>
                </c:pt>
                <c:pt idx="21">
                  <c:v>1925</c:v>
                </c:pt>
                <c:pt idx="22">
                  <c:v>1925</c:v>
                </c:pt>
                <c:pt idx="23">
                  <c:v>1925</c:v>
                </c:pt>
                <c:pt idx="24">
                  <c:v>1925</c:v>
                </c:pt>
                <c:pt idx="25">
                  <c:v>2075</c:v>
                </c:pt>
                <c:pt idx="26">
                  <c:v>2075</c:v>
                </c:pt>
                <c:pt idx="27">
                  <c:v>2075</c:v>
                </c:pt>
                <c:pt idx="28">
                  <c:v>2075</c:v>
                </c:pt>
                <c:pt idx="29">
                  <c:v>2075</c:v>
                </c:pt>
                <c:pt idx="30">
                  <c:v>2075</c:v>
                </c:pt>
                <c:pt idx="31">
                  <c:v>2075</c:v>
                </c:pt>
                <c:pt idx="32">
                  <c:v>2075</c:v>
                </c:pt>
                <c:pt idx="33">
                  <c:v>2075</c:v>
                </c:pt>
                <c:pt idx="34">
                  <c:v>2075</c:v>
                </c:pt>
                <c:pt idx="35">
                  <c:v>2075</c:v>
                </c:pt>
                <c:pt idx="36">
                  <c:v>2075</c:v>
                </c:pt>
                <c:pt idx="37">
                  <c:v>2075</c:v>
                </c:pt>
                <c:pt idx="38">
                  <c:v>2075</c:v>
                </c:pt>
                <c:pt idx="39">
                  <c:v>2075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2A-4F1D-A9D6-BDC0EE2D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dk1">
                  <a:lumMod val="35000"/>
                  <a:lumOff val="65000"/>
                </a:schemeClr>
              </a:solidFill>
              <a:prstDash val="dash"/>
            </a:ln>
            <a:effectLst/>
          </c:spPr>
        </c:dropLines>
        <c:marker val="1"/>
        <c:smooth val="0"/>
        <c:axId val="1739727312"/>
        <c:axId val="1739728944"/>
      </c:lineChart>
      <c:dateAx>
        <c:axId val="1739727312"/>
        <c:scaling>
          <c:orientation val="minMax"/>
          <c:max val="43228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8944"/>
        <c:crosses val="autoZero"/>
        <c:auto val="1"/>
        <c:lblOffset val="100"/>
        <c:baseTimeUnit val="days"/>
        <c:majorUnit val="3"/>
        <c:majorTimeUnit val="days"/>
      </c:dateAx>
      <c:valAx>
        <c:axId val="17397289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(Dollars)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7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35449</xdr:colOff>
      <xdr:row>0</xdr:row>
      <xdr:rowOff>0</xdr:rowOff>
    </xdr:from>
    <xdr:to>
      <xdr:col>8</xdr:col>
      <xdr:colOff>1240735</xdr:colOff>
      <xdr:row>10</xdr:row>
      <xdr:rowOff>33130</xdr:rowOff>
    </xdr:to>
    <xdr:sp macro="" textlink="">
      <xdr:nvSpPr>
        <xdr:cNvPr id="27" name="TextBox 26"/>
        <xdr:cNvSpPr txBox="1"/>
      </xdr:nvSpPr>
      <xdr:spPr>
        <a:xfrm>
          <a:off x="7648823" y="0"/>
          <a:ext cx="2596764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/>
            <a:t>Metrics</a:t>
          </a:r>
        </a:p>
      </xdr:txBody>
    </xdr:sp>
    <xdr:clientData/>
  </xdr:twoCellAnchor>
  <xdr:twoCellAnchor>
    <xdr:from>
      <xdr:col>5</xdr:col>
      <xdr:colOff>336936</xdr:colOff>
      <xdr:row>0</xdr:row>
      <xdr:rowOff>0</xdr:rowOff>
    </xdr:from>
    <xdr:to>
      <xdr:col>6</xdr:col>
      <xdr:colOff>1252331</xdr:colOff>
      <xdr:row>10</xdr:row>
      <xdr:rowOff>33130</xdr:rowOff>
    </xdr:to>
    <xdr:sp macro="" textlink="">
      <xdr:nvSpPr>
        <xdr:cNvPr id="26" name="TextBox 25"/>
        <xdr:cNvSpPr txBox="1"/>
      </xdr:nvSpPr>
      <xdr:spPr>
        <a:xfrm>
          <a:off x="4093927" y="0"/>
          <a:ext cx="2598421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754380</xdr:colOff>
      <xdr:row>0</xdr:row>
      <xdr:rowOff>0</xdr:rowOff>
    </xdr:from>
    <xdr:to>
      <xdr:col>5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54380" y="0"/>
          <a:ext cx="3176032" cy="190864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45720</xdr:colOff>
      <xdr:row>6</xdr:row>
      <xdr:rowOff>144780</xdr:rowOff>
    </xdr:from>
    <xdr:to>
      <xdr:col>3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1</xdr:col>
      <xdr:colOff>45720</xdr:colOff>
      <xdr:row>3</xdr:row>
      <xdr:rowOff>99060</xdr:rowOff>
    </xdr:from>
    <xdr:to>
      <xdr:col>3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1</xdr:col>
      <xdr:colOff>30480</xdr:colOff>
      <xdr:row>0</xdr:row>
      <xdr:rowOff>45720</xdr:rowOff>
    </xdr:from>
    <xdr:to>
      <xdr:col>3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891871" y="45720"/>
          <a:ext cx="1318260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95250</xdr:rowOff>
        </xdr:from>
        <xdr:to>
          <xdr:col>2</xdr:col>
          <xdr:colOff>200025</xdr:colOff>
          <xdr:row>3</xdr:row>
          <xdr:rowOff>19050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142875</xdr:rowOff>
        </xdr:from>
        <xdr:to>
          <xdr:col>2</xdr:col>
          <xdr:colOff>171450</xdr:colOff>
          <xdr:row>6</xdr:row>
          <xdr:rowOff>47625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</xdr:row>
          <xdr:rowOff>9525</xdr:rowOff>
        </xdr:from>
        <xdr:to>
          <xdr:col>2</xdr:col>
          <xdr:colOff>200025</xdr:colOff>
          <xdr:row>9</xdr:row>
          <xdr:rowOff>114300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717069</xdr:colOff>
      <xdr:row>6</xdr:row>
      <xdr:rowOff>144780</xdr:rowOff>
    </xdr:from>
    <xdr:to>
      <xdr:col>4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3</xdr:col>
      <xdr:colOff>717069</xdr:colOff>
      <xdr:row>3</xdr:row>
      <xdr:rowOff>99060</xdr:rowOff>
    </xdr:from>
    <xdr:to>
      <xdr:col>4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3</xdr:col>
      <xdr:colOff>701829</xdr:colOff>
      <xdr:row>0</xdr:row>
      <xdr:rowOff>45721</xdr:rowOff>
    </xdr:from>
    <xdr:to>
      <xdr:col>4</xdr:col>
      <xdr:colOff>338434</xdr:colOff>
      <xdr:row>3</xdr:row>
      <xdr:rowOff>45721</xdr:rowOff>
    </xdr:to>
    <xdr:sp macro="" textlink="">
      <xdr:nvSpPr>
        <xdr:cNvPr id="19" name="TextBox 18"/>
        <xdr:cNvSpPr txBox="1"/>
      </xdr:nvSpPr>
      <xdr:spPr>
        <a:xfrm>
          <a:off x="2815551" y="45721"/>
          <a:ext cx="1319631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1</xdr:row>
          <xdr:rowOff>85725</xdr:rowOff>
        </xdr:from>
        <xdr:to>
          <xdr:col>3</xdr:col>
          <xdr:colOff>1333500</xdr:colOff>
          <xdr:row>3</xdr:row>
          <xdr:rowOff>9525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771525</xdr:colOff>
          <xdr:row>4</xdr:row>
          <xdr:rowOff>114300</xdr:rowOff>
        </xdr:from>
        <xdr:to>
          <xdr:col>3</xdr:col>
          <xdr:colOff>1323975</xdr:colOff>
          <xdr:row>6</xdr:row>
          <xdr:rowOff>19050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0</xdr:rowOff>
        </xdr:from>
        <xdr:to>
          <xdr:col>3</xdr:col>
          <xdr:colOff>1323975</xdr:colOff>
          <xdr:row>9</xdr:row>
          <xdr:rowOff>104775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</xdr:row>
          <xdr:rowOff>95250</xdr:rowOff>
        </xdr:from>
        <xdr:to>
          <xdr:col>3</xdr:col>
          <xdr:colOff>466725</xdr:colOff>
          <xdr:row>3</xdr:row>
          <xdr:rowOff>19050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133350</xdr:rowOff>
        </xdr:from>
        <xdr:to>
          <xdr:col>3</xdr:col>
          <xdr:colOff>457200</xdr:colOff>
          <xdr:row>6</xdr:row>
          <xdr:rowOff>57150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8</xdr:row>
          <xdr:rowOff>0</xdr:rowOff>
        </xdr:from>
        <xdr:to>
          <xdr:col>3</xdr:col>
          <xdr:colOff>457200</xdr:colOff>
          <xdr:row>9</xdr:row>
          <xdr:rowOff>114300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1352550</xdr:colOff>
          <xdr:row>1</xdr:row>
          <xdr:rowOff>85725</xdr:rowOff>
        </xdr:from>
        <xdr:to>
          <xdr:col>4</xdr:col>
          <xdr:colOff>247650</xdr:colOff>
          <xdr:row>3</xdr:row>
          <xdr:rowOff>9525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1352550</xdr:colOff>
          <xdr:row>4</xdr:row>
          <xdr:rowOff>95250</xdr:rowOff>
        </xdr:from>
        <xdr:to>
          <xdr:col>4</xdr:col>
          <xdr:colOff>200025</xdr:colOff>
          <xdr:row>6</xdr:row>
          <xdr:rowOff>28575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1352550</xdr:colOff>
          <xdr:row>8</xdr:row>
          <xdr:rowOff>0</xdr:rowOff>
        </xdr:from>
        <xdr:to>
          <xdr:col>4</xdr:col>
          <xdr:colOff>247650</xdr:colOff>
          <xdr:row>9</xdr:row>
          <xdr:rowOff>104775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2</xdr:row>
          <xdr:rowOff>47625</xdr:rowOff>
        </xdr:from>
        <xdr:to>
          <xdr:col>8</xdr:col>
          <xdr:colOff>981075</xdr:colOff>
          <xdr:row>3</xdr:row>
          <xdr:rowOff>171450</xdr:rowOff>
        </xdr:to>
        <xdr:sp macro="" textlink="">
          <xdr:nvSpPr>
            <xdr:cNvPr id="1041" name="Metrics_bu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4</xdr:row>
          <xdr:rowOff>57150</xdr:rowOff>
        </xdr:from>
        <xdr:to>
          <xdr:col>5</xdr:col>
          <xdr:colOff>1600200</xdr:colOff>
          <xdr:row>6</xdr:row>
          <xdr:rowOff>28575</xdr:rowOff>
        </xdr:to>
        <xdr:sp macro="" textlink="">
          <xdr:nvSpPr>
            <xdr:cNvPr id="1042" name="PDRGanttChart_bu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85725</xdr:rowOff>
        </xdr:from>
        <xdr:to>
          <xdr:col>6</xdr:col>
          <xdr:colOff>962025</xdr:colOff>
          <xdr:row>6</xdr:row>
          <xdr:rowOff>19050</xdr:rowOff>
        </xdr:to>
        <xdr:sp macro="" textlink="">
          <xdr:nvSpPr>
            <xdr:cNvPr id="1043" name="BurnReport_bu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7</xdr:row>
          <xdr:rowOff>95250</xdr:rowOff>
        </xdr:from>
        <xdr:to>
          <xdr:col>6</xdr:col>
          <xdr:colOff>1085850</xdr:colOff>
          <xdr:row>9</xdr:row>
          <xdr:rowOff>95250</xdr:rowOff>
        </xdr:to>
        <xdr:sp macro="" textlink="">
          <xdr:nvSpPr>
            <xdr:cNvPr id="1044" name="MeetingReport_bu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0</xdr:row>
          <xdr:rowOff>133350</xdr:rowOff>
        </xdr:from>
        <xdr:to>
          <xdr:col>6</xdr:col>
          <xdr:colOff>0</xdr:colOff>
          <xdr:row>2</xdr:row>
          <xdr:rowOff>95250</xdr:rowOff>
        </xdr:to>
        <xdr:sp macro="" textlink="">
          <xdr:nvSpPr>
            <xdr:cNvPr id="1045" name="CDRGanttChart_bu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4</xdr:row>
          <xdr:rowOff>66675</xdr:rowOff>
        </xdr:from>
        <xdr:to>
          <xdr:col>7</xdr:col>
          <xdr:colOff>1333500</xdr:colOff>
          <xdr:row>6</xdr:row>
          <xdr:rowOff>19050</xdr:rowOff>
        </xdr:to>
        <xdr:sp macro="" textlink="">
          <xdr:nvSpPr>
            <xdr:cNvPr id="1046" name="Charts_bu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95250</xdr:rowOff>
        </xdr:from>
        <xdr:to>
          <xdr:col>8</xdr:col>
          <xdr:colOff>742950</xdr:colOff>
          <xdr:row>8</xdr:row>
          <xdr:rowOff>47625</xdr:rowOff>
        </xdr:to>
        <xdr:sp macro="" textlink="">
          <xdr:nvSpPr>
            <xdr:cNvPr id="1047" name="Cost_bu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76200</xdr:rowOff>
        </xdr:from>
        <xdr:to>
          <xdr:col>12</xdr:col>
          <xdr:colOff>66675</xdr:colOff>
          <xdr:row>2</xdr:row>
          <xdr:rowOff>133350</xdr:rowOff>
        </xdr:to>
        <xdr:sp macro="" textlink="">
          <xdr:nvSpPr>
            <xdr:cNvPr id="30721" name="Overview_but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53340</xdr:colOff>
      <xdr:row>28</xdr:row>
      <xdr:rowOff>104526</xdr:rowOff>
    </xdr:from>
    <xdr:to>
      <xdr:col>11</xdr:col>
      <xdr:colOff>312420</xdr:colOff>
      <xdr:row>52</xdr:row>
      <xdr:rowOff>53340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58251</xdr:colOff>
      <xdr:row>53</xdr:row>
      <xdr:rowOff>52858</xdr:rowOff>
    </xdr:from>
    <xdr:to>
      <xdr:col>11</xdr:col>
      <xdr:colOff>333337</xdr:colOff>
      <xdr:row>73</xdr:row>
      <xdr:rowOff>91440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198947</xdr:colOff>
      <xdr:row>20</xdr:row>
      <xdr:rowOff>67254</xdr:rowOff>
    </xdr:from>
    <xdr:to>
      <xdr:col>20</xdr:col>
      <xdr:colOff>16731</xdr:colOff>
      <xdr:row>36</xdr:row>
      <xdr:rowOff>55327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82992</xdr:colOff>
      <xdr:row>20</xdr:row>
      <xdr:rowOff>42406</xdr:rowOff>
    </xdr:from>
    <xdr:to>
      <xdr:col>27</xdr:col>
      <xdr:colOff>21282</xdr:colOff>
      <xdr:row>36</xdr:row>
      <xdr:rowOff>30479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99557</xdr:colOff>
      <xdr:row>37</xdr:row>
      <xdr:rowOff>46714</xdr:rowOff>
    </xdr:from>
    <xdr:to>
      <xdr:col>27</xdr:col>
      <xdr:colOff>12590</xdr:colOff>
      <xdr:row>53</xdr:row>
      <xdr:rowOff>34787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157533</xdr:colOff>
      <xdr:row>37</xdr:row>
      <xdr:rowOff>46714</xdr:rowOff>
    </xdr:from>
    <xdr:to>
      <xdr:col>19</xdr:col>
      <xdr:colOff>584917</xdr:colOff>
      <xdr:row>53</xdr:row>
      <xdr:rowOff>34787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82991</xdr:colOff>
      <xdr:row>3</xdr:row>
      <xdr:rowOff>60960</xdr:rowOff>
    </xdr:from>
    <xdr:to>
      <xdr:col>27</xdr:col>
      <xdr:colOff>21281</xdr:colOff>
      <xdr:row>19</xdr:row>
      <xdr:rowOff>45720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207230</xdr:colOff>
      <xdr:row>3</xdr:row>
      <xdr:rowOff>60960</xdr:rowOff>
    </xdr:from>
    <xdr:to>
      <xdr:col>20</xdr:col>
      <xdr:colOff>25014</xdr:colOff>
      <xdr:row>19</xdr:row>
      <xdr:rowOff>45720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573741</xdr:colOff>
      <xdr:row>3</xdr:row>
      <xdr:rowOff>8965</xdr:rowOff>
    </xdr:from>
    <xdr:to>
      <xdr:col>11</xdr:col>
      <xdr:colOff>277906</xdr:colOff>
      <xdr:row>26</xdr:row>
      <xdr:rowOff>80682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819150</xdr:colOff>
          <xdr:row>0</xdr:row>
          <xdr:rowOff>104775</xdr:rowOff>
        </xdr:from>
        <xdr:to>
          <xdr:col>7</xdr:col>
          <xdr:colOff>1009650</xdr:colOff>
          <xdr:row>0</xdr:row>
          <xdr:rowOff>504825</xdr:rowOff>
        </xdr:to>
        <xdr:sp macro="" textlink="">
          <xdr:nvSpPr>
            <xdr:cNvPr id="4097" name="Overview_bu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104775</xdr:rowOff>
        </xdr:from>
        <xdr:to>
          <xdr:col>7</xdr:col>
          <xdr:colOff>1095375</xdr:colOff>
          <xdr:row>0</xdr:row>
          <xdr:rowOff>504825</xdr:rowOff>
        </xdr:to>
        <xdr:sp macro="" textlink="">
          <xdr:nvSpPr>
            <xdr:cNvPr id="14337" name="Overview_bu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104775</xdr:rowOff>
        </xdr:from>
        <xdr:to>
          <xdr:col>7</xdr:col>
          <xdr:colOff>1095375</xdr:colOff>
          <xdr:row>0</xdr:row>
          <xdr:rowOff>504825</xdr:rowOff>
        </xdr:to>
        <xdr:sp macro="" textlink="">
          <xdr:nvSpPr>
            <xdr:cNvPr id="15361" name="Overview_bu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104775</xdr:rowOff>
        </xdr:from>
        <xdr:to>
          <xdr:col>7</xdr:col>
          <xdr:colOff>1095375</xdr:colOff>
          <xdr:row>0</xdr:row>
          <xdr:rowOff>504825</xdr:rowOff>
        </xdr:to>
        <xdr:sp macro="" textlink="">
          <xdr:nvSpPr>
            <xdr:cNvPr id="16385" name="Overview_bu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104775</xdr:rowOff>
        </xdr:from>
        <xdr:to>
          <xdr:col>7</xdr:col>
          <xdr:colOff>1095375</xdr:colOff>
          <xdr:row>0</xdr:row>
          <xdr:rowOff>504825</xdr:rowOff>
        </xdr:to>
        <xdr:sp macro="" textlink="">
          <xdr:nvSpPr>
            <xdr:cNvPr id="17410" name="Overview_bu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104775</xdr:rowOff>
        </xdr:from>
        <xdr:to>
          <xdr:col>7</xdr:col>
          <xdr:colOff>1095375</xdr:colOff>
          <xdr:row>0</xdr:row>
          <xdr:rowOff>504825</xdr:rowOff>
        </xdr:to>
        <xdr:sp macro="" textlink="">
          <xdr:nvSpPr>
            <xdr:cNvPr id="18433" name="Overview_bu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0</xdr:row>
          <xdr:rowOff>142875</xdr:rowOff>
        </xdr:from>
        <xdr:to>
          <xdr:col>7</xdr:col>
          <xdr:colOff>962025</xdr:colOff>
          <xdr:row>0</xdr:row>
          <xdr:rowOff>542925</xdr:rowOff>
        </xdr:to>
        <xdr:sp macro="" textlink="">
          <xdr:nvSpPr>
            <xdr:cNvPr id="11265" name="Overview_but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1</xdr:row>
          <xdr:rowOff>57150</xdr:rowOff>
        </xdr:from>
        <xdr:to>
          <xdr:col>10</xdr:col>
          <xdr:colOff>190500</xdr:colOff>
          <xdr:row>3</xdr:row>
          <xdr:rowOff>85725</xdr:rowOff>
        </xdr:to>
        <xdr:sp macro="" textlink="">
          <xdr:nvSpPr>
            <xdr:cNvPr id="2049" name="Overview_bu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0</xdr:row>
          <xdr:rowOff>133350</xdr:rowOff>
        </xdr:from>
        <xdr:to>
          <xdr:col>7</xdr:col>
          <xdr:colOff>1123950</xdr:colOff>
          <xdr:row>0</xdr:row>
          <xdr:rowOff>533400</xdr:rowOff>
        </xdr:to>
        <xdr:sp macro="" textlink="">
          <xdr:nvSpPr>
            <xdr:cNvPr id="20482" name="Overview_but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Burn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roups\newFolder\Project%20Management\TIme%20Car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Meeting%20Repor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18.04.01-10.00.04/groups/newFolder/Project%20Management/New%20Folder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rn Report"/>
    </sheetNames>
    <sheetDataSet>
      <sheetData sheetId="0">
        <row r="2">
          <cell r="A2" t="str">
            <v>Date</v>
          </cell>
          <cell r="B2" t="str">
            <v>Task</v>
          </cell>
          <cell r="C2" t="str">
            <v>Hours</v>
          </cell>
          <cell r="D2" t="str">
            <v>Andrei</v>
          </cell>
          <cell r="E2" t="str">
            <v>Bach</v>
          </cell>
          <cell r="F2" t="str">
            <v>Brandon</v>
          </cell>
          <cell r="G2" t="str">
            <v>Cody</v>
          </cell>
          <cell r="H2" t="str">
            <v>Peter</v>
          </cell>
        </row>
        <row r="3">
          <cell r="A3">
            <v>43135</v>
          </cell>
          <cell r="B3" t="str">
            <v>[Ignore] For Chart Formatting</v>
          </cell>
          <cell r="C3">
            <v>0</v>
          </cell>
          <cell r="D3"/>
          <cell r="E3"/>
          <cell r="F3"/>
          <cell r="G3"/>
          <cell r="H3"/>
          <cell r="AD3">
            <v>1275</v>
          </cell>
          <cell r="AE3">
            <v>1450</v>
          </cell>
          <cell r="AF3">
            <v>250</v>
          </cell>
          <cell r="AG3">
            <v>750</v>
          </cell>
          <cell r="AH3">
            <v>550</v>
          </cell>
          <cell r="AI3">
            <v>850</v>
          </cell>
        </row>
        <row r="4">
          <cell r="A4">
            <v>43137</v>
          </cell>
          <cell r="B4" t="str">
            <v>Meeting Planning</v>
          </cell>
          <cell r="C4">
            <v>0.5</v>
          </cell>
          <cell r="D4">
            <v>1</v>
          </cell>
          <cell r="E4"/>
          <cell r="F4"/>
          <cell r="G4"/>
          <cell r="H4"/>
          <cell r="I4"/>
          <cell r="AD4">
            <v>800</v>
          </cell>
          <cell r="AE4">
            <v>0</v>
          </cell>
          <cell r="AF4">
            <v>400</v>
          </cell>
          <cell r="AG4">
            <v>250</v>
          </cell>
          <cell r="AH4">
            <v>200</v>
          </cell>
          <cell r="AI4">
            <v>1600</v>
          </cell>
        </row>
        <row r="5">
          <cell r="A5">
            <v>43144</v>
          </cell>
          <cell r="B5" t="str">
            <v>Meeting Planning</v>
          </cell>
          <cell r="C5">
            <v>0.5</v>
          </cell>
          <cell r="D5">
            <v>1</v>
          </cell>
          <cell r="E5"/>
          <cell r="F5"/>
          <cell r="G5"/>
          <cell r="H5"/>
          <cell r="I5"/>
        </row>
        <row r="6">
          <cell r="A6">
            <v>43153</v>
          </cell>
          <cell r="B6" t="str">
            <v>Derive Requirements for Motor</v>
          </cell>
          <cell r="C6">
            <v>2</v>
          </cell>
          <cell r="D6"/>
          <cell r="E6">
            <v>1</v>
          </cell>
          <cell r="F6">
            <v>1</v>
          </cell>
          <cell r="G6">
            <v>1</v>
          </cell>
          <cell r="H6"/>
          <cell r="I6"/>
          <cell r="AD6">
            <v>12.75</v>
          </cell>
          <cell r="AE6">
            <v>14.5</v>
          </cell>
          <cell r="AF6">
            <v>2.5</v>
          </cell>
          <cell r="AG6">
            <v>7.5</v>
          </cell>
          <cell r="AH6">
            <v>5.5</v>
          </cell>
          <cell r="AI6">
            <v>8.5</v>
          </cell>
        </row>
        <row r="7">
          <cell r="A7">
            <v>43153</v>
          </cell>
          <cell r="B7" t="str">
            <v>Derive Requirements for Motor</v>
          </cell>
          <cell r="C7">
            <v>1</v>
          </cell>
          <cell r="D7"/>
          <cell r="E7">
            <v>1</v>
          </cell>
          <cell r="F7"/>
          <cell r="G7"/>
          <cell r="H7"/>
          <cell r="I7"/>
          <cell r="AD7">
            <v>6.5</v>
          </cell>
          <cell r="AE7">
            <v>0</v>
          </cell>
          <cell r="AF7">
            <v>2</v>
          </cell>
          <cell r="AG7">
            <v>2.5</v>
          </cell>
          <cell r="AH7">
            <v>1</v>
          </cell>
          <cell r="AI7">
            <v>16</v>
          </cell>
        </row>
        <row r="8">
          <cell r="A8">
            <v>43153</v>
          </cell>
          <cell r="B8" t="str">
            <v>Design GUI and brainstorm ideas for functionality</v>
          </cell>
          <cell r="C8">
            <v>1</v>
          </cell>
          <cell r="D8"/>
          <cell r="E8"/>
          <cell r="F8"/>
          <cell r="G8">
            <v>1</v>
          </cell>
          <cell r="H8"/>
          <cell r="I8">
            <v>1</v>
          </cell>
        </row>
        <row r="9">
          <cell r="A9">
            <v>43153</v>
          </cell>
          <cell r="B9" t="str">
            <v>Gather hardware manuals along with examples for hardware implementations</v>
          </cell>
          <cell r="C9">
            <v>2</v>
          </cell>
          <cell r="D9"/>
          <cell r="E9">
            <v>1</v>
          </cell>
          <cell r="F9"/>
          <cell r="G9"/>
          <cell r="H9"/>
          <cell r="I9"/>
          <cell r="AD9">
            <v>2075</v>
          </cell>
          <cell r="AE9">
            <v>1450</v>
          </cell>
          <cell r="AF9">
            <v>650</v>
          </cell>
          <cell r="AG9">
            <v>1000</v>
          </cell>
          <cell r="AH9">
            <v>750</v>
          </cell>
          <cell r="AI9">
            <v>2450</v>
          </cell>
        </row>
        <row r="10">
          <cell r="A10">
            <v>43155</v>
          </cell>
          <cell r="B10" t="str">
            <v>Block diagram for whole system</v>
          </cell>
          <cell r="C10">
            <v>1</v>
          </cell>
          <cell r="D10"/>
          <cell r="E10"/>
          <cell r="F10"/>
          <cell r="G10"/>
          <cell r="H10">
            <v>1</v>
          </cell>
          <cell r="I10"/>
          <cell r="AD10">
            <v>19.25</v>
          </cell>
          <cell r="AE10">
            <v>14.5</v>
          </cell>
          <cell r="AF10">
            <v>4.5</v>
          </cell>
          <cell r="AG10">
            <v>10</v>
          </cell>
          <cell r="AH10">
            <v>6.5</v>
          </cell>
          <cell r="AI10">
            <v>24.5</v>
          </cell>
        </row>
        <row r="11">
          <cell r="A11">
            <v>43157</v>
          </cell>
          <cell r="B11" t="str">
            <v>Design GUI and brainstorm ideas for functionality</v>
          </cell>
          <cell r="C11">
            <v>1</v>
          </cell>
          <cell r="D11"/>
          <cell r="E11"/>
          <cell r="F11"/>
          <cell r="G11">
            <v>1</v>
          </cell>
          <cell r="H11"/>
          <cell r="I11"/>
        </row>
        <row r="12">
          <cell r="A12">
            <v>43157</v>
          </cell>
          <cell r="B12" t="str">
            <v>Came up with requirements for system and modules</v>
          </cell>
          <cell r="C12">
            <v>1</v>
          </cell>
          <cell r="D12"/>
          <cell r="E12">
            <v>1</v>
          </cell>
          <cell r="F12"/>
          <cell r="G12"/>
          <cell r="H12"/>
          <cell r="I12"/>
        </row>
        <row r="13">
          <cell r="A13">
            <v>43158</v>
          </cell>
          <cell r="B13" t="str">
            <v>Derive Requirements for sensors</v>
          </cell>
          <cell r="C13">
            <v>0.5</v>
          </cell>
          <cell r="D13"/>
          <cell r="E13">
            <v>1</v>
          </cell>
          <cell r="F13"/>
          <cell r="G13"/>
          <cell r="H13">
            <v>1</v>
          </cell>
          <cell r="I13"/>
        </row>
        <row r="14">
          <cell r="A14">
            <v>43158</v>
          </cell>
          <cell r="B14" t="str">
            <v>Wrote a summary and requirement report for ultrasonic sensors</v>
          </cell>
          <cell r="C14">
            <v>2</v>
          </cell>
          <cell r="D14"/>
          <cell r="E14">
            <v>1</v>
          </cell>
          <cell r="F14"/>
          <cell r="G14"/>
          <cell r="H14"/>
          <cell r="I14"/>
        </row>
        <row r="15">
          <cell r="A15">
            <v>43159</v>
          </cell>
          <cell r="B15" t="str">
            <v>Create a block diagram for PWM</v>
          </cell>
          <cell r="C15">
            <v>0.5</v>
          </cell>
          <cell r="D15"/>
          <cell r="E15"/>
          <cell r="F15">
            <v>1</v>
          </cell>
          <cell r="G15"/>
          <cell r="H15"/>
          <cell r="I15"/>
        </row>
        <row r="16">
          <cell r="A16">
            <v>43159</v>
          </cell>
          <cell r="B16" t="str">
            <v>Python Motor idea implementation</v>
          </cell>
          <cell r="C16">
            <v>0.5</v>
          </cell>
          <cell r="D16"/>
          <cell r="E16"/>
          <cell r="F16"/>
          <cell r="G16">
            <v>1</v>
          </cell>
          <cell r="H16"/>
          <cell r="I16"/>
        </row>
        <row r="17">
          <cell r="A17">
            <v>43159</v>
          </cell>
          <cell r="B17" t="str">
            <v>Wrapped memory access logic in class – modularization</v>
          </cell>
          <cell r="C17">
            <v>0.5</v>
          </cell>
          <cell r="D17"/>
          <cell r="E17"/>
          <cell r="F17"/>
          <cell r="G17"/>
          <cell r="H17"/>
          <cell r="I17">
            <v>1</v>
          </cell>
        </row>
        <row r="18">
          <cell r="A18">
            <v>43160</v>
          </cell>
          <cell r="B18" t="str">
            <v>Finish up task list, updated burn list, and started gantt</v>
          </cell>
          <cell r="C18">
            <v>1.5</v>
          </cell>
          <cell r="D18">
            <v>1</v>
          </cell>
          <cell r="E18"/>
          <cell r="F18"/>
          <cell r="G18"/>
          <cell r="H18"/>
          <cell r="I18"/>
        </row>
        <row r="19">
          <cell r="A19">
            <v>43160</v>
          </cell>
          <cell r="B19" t="str">
            <v>Python Sensor idea implementation</v>
          </cell>
          <cell r="C19">
            <v>1</v>
          </cell>
          <cell r="D19"/>
          <cell r="E19"/>
          <cell r="F19"/>
          <cell r="G19"/>
          <cell r="H19"/>
          <cell r="I19">
            <v>1</v>
          </cell>
        </row>
        <row r="20">
          <cell r="A20">
            <v>43164</v>
          </cell>
          <cell r="B20" t="str">
            <v>Explore opencv object detection</v>
          </cell>
          <cell r="C20">
            <v>1</v>
          </cell>
          <cell r="D20"/>
          <cell r="E20"/>
          <cell r="F20"/>
          <cell r="G20"/>
          <cell r="H20"/>
          <cell r="I20">
            <v>1</v>
          </cell>
        </row>
        <row r="21">
          <cell r="A21">
            <v>43165</v>
          </cell>
          <cell r="B21" t="str">
            <v>Create and train Haar cascades for various ‘brick’ faces</v>
          </cell>
          <cell r="C21">
            <v>2</v>
          </cell>
          <cell r="D21"/>
          <cell r="E21"/>
          <cell r="F21"/>
          <cell r="G21"/>
          <cell r="H21"/>
          <cell r="I21">
            <v>1</v>
          </cell>
        </row>
        <row r="22">
          <cell r="A22">
            <v>43165</v>
          </cell>
          <cell r="B22" t="str">
            <v>Design GUI and brainstorm ideas for functionality</v>
          </cell>
          <cell r="C22">
            <v>1</v>
          </cell>
          <cell r="D22"/>
          <cell r="E22"/>
          <cell r="F22"/>
          <cell r="G22">
            <v>1</v>
          </cell>
          <cell r="H22"/>
          <cell r="I22"/>
        </row>
        <row r="23">
          <cell r="A23">
            <v>43165</v>
          </cell>
          <cell r="B23" t="str">
            <v>Created initial revision of pre-pdr gantt</v>
          </cell>
          <cell r="C23">
            <v>1</v>
          </cell>
          <cell r="D23">
            <v>1</v>
          </cell>
          <cell r="E23"/>
          <cell r="F23"/>
          <cell r="G23"/>
          <cell r="H23"/>
          <cell r="I23">
            <v>1</v>
          </cell>
        </row>
        <row r="24">
          <cell r="A24">
            <v>43166</v>
          </cell>
          <cell r="B24" t="str">
            <v>Retrain cascades with new samples – shell script automation</v>
          </cell>
          <cell r="C24">
            <v>0.5</v>
          </cell>
          <cell r="D24"/>
          <cell r="E24"/>
          <cell r="F24"/>
          <cell r="G24"/>
          <cell r="H24"/>
          <cell r="I24">
            <v>1</v>
          </cell>
        </row>
        <row r="25">
          <cell r="A25">
            <v>43166</v>
          </cell>
          <cell r="B25" t="str">
            <v>Worked on Gantt and organizing files</v>
          </cell>
          <cell r="C25">
            <v>1</v>
          </cell>
          <cell r="D25">
            <v>1</v>
          </cell>
          <cell r="E25"/>
          <cell r="F25"/>
          <cell r="G25"/>
          <cell r="H25"/>
          <cell r="I25"/>
        </row>
        <row r="26">
          <cell r="A26">
            <v>43167</v>
          </cell>
          <cell r="B26" t="str">
            <v>Came up with test plan for system and modules</v>
          </cell>
          <cell r="C26">
            <v>1</v>
          </cell>
          <cell r="D26"/>
          <cell r="E26">
            <v>1</v>
          </cell>
          <cell r="F26"/>
          <cell r="G26"/>
          <cell r="H26"/>
          <cell r="I26"/>
        </row>
        <row r="27">
          <cell r="A27">
            <v>43172</v>
          </cell>
          <cell r="B27" t="str">
            <v>Design GUI and brainstorm ideas for functionality</v>
          </cell>
          <cell r="C27">
            <v>2</v>
          </cell>
          <cell r="D27"/>
          <cell r="E27"/>
          <cell r="F27"/>
          <cell r="G27">
            <v>1</v>
          </cell>
          <cell r="H27"/>
          <cell r="I27"/>
        </row>
        <row r="28">
          <cell r="A28">
            <v>43172</v>
          </cell>
          <cell r="B28" t="str">
            <v>Organized Files in folders</v>
          </cell>
          <cell r="C28">
            <v>0.25</v>
          </cell>
          <cell r="D28">
            <v>1</v>
          </cell>
          <cell r="E28"/>
          <cell r="F28"/>
          <cell r="G28"/>
          <cell r="H28"/>
          <cell r="I28"/>
        </row>
        <row r="29">
          <cell r="A29">
            <v>43173</v>
          </cell>
          <cell r="B29" t="str">
            <v>Further Organized and Updated Gantt</v>
          </cell>
          <cell r="C29">
            <v>1</v>
          </cell>
          <cell r="D29">
            <v>1</v>
          </cell>
          <cell r="E29"/>
          <cell r="F29"/>
          <cell r="G29"/>
          <cell r="H29"/>
          <cell r="I29"/>
        </row>
        <row r="30">
          <cell r="A30">
            <v>43173</v>
          </cell>
          <cell r="B30" t="str">
            <v>Researched OpenCV functionality with python</v>
          </cell>
          <cell r="C30">
            <v>0.5</v>
          </cell>
          <cell r="D30"/>
          <cell r="E30"/>
          <cell r="F30"/>
          <cell r="G30"/>
          <cell r="H30"/>
          <cell r="I30">
            <v>1</v>
          </cell>
        </row>
        <row r="31">
          <cell r="A31">
            <v>43174</v>
          </cell>
          <cell r="B31" t="str">
            <v>Worked on Powerpoint and Gantt. Communicated with team</v>
          </cell>
          <cell r="C31">
            <v>1</v>
          </cell>
          <cell r="D31">
            <v>1</v>
          </cell>
          <cell r="E31"/>
          <cell r="F31"/>
          <cell r="G31"/>
          <cell r="H31"/>
          <cell r="I31"/>
        </row>
        <row r="32">
          <cell r="A32">
            <v>43176</v>
          </cell>
          <cell r="B32" t="str">
            <v>Brainstormed project's application and purpose</v>
          </cell>
          <cell r="C32">
            <v>0.5</v>
          </cell>
          <cell r="D32">
            <v>1</v>
          </cell>
          <cell r="E32"/>
          <cell r="F32"/>
          <cell r="G32"/>
          <cell r="H32"/>
          <cell r="I32"/>
        </row>
        <row r="33">
          <cell r="A33">
            <v>43177</v>
          </cell>
          <cell r="B33" t="str">
            <v>Created Powerpoint skeleton and updated Gantt.</v>
          </cell>
          <cell r="C33">
            <v>1</v>
          </cell>
          <cell r="D33">
            <v>1</v>
          </cell>
          <cell r="E33"/>
          <cell r="F33"/>
          <cell r="G33"/>
          <cell r="H33"/>
          <cell r="I33"/>
        </row>
        <row r="34">
          <cell r="A34">
            <v>43179</v>
          </cell>
          <cell r="B34" t="str">
            <v>Designed VHDL block dragrams for sensor modules.</v>
          </cell>
          <cell r="C34">
            <v>1.5</v>
          </cell>
          <cell r="D34"/>
          <cell r="E34"/>
          <cell r="F34"/>
          <cell r="G34"/>
          <cell r="H34">
            <v>1</v>
          </cell>
          <cell r="I34"/>
        </row>
        <row r="35">
          <cell r="A35">
            <v>43179</v>
          </cell>
          <cell r="B35" t="str">
            <v>Wrote VHDL for sensor modules.</v>
          </cell>
          <cell r="C35">
            <v>2.5</v>
          </cell>
          <cell r="D35"/>
          <cell r="E35"/>
          <cell r="F35"/>
          <cell r="G35"/>
          <cell r="H35">
            <v>1</v>
          </cell>
          <cell r="I35"/>
        </row>
        <row r="36">
          <cell r="A36">
            <v>43179</v>
          </cell>
          <cell r="B36" t="str">
            <v>Added OpenCV and python module to PDR</v>
          </cell>
          <cell r="C36">
            <v>1</v>
          </cell>
          <cell r="D36"/>
          <cell r="E36"/>
          <cell r="F36"/>
          <cell r="G36"/>
          <cell r="H36"/>
          <cell r="I36">
            <v>1</v>
          </cell>
        </row>
        <row r="37">
          <cell r="A37">
            <v>43180</v>
          </cell>
          <cell r="B37" t="str">
            <v>Cleaned up Burn Report and added intro into slides</v>
          </cell>
          <cell r="C37">
            <v>1.5</v>
          </cell>
          <cell r="D37">
            <v>1</v>
          </cell>
          <cell r="E37"/>
          <cell r="F37"/>
          <cell r="G37"/>
          <cell r="H37"/>
          <cell r="I37"/>
        </row>
        <row r="38">
          <cell r="A38">
            <v>43180</v>
          </cell>
          <cell r="B38" t="str">
            <v>Drove to fire station and interviewed with firemen to get ideas on how to help them</v>
          </cell>
          <cell r="C38">
            <v>1</v>
          </cell>
          <cell r="D38">
            <v>1</v>
          </cell>
          <cell r="E38"/>
          <cell r="F38"/>
          <cell r="G38"/>
          <cell r="H38"/>
          <cell r="I38"/>
        </row>
        <row r="39">
          <cell r="A39">
            <v>43180</v>
          </cell>
          <cell r="B39" t="str">
            <v>Added requirements for the system as a whole and for each subsystem to PDR</v>
          </cell>
          <cell r="C39">
            <v>3</v>
          </cell>
          <cell r="D39"/>
          <cell r="E39">
            <v>1</v>
          </cell>
          <cell r="F39"/>
          <cell r="G39"/>
          <cell r="H39"/>
          <cell r="I39"/>
        </row>
        <row r="40">
          <cell r="A40">
            <v>43180</v>
          </cell>
          <cell r="B40" t="str">
            <v>Added hardware overview and test plan to PDR</v>
          </cell>
          <cell r="C40">
            <v>2</v>
          </cell>
          <cell r="D40"/>
          <cell r="E40">
            <v>1</v>
          </cell>
          <cell r="F40"/>
          <cell r="G40"/>
          <cell r="H40"/>
          <cell r="I40"/>
        </row>
        <row r="41">
          <cell r="A41">
            <v>43180</v>
          </cell>
          <cell r="B41" t="str">
            <v>Worked on PP</v>
          </cell>
          <cell r="C41">
            <v>1</v>
          </cell>
          <cell r="D41">
            <v>1</v>
          </cell>
          <cell r="E41"/>
          <cell r="F41"/>
          <cell r="G41"/>
          <cell r="H41"/>
          <cell r="I41"/>
        </row>
        <row r="42">
          <cell r="A42">
            <v>43181</v>
          </cell>
          <cell r="B42" t="str">
            <v>Finalized PP</v>
          </cell>
          <cell r="C42">
            <v>1</v>
          </cell>
          <cell r="D42">
            <v>1</v>
          </cell>
          <cell r="E42"/>
          <cell r="F42"/>
          <cell r="G42"/>
          <cell r="H42"/>
          <cell r="I42"/>
        </row>
        <row r="43">
          <cell r="A43">
            <v>43183</v>
          </cell>
          <cell r="B43" t="str">
            <v>Researched localization and other algorithms</v>
          </cell>
          <cell r="C43">
            <v>3</v>
          </cell>
          <cell r="D43"/>
          <cell r="E43"/>
          <cell r="F43"/>
          <cell r="G43"/>
          <cell r="H43"/>
          <cell r="I43">
            <v>1</v>
          </cell>
          <cell r="AM43">
            <v>1275</v>
          </cell>
        </row>
        <row r="44">
          <cell r="A44">
            <v>43185</v>
          </cell>
          <cell r="B44" t="str">
            <v>Created Individual Gantt Charts for each team member</v>
          </cell>
          <cell r="C44">
            <v>2</v>
          </cell>
          <cell r="D44">
            <v>1</v>
          </cell>
          <cell r="E44"/>
          <cell r="F44"/>
          <cell r="G44"/>
          <cell r="H44"/>
          <cell r="I44"/>
          <cell r="AM44">
            <v>1475</v>
          </cell>
        </row>
        <row r="45">
          <cell r="A45">
            <v>43186</v>
          </cell>
          <cell r="B45" t="str">
            <v>Created basic Memory Access Unit tests in Python and C</v>
          </cell>
          <cell r="C45">
            <v>0.5</v>
          </cell>
          <cell r="D45"/>
          <cell r="E45"/>
          <cell r="F45"/>
          <cell r="G45"/>
          <cell r="H45"/>
          <cell r="I45">
            <v>1</v>
          </cell>
          <cell r="AM45">
            <v>1475</v>
          </cell>
        </row>
        <row r="46">
          <cell r="A46">
            <v>43187</v>
          </cell>
          <cell r="B46" t="str">
            <v>Added more metrics to our Planner and combined reports/created dashboard for flexibility</v>
          </cell>
          <cell r="C46">
            <v>1</v>
          </cell>
          <cell r="D46">
            <v>1</v>
          </cell>
          <cell r="E46"/>
          <cell r="F46"/>
          <cell r="G46"/>
          <cell r="H46"/>
          <cell r="I46"/>
          <cell r="AM46">
            <v>1575</v>
          </cell>
        </row>
        <row r="47">
          <cell r="A47">
            <v>43192</v>
          </cell>
          <cell r="B47" t="str">
            <v>Messing around with dashboard and charts</v>
          </cell>
          <cell r="C47">
            <v>1.5</v>
          </cell>
          <cell r="D47">
            <v>1</v>
          </cell>
          <cell r="E47"/>
          <cell r="F47"/>
          <cell r="G47"/>
          <cell r="H47"/>
          <cell r="I47"/>
          <cell r="AM47">
            <v>1725</v>
          </cell>
        </row>
        <row r="48">
          <cell r="A48">
            <v>43194</v>
          </cell>
          <cell r="B48" t="str">
            <v>Experimenting creation of time card</v>
          </cell>
          <cell r="C48">
            <v>1</v>
          </cell>
          <cell r="D48">
            <v>1</v>
          </cell>
          <cell r="E48"/>
          <cell r="F48"/>
          <cell r="G48"/>
          <cell r="H48"/>
          <cell r="I48"/>
          <cell r="AM48">
            <v>1825</v>
          </cell>
        </row>
        <row r="49">
          <cell r="A49">
            <v>43196</v>
          </cell>
          <cell r="B49" t="str">
            <v>Remapped Python GUI memory and verified functionality</v>
          </cell>
          <cell r="C49">
            <v>0.5</v>
          </cell>
          <cell r="D49"/>
          <cell r="E49"/>
          <cell r="F49"/>
          <cell r="G49">
            <v>1</v>
          </cell>
          <cell r="H49"/>
          <cell r="I49"/>
          <cell r="AM49">
            <v>1825</v>
          </cell>
        </row>
        <row r="50">
          <cell r="A50">
            <v>43199</v>
          </cell>
          <cell r="B50" t="str">
            <v>Wrote functional test for Professor’s system</v>
          </cell>
          <cell r="C50">
            <v>1</v>
          </cell>
          <cell r="D50"/>
          <cell r="E50"/>
          <cell r="F50"/>
          <cell r="G50"/>
          <cell r="H50"/>
          <cell r="I50">
            <v>1</v>
          </cell>
          <cell r="AM50">
            <v>1825</v>
          </cell>
        </row>
        <row r="51">
          <cell r="A51">
            <v>43199</v>
          </cell>
          <cell r="B51" t="str">
            <v>Researched OpenCV and developed camera calibration script</v>
          </cell>
          <cell r="C51">
            <v>1.5</v>
          </cell>
          <cell r="D51"/>
          <cell r="E51"/>
          <cell r="F51"/>
          <cell r="G51"/>
          <cell r="H51"/>
          <cell r="I51">
            <v>1</v>
          </cell>
          <cell r="AM51">
            <v>1825</v>
          </cell>
        </row>
        <row r="52">
          <cell r="A52">
            <v>43200</v>
          </cell>
          <cell r="B52" t="str">
            <v>Cleaned up Metrics, polished up burn reports &amp; discarding time card</v>
          </cell>
          <cell r="C52">
            <v>1</v>
          </cell>
          <cell r="D52">
            <v>1</v>
          </cell>
          <cell r="E52"/>
          <cell r="F52"/>
          <cell r="G52"/>
          <cell r="H52"/>
          <cell r="I52"/>
          <cell r="AM52">
            <v>1925</v>
          </cell>
        </row>
        <row r="53">
          <cell r="A53">
            <v>43200</v>
          </cell>
          <cell r="B53" t="str">
            <v>Wrote VHDL for encoder reader and counter.</v>
          </cell>
          <cell r="C53">
            <v>1</v>
          </cell>
          <cell r="D53"/>
          <cell r="E53"/>
          <cell r="F53"/>
          <cell r="G53"/>
          <cell r="H53">
            <v>1</v>
          </cell>
          <cell r="I53"/>
          <cell r="AM53">
            <v>1925</v>
          </cell>
        </row>
        <row r="54">
          <cell r="A54">
            <v>43201</v>
          </cell>
          <cell r="B54" t="str">
            <v>Familiarize/tweak IMU and wrote script integrating turn and IMU</v>
          </cell>
          <cell r="C54">
            <v>1.5</v>
          </cell>
          <cell r="D54"/>
          <cell r="E54"/>
          <cell r="F54"/>
          <cell r="G54"/>
          <cell r="H54"/>
          <cell r="I54">
            <v>1</v>
          </cell>
          <cell r="AM54">
            <v>1925</v>
          </cell>
        </row>
        <row r="55">
          <cell r="A55">
            <v>43204</v>
          </cell>
          <cell r="B55" t="str">
            <v>Finished sensor python/c unit/integration test</v>
          </cell>
          <cell r="C55">
            <v>1</v>
          </cell>
          <cell r="D55"/>
          <cell r="E55"/>
          <cell r="F55"/>
          <cell r="G55"/>
          <cell r="H55"/>
          <cell r="I55">
            <v>1</v>
          </cell>
          <cell r="AM55">
            <v>1925</v>
          </cell>
        </row>
        <row r="56">
          <cell r="A56">
            <v>43206</v>
          </cell>
          <cell r="B56" t="str">
            <v>Wrote C memory poking for motors</v>
          </cell>
          <cell r="C56">
            <v>0.5</v>
          </cell>
          <cell r="D56"/>
          <cell r="E56"/>
          <cell r="F56"/>
          <cell r="G56"/>
          <cell r="H56"/>
          <cell r="I56">
            <v>1</v>
          </cell>
          <cell r="AM56">
            <v>1925</v>
          </cell>
        </row>
        <row r="57">
          <cell r="A57">
            <v>43206</v>
          </cell>
          <cell r="B57" t="str">
            <v>Modularized all components in python with shared object use</v>
          </cell>
          <cell r="C57">
            <v>0.5</v>
          </cell>
          <cell r="D57"/>
          <cell r="E57"/>
          <cell r="F57"/>
          <cell r="G57"/>
          <cell r="H57"/>
          <cell r="I57">
            <v>1</v>
          </cell>
          <cell r="AM57">
            <v>1925</v>
          </cell>
        </row>
        <row r="58">
          <cell r="A58">
            <v>43206</v>
          </cell>
          <cell r="B58" t="str">
            <v>Wrote functional test including sensor, imu and motor components</v>
          </cell>
          <cell r="C58">
            <v>1</v>
          </cell>
          <cell r="D58"/>
          <cell r="E58"/>
          <cell r="F58"/>
          <cell r="G58"/>
          <cell r="H58"/>
          <cell r="I58">
            <v>1</v>
          </cell>
          <cell r="AM58">
            <v>1925</v>
          </cell>
        </row>
        <row r="59">
          <cell r="A59">
            <v>43207</v>
          </cell>
          <cell r="B59" t="str">
            <v>Begun initial work on web interface of rover with straight, left, right, backward, and 360 buttons</v>
          </cell>
          <cell r="C59">
            <v>0.75</v>
          </cell>
          <cell r="D59"/>
          <cell r="E59"/>
          <cell r="F59"/>
          <cell r="G59"/>
          <cell r="H59"/>
          <cell r="I59">
            <v>1</v>
          </cell>
          <cell r="AM59">
            <v>1925</v>
          </cell>
        </row>
        <row r="60">
          <cell r="A60">
            <v>43207</v>
          </cell>
          <cell r="B60" t="str">
            <v>GUI - Movement Map</v>
          </cell>
          <cell r="C60">
            <v>2</v>
          </cell>
          <cell r="D60"/>
          <cell r="E60"/>
          <cell r="F60"/>
          <cell r="G60">
            <v>1</v>
          </cell>
          <cell r="H60"/>
          <cell r="I60"/>
          <cell r="AM60">
            <v>1925</v>
          </cell>
        </row>
        <row r="61">
          <cell r="A61">
            <v>43207</v>
          </cell>
          <cell r="B61" t="str">
            <v>Finished encoder test bench.</v>
          </cell>
          <cell r="C61" t="str">
            <v>1</v>
          </cell>
          <cell r="D61"/>
          <cell r="E61"/>
          <cell r="F61"/>
          <cell r="G61"/>
          <cell r="H61">
            <v>1</v>
          </cell>
          <cell r="I61"/>
          <cell r="AM61">
            <v>1925</v>
          </cell>
        </row>
        <row r="62">
          <cell r="AM62">
            <v>1925</v>
          </cell>
        </row>
        <row r="63">
          <cell r="AM63">
            <v>1925</v>
          </cell>
        </row>
        <row r="64">
          <cell r="AM64">
            <v>1925</v>
          </cell>
        </row>
        <row r="65">
          <cell r="AM65">
            <v>1925</v>
          </cell>
        </row>
        <row r="66">
          <cell r="AM66">
            <v>1925</v>
          </cell>
        </row>
        <row r="67">
          <cell r="AM67">
            <v>1925</v>
          </cell>
        </row>
        <row r="68">
          <cell r="AM68">
            <v>2075</v>
          </cell>
        </row>
        <row r="69">
          <cell r="AM69">
            <v>2075</v>
          </cell>
        </row>
        <row r="70">
          <cell r="AM70">
            <v>2075</v>
          </cell>
        </row>
        <row r="71">
          <cell r="AM71">
            <v>2075</v>
          </cell>
        </row>
        <row r="72">
          <cell r="AM72">
            <v>2075</v>
          </cell>
        </row>
        <row r="73">
          <cell r="AM73">
            <v>2075</v>
          </cell>
        </row>
        <row r="74">
          <cell r="AM74">
            <v>2075</v>
          </cell>
        </row>
        <row r="75">
          <cell r="AM75">
            <v>2075</v>
          </cell>
        </row>
        <row r="76">
          <cell r="AM76">
            <v>2075</v>
          </cell>
        </row>
        <row r="77">
          <cell r="AM77">
            <v>2075</v>
          </cell>
        </row>
        <row r="78">
          <cell r="AM78">
            <v>2075</v>
          </cell>
        </row>
        <row r="79">
          <cell r="AM79">
            <v>2075</v>
          </cell>
        </row>
        <row r="80">
          <cell r="AM80">
            <v>2075</v>
          </cell>
        </row>
        <row r="81">
          <cell r="AM81">
            <v>2075</v>
          </cell>
        </row>
        <row r="82">
          <cell r="AM82">
            <v>2075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Ime Card"/>
    </sheetNames>
    <definedNames>
      <definedName name="PercentCompleteBeyond"/>
      <definedName name="PeriodInActual"/>
      <definedName name="PeriodInPlan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Meeting Costs"/>
      <sheetName val="Meeting Report"/>
    </sheetNames>
    <definedNames>
      <definedName name="PercentCompleteBeyond" refersTo="#REF!" sheetId="0"/>
      <definedName name="PercentCompleteBeyond" refersTo="#REF!"/>
      <definedName name="PeriodInActual" refersTo="#REF!" sheetId="0"/>
      <definedName name="PeriodInActual" refersTo="#REF!"/>
      <definedName name="PeriodInPlan" refersTo="#REF!" sheetId="0"/>
      <definedName name="PeriodInPlan" refersTo="#REF!"/>
    </definedNames>
    <sheetDataSet>
      <sheetData sheetId="0">
        <row r="3">
          <cell r="A3">
            <v>43132</v>
          </cell>
          <cell r="P3">
            <v>50</v>
          </cell>
          <cell r="Q3">
            <v>50</v>
          </cell>
          <cell r="R3">
            <v>50</v>
          </cell>
          <cell r="S3">
            <v>50</v>
          </cell>
          <cell r="T3">
            <v>50</v>
          </cell>
          <cell r="U3">
            <v>50</v>
          </cell>
          <cell r="X3">
            <v>0.5</v>
          </cell>
          <cell r="Y3">
            <v>0.5</v>
          </cell>
          <cell r="Z3">
            <v>0.5</v>
          </cell>
          <cell r="AA3">
            <v>0.5</v>
          </cell>
          <cell r="AB3">
            <v>0.5</v>
          </cell>
          <cell r="AC3">
            <v>0.5</v>
          </cell>
          <cell r="AG3">
            <v>1075</v>
          </cell>
          <cell r="AH3">
            <v>900</v>
          </cell>
          <cell r="AI3">
            <v>1175</v>
          </cell>
          <cell r="AJ3">
            <v>1175</v>
          </cell>
          <cell r="AK3">
            <v>1175</v>
          </cell>
          <cell r="AL3">
            <v>1175</v>
          </cell>
        </row>
        <row r="4">
          <cell r="A4">
            <v>43137</v>
          </cell>
          <cell r="P4">
            <v>50</v>
          </cell>
          <cell r="Q4">
            <v>50</v>
          </cell>
          <cell r="R4">
            <v>50</v>
          </cell>
          <cell r="S4">
            <v>50</v>
          </cell>
          <cell r="T4">
            <v>50</v>
          </cell>
          <cell r="U4">
            <v>50</v>
          </cell>
          <cell r="X4">
            <v>0.5</v>
          </cell>
          <cell r="Y4">
            <v>0.5</v>
          </cell>
          <cell r="Z4">
            <v>0.5</v>
          </cell>
          <cell r="AA4">
            <v>0.5</v>
          </cell>
          <cell r="AB4">
            <v>0.5</v>
          </cell>
          <cell r="AC4">
            <v>0.5</v>
          </cell>
          <cell r="AG4">
            <v>275</v>
          </cell>
          <cell r="AH4">
            <v>225</v>
          </cell>
          <cell r="AI4">
            <v>275</v>
          </cell>
          <cell r="AJ4">
            <v>275</v>
          </cell>
          <cell r="AK4">
            <v>275</v>
          </cell>
          <cell r="AL4">
            <v>275</v>
          </cell>
        </row>
        <row r="5">
          <cell r="A5">
            <v>43139</v>
          </cell>
          <cell r="P5">
            <v>50</v>
          </cell>
          <cell r="Q5">
            <v>50</v>
          </cell>
          <cell r="R5">
            <v>50</v>
          </cell>
          <cell r="S5">
            <v>50</v>
          </cell>
          <cell r="T5">
            <v>50</v>
          </cell>
          <cell r="U5">
            <v>50</v>
          </cell>
          <cell r="X5">
            <v>0.5</v>
          </cell>
          <cell r="Y5">
            <v>0.5</v>
          </cell>
          <cell r="Z5">
            <v>0.5</v>
          </cell>
          <cell r="AA5">
            <v>0.5</v>
          </cell>
          <cell r="AB5">
            <v>0.5</v>
          </cell>
          <cell r="AC5">
            <v>0.5</v>
          </cell>
        </row>
        <row r="6">
          <cell r="A6">
            <v>43144</v>
          </cell>
          <cell r="P6">
            <v>75</v>
          </cell>
          <cell r="Q6">
            <v>0</v>
          </cell>
          <cell r="R6">
            <v>75</v>
          </cell>
          <cell r="S6">
            <v>75</v>
          </cell>
          <cell r="T6">
            <v>75</v>
          </cell>
          <cell r="U6">
            <v>75</v>
          </cell>
          <cell r="X6">
            <v>0.75</v>
          </cell>
          <cell r="Y6">
            <v>0</v>
          </cell>
          <cell r="Z6">
            <v>0.75</v>
          </cell>
          <cell r="AA6">
            <v>0.75</v>
          </cell>
          <cell r="AB6">
            <v>0.75</v>
          </cell>
          <cell r="AC6">
            <v>0.75</v>
          </cell>
          <cell r="AG6">
            <v>10.75</v>
          </cell>
          <cell r="AH6">
            <v>9</v>
          </cell>
          <cell r="AI6">
            <v>11.75</v>
          </cell>
          <cell r="AJ6">
            <v>11.75</v>
          </cell>
          <cell r="AK6">
            <v>11.75</v>
          </cell>
          <cell r="AL6">
            <v>11.75</v>
          </cell>
        </row>
        <row r="7">
          <cell r="A7">
            <v>43151</v>
          </cell>
          <cell r="P7">
            <v>100</v>
          </cell>
          <cell r="Q7">
            <v>100</v>
          </cell>
          <cell r="R7">
            <v>100</v>
          </cell>
          <cell r="S7">
            <v>100</v>
          </cell>
          <cell r="T7">
            <v>100</v>
          </cell>
          <cell r="U7">
            <v>100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  <cell r="AG7">
            <v>2.75</v>
          </cell>
          <cell r="AH7">
            <v>2.25</v>
          </cell>
          <cell r="AI7">
            <v>2.75</v>
          </cell>
          <cell r="AJ7">
            <v>2.75</v>
          </cell>
          <cell r="AK7">
            <v>2.75</v>
          </cell>
          <cell r="AL7">
            <v>2.75</v>
          </cell>
        </row>
        <row r="8">
          <cell r="A8">
            <v>43153</v>
          </cell>
          <cell r="P8">
            <v>0</v>
          </cell>
          <cell r="Q8">
            <v>100</v>
          </cell>
          <cell r="R8">
            <v>100</v>
          </cell>
          <cell r="S8">
            <v>100</v>
          </cell>
          <cell r="T8">
            <v>100</v>
          </cell>
          <cell r="U8">
            <v>100</v>
          </cell>
          <cell r="X8">
            <v>0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A9">
            <v>43158</v>
          </cell>
          <cell r="P9">
            <v>150</v>
          </cell>
          <cell r="Q9">
            <v>150</v>
          </cell>
          <cell r="R9">
            <v>150</v>
          </cell>
          <cell r="S9">
            <v>150</v>
          </cell>
          <cell r="T9">
            <v>150</v>
          </cell>
          <cell r="U9">
            <v>150</v>
          </cell>
          <cell r="X9">
            <v>1.5</v>
          </cell>
          <cell r="Y9">
            <v>1.5</v>
          </cell>
          <cell r="Z9">
            <v>1.5</v>
          </cell>
          <cell r="AA9">
            <v>1.5</v>
          </cell>
          <cell r="AB9">
            <v>1.5</v>
          </cell>
          <cell r="AC9">
            <v>1.5</v>
          </cell>
          <cell r="AG9">
            <v>1350</v>
          </cell>
          <cell r="AH9">
            <v>1125</v>
          </cell>
          <cell r="AI9">
            <v>1450</v>
          </cell>
          <cell r="AJ9">
            <v>1450</v>
          </cell>
          <cell r="AK9">
            <v>1450</v>
          </cell>
          <cell r="AL9">
            <v>1450</v>
          </cell>
        </row>
        <row r="10">
          <cell r="A10">
            <v>43160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  <cell r="AG10">
            <v>13.5</v>
          </cell>
          <cell r="AH10">
            <v>11.25</v>
          </cell>
          <cell r="AI10">
            <v>14.5</v>
          </cell>
          <cell r="AJ10">
            <v>14.5</v>
          </cell>
          <cell r="AK10">
            <v>14.5</v>
          </cell>
          <cell r="AL10">
            <v>14.5</v>
          </cell>
        </row>
        <row r="11">
          <cell r="A11">
            <v>43164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>
            <v>50</v>
          </cell>
          <cell r="U11">
            <v>50</v>
          </cell>
          <cell r="X11">
            <v>0.5</v>
          </cell>
          <cell r="Y11">
            <v>0.5</v>
          </cell>
          <cell r="Z11">
            <v>0.5</v>
          </cell>
          <cell r="AA11">
            <v>0.5</v>
          </cell>
          <cell r="AB11">
            <v>0.5</v>
          </cell>
          <cell r="AC11">
            <v>0.5</v>
          </cell>
        </row>
        <row r="12">
          <cell r="A12">
            <v>43165</v>
          </cell>
          <cell r="P12">
            <v>100</v>
          </cell>
          <cell r="Q12">
            <v>100</v>
          </cell>
          <cell r="R12">
            <v>100</v>
          </cell>
          <cell r="S12">
            <v>100</v>
          </cell>
          <cell r="T12">
            <v>100</v>
          </cell>
          <cell r="U12">
            <v>100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A13">
            <v>43167</v>
          </cell>
          <cell r="P13">
            <v>50</v>
          </cell>
          <cell r="Q13">
            <v>50</v>
          </cell>
          <cell r="R13">
            <v>50</v>
          </cell>
          <cell r="S13">
            <v>50</v>
          </cell>
          <cell r="T13">
            <v>50</v>
          </cell>
          <cell r="U13">
            <v>50</v>
          </cell>
          <cell r="X13">
            <v>0.5</v>
          </cell>
          <cell r="Y13">
            <v>0.5</v>
          </cell>
          <cell r="Z13">
            <v>0.5</v>
          </cell>
          <cell r="AA13">
            <v>0.5</v>
          </cell>
          <cell r="AB13">
            <v>0.5</v>
          </cell>
          <cell r="AC13">
            <v>0.5</v>
          </cell>
        </row>
        <row r="14">
          <cell r="A14">
            <v>43179</v>
          </cell>
          <cell r="P14">
            <v>200</v>
          </cell>
          <cell r="Q14">
            <v>0</v>
          </cell>
          <cell r="R14">
            <v>200</v>
          </cell>
          <cell r="S14">
            <v>200</v>
          </cell>
          <cell r="T14">
            <v>200</v>
          </cell>
          <cell r="U14">
            <v>200</v>
          </cell>
          <cell r="X14">
            <v>2</v>
          </cell>
          <cell r="Y14">
            <v>0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</row>
        <row r="15">
          <cell r="A15">
            <v>43186</v>
          </cell>
          <cell r="P15">
            <v>50</v>
          </cell>
          <cell r="Q15">
            <v>50</v>
          </cell>
          <cell r="R15">
            <v>50</v>
          </cell>
          <cell r="S15">
            <v>50</v>
          </cell>
          <cell r="T15">
            <v>50</v>
          </cell>
          <cell r="U15">
            <v>50</v>
          </cell>
          <cell r="X15">
            <v>0.5</v>
          </cell>
          <cell r="Y15">
            <v>0.5</v>
          </cell>
          <cell r="Z15">
            <v>0.5</v>
          </cell>
          <cell r="AA15">
            <v>0.5</v>
          </cell>
          <cell r="AB15">
            <v>0.5</v>
          </cell>
          <cell r="AC15">
            <v>0.5</v>
          </cell>
        </row>
        <row r="16">
          <cell r="A16">
            <v>43195</v>
          </cell>
          <cell r="P16">
            <v>100</v>
          </cell>
          <cell r="Q16">
            <v>100</v>
          </cell>
          <cell r="R16">
            <v>100</v>
          </cell>
          <cell r="S16">
            <v>100</v>
          </cell>
          <cell r="T16">
            <v>100</v>
          </cell>
          <cell r="U16">
            <v>100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</row>
        <row r="17">
          <cell r="A17">
            <v>43200</v>
          </cell>
          <cell r="P17">
            <v>75</v>
          </cell>
          <cell r="Q17">
            <v>75</v>
          </cell>
          <cell r="R17">
            <v>75</v>
          </cell>
          <cell r="S17">
            <v>75</v>
          </cell>
          <cell r="T17">
            <v>75</v>
          </cell>
          <cell r="U17">
            <v>75</v>
          </cell>
          <cell r="X17">
            <v>0.75</v>
          </cell>
          <cell r="Y17">
            <v>0.75</v>
          </cell>
          <cell r="Z17">
            <v>0.75</v>
          </cell>
          <cell r="AA17">
            <v>0.75</v>
          </cell>
          <cell r="AB17">
            <v>0.75</v>
          </cell>
          <cell r="AC17">
            <v>0.75</v>
          </cell>
        </row>
        <row r="18">
          <cell r="A18">
            <v>43202</v>
          </cell>
          <cell r="P18">
            <v>50</v>
          </cell>
          <cell r="Q18">
            <v>0</v>
          </cell>
          <cell r="R18">
            <v>50</v>
          </cell>
          <cell r="S18">
            <v>50</v>
          </cell>
          <cell r="T18">
            <v>50</v>
          </cell>
          <cell r="U18">
            <v>50</v>
          </cell>
          <cell r="X18">
            <v>0.5</v>
          </cell>
          <cell r="Y18">
            <v>0</v>
          </cell>
          <cell r="Z18">
            <v>0.5</v>
          </cell>
          <cell r="AA18">
            <v>0.5</v>
          </cell>
          <cell r="AB18">
            <v>0.5</v>
          </cell>
          <cell r="AC18">
            <v>0.5</v>
          </cell>
        </row>
        <row r="19">
          <cell r="A19"/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/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/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</row>
        <row r="22">
          <cell r="A22"/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</row>
        <row r="23">
          <cell r="A23"/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</row>
        <row r="24">
          <cell r="A24"/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Andrei Planner"/>
      <sheetName val="Bach Planner"/>
      <sheetName val="Brandon Planner"/>
      <sheetName val="Cody Planner"/>
      <sheetName val="Peter Planner"/>
      <sheetName val="Zack Planner"/>
      <sheetName val="Weekly Meeting Costs"/>
      <sheetName val="Sheet1"/>
      <sheetName val="Burn Report"/>
      <sheetName val="PDR Project Planner"/>
      <sheetName val="Andrei Cost"/>
      <sheetName val="Bach Cost"/>
      <sheetName val="Brandon Cost"/>
      <sheetName val="Cody Cost"/>
      <sheetName val="Peter Cost"/>
      <sheetName val="Zack Cost"/>
    </sheetNames>
    <sheetDataSet>
      <sheetData sheetId="0"/>
      <sheetData sheetId="1">
        <row r="5">
          <cell r="B5" t="str">
            <v>PDR</v>
          </cell>
          <cell r="C5" t="str">
            <v>T</v>
          </cell>
          <cell r="D5">
            <v>22</v>
          </cell>
          <cell r="E5">
            <v>1</v>
          </cell>
          <cell r="F5">
            <v>22</v>
          </cell>
          <cell r="G5">
            <v>1</v>
          </cell>
          <cell r="H5">
            <v>1</v>
          </cell>
        </row>
        <row r="6">
          <cell r="B6" t="str">
            <v>System</v>
          </cell>
          <cell r="C6" t="str">
            <v>P &amp; Br &amp; C &amp; Ba</v>
          </cell>
          <cell r="D6"/>
          <cell r="E6"/>
          <cell r="F6"/>
          <cell r="G6"/>
          <cell r="H6"/>
        </row>
        <row r="7">
          <cell r="B7" t="str">
            <v>Unit Tests - VHDL - PWM (Duty Cycle)</v>
          </cell>
          <cell r="C7" t="str">
            <v>P &amp; Br</v>
          </cell>
          <cell r="D7">
            <v>23</v>
          </cell>
          <cell r="E7">
            <v>1</v>
          </cell>
          <cell r="F7">
            <v>0</v>
          </cell>
          <cell r="G7">
            <v>0</v>
          </cell>
          <cell r="H7">
            <v>0</v>
          </cell>
        </row>
        <row r="8">
          <cell r="B8" t="str">
            <v>Unit Tests - Python - Encoders</v>
          </cell>
          <cell r="C8" t="str">
            <v>C</v>
          </cell>
          <cell r="D8">
            <v>23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</row>
        <row r="9">
          <cell r="B9" t="str">
            <v>Unit Tests - VHDL &amp; C - Ultrasonic Interrupts</v>
          </cell>
          <cell r="C9" t="str">
            <v>P &amp; Br</v>
          </cell>
          <cell r="D9">
            <v>23</v>
          </cell>
          <cell r="E9">
            <v>2</v>
          </cell>
          <cell r="F9">
            <v>0</v>
          </cell>
          <cell r="G9">
            <v>0</v>
          </cell>
          <cell r="H9">
            <v>0</v>
          </cell>
        </row>
        <row r="10">
          <cell r="B10" t="str">
            <v>Unit Tests - GUI mapping</v>
          </cell>
          <cell r="C10" t="str">
            <v>Ba</v>
          </cell>
          <cell r="D10">
            <v>23</v>
          </cell>
          <cell r="E10">
            <v>5</v>
          </cell>
          <cell r="F10">
            <v>0</v>
          </cell>
          <cell r="G10">
            <v>0</v>
          </cell>
          <cell r="H10">
            <v>0</v>
          </cell>
        </row>
        <row r="11">
          <cell r="B11" t="str">
            <v>Unit Tests - Motors</v>
          </cell>
          <cell r="C11" t="str">
            <v>Ba</v>
          </cell>
          <cell r="D11">
            <v>23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</row>
        <row r="14">
          <cell r="B14" t="str">
            <v xml:space="preserve">   Calibration - Python</v>
          </cell>
          <cell r="C14" t="str">
            <v>C &amp; Z</v>
          </cell>
          <cell r="D14">
            <v>31</v>
          </cell>
          <cell r="E14">
            <v>7</v>
          </cell>
          <cell r="F14">
            <v>0</v>
          </cell>
          <cell r="G14">
            <v>0</v>
          </cell>
          <cell r="H14">
            <v>0</v>
          </cell>
        </row>
        <row r="15">
          <cell r="B15" t="str">
            <v>Calibration - VHDL side</v>
          </cell>
          <cell r="C15" t="str">
            <v>P &amp; Br</v>
          </cell>
          <cell r="D15">
            <v>25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 xml:space="preserve">   Calibration - Ultrasonic sensors</v>
          </cell>
          <cell r="C16" t="str">
            <v>Ba &amp; Br &amp; P</v>
          </cell>
          <cell r="D16">
            <v>31</v>
          </cell>
          <cell r="E16">
            <v>7</v>
          </cell>
          <cell r="F16">
            <v>0</v>
          </cell>
          <cell r="G16">
            <v>0</v>
          </cell>
          <cell r="H16">
            <v>0</v>
          </cell>
        </row>
        <row r="17">
          <cell r="B17" t="str">
            <v>VHDL</v>
          </cell>
          <cell r="C17" t="str">
            <v>P &amp; Br</v>
          </cell>
          <cell r="D17"/>
          <cell r="E17"/>
          <cell r="F17"/>
          <cell r="G17"/>
          <cell r="H17"/>
        </row>
        <row r="18">
          <cell r="B18" t="str">
            <v>Create PWM AXI on Vivado</v>
          </cell>
          <cell r="C18" t="str">
            <v>P</v>
          </cell>
          <cell r="D18">
            <v>25</v>
          </cell>
          <cell r="E18">
            <v>7</v>
          </cell>
          <cell r="F18">
            <v>0</v>
          </cell>
          <cell r="G18">
            <v>0</v>
          </cell>
          <cell r="H18">
            <v>0</v>
          </cell>
        </row>
        <row r="19">
          <cell r="B19" t="str">
            <v>Create Ultrasonic sensor AXI on Vivado</v>
          </cell>
          <cell r="C19" t="str">
            <v>P</v>
          </cell>
          <cell r="D19">
            <v>25</v>
          </cell>
          <cell r="E19">
            <v>7</v>
          </cell>
          <cell r="F19">
            <v>0</v>
          </cell>
          <cell r="G19">
            <v>0</v>
          </cell>
          <cell r="H19">
            <v>0</v>
          </cell>
        </row>
        <row r="21">
          <cell r="B21" t="str">
            <v>Python</v>
          </cell>
          <cell r="C21" t="str">
            <v>C &amp; Z</v>
          </cell>
          <cell r="D21"/>
          <cell r="E21"/>
          <cell r="F21"/>
          <cell r="G21"/>
          <cell r="H21"/>
        </row>
        <row r="22">
          <cell r="B22" t="str">
            <v>GUI - Create camera feed</v>
          </cell>
          <cell r="C22" t="str">
            <v>Z</v>
          </cell>
          <cell r="D22">
            <v>23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</row>
        <row r="23">
          <cell r="B23" t="str">
            <v>GUI - Create unknown map</v>
          </cell>
          <cell r="C23" t="str">
            <v>C</v>
          </cell>
          <cell r="D23">
            <v>32</v>
          </cell>
          <cell r="E23">
            <v>15</v>
          </cell>
          <cell r="F23">
            <v>0</v>
          </cell>
          <cell r="G23">
            <v>0</v>
          </cell>
          <cell r="H23">
            <v>0</v>
          </cell>
        </row>
        <row r="24">
          <cell r="B24" t="str">
            <v>Create Movement functions</v>
          </cell>
          <cell r="C24" t="str">
            <v>Z</v>
          </cell>
          <cell r="D24">
            <v>32</v>
          </cell>
          <cell r="E24">
            <v>5</v>
          </cell>
          <cell r="F24">
            <v>0</v>
          </cell>
          <cell r="G24">
            <v>0</v>
          </cell>
          <cell r="H24">
            <v>0</v>
          </cell>
        </row>
        <row r="28">
          <cell r="B28" t="str">
            <v>Make turning smart with gyro</v>
          </cell>
          <cell r="C28" t="str">
            <v>C &amp; Z</v>
          </cell>
          <cell r="D28">
            <v>35</v>
          </cell>
          <cell r="E28">
            <v>5</v>
          </cell>
          <cell r="F28">
            <v>0</v>
          </cell>
          <cell r="G28">
            <v>0</v>
          </cell>
          <cell r="H28">
            <v>0</v>
          </cell>
        </row>
        <row r="29">
          <cell r="B29" t="str">
            <v>C Development</v>
          </cell>
          <cell r="C29" t="str">
            <v>Br</v>
          </cell>
          <cell r="D29"/>
          <cell r="E29"/>
          <cell r="F29"/>
          <cell r="G29"/>
          <cell r="H29"/>
        </row>
        <row r="30">
          <cell r="B30" t="str">
            <v>Write code for Ultrasonic Sensors</v>
          </cell>
          <cell r="C30" t="str">
            <v>Br</v>
          </cell>
          <cell r="D30">
            <v>29</v>
          </cell>
          <cell r="E30">
            <v>7</v>
          </cell>
          <cell r="F30">
            <v>0</v>
          </cell>
          <cell r="G30">
            <v>0</v>
          </cell>
          <cell r="H30">
            <v>0</v>
          </cell>
        </row>
        <row r="35">
          <cell r="B35" t="str">
            <v>Project Management</v>
          </cell>
          <cell r="C35" t="str">
            <v>An &amp; T &amp; ?</v>
          </cell>
          <cell r="H35"/>
        </row>
        <row r="36">
          <cell r="B36" t="str">
            <v>Complete CDR Plan</v>
          </cell>
          <cell r="C36" t="str">
            <v>An</v>
          </cell>
          <cell r="D36">
            <v>23</v>
          </cell>
          <cell r="E36">
            <v>7</v>
          </cell>
          <cell r="F36">
            <v>23</v>
          </cell>
          <cell r="G36">
            <v>0</v>
          </cell>
          <cell r="H36">
            <v>0.5</v>
          </cell>
        </row>
        <row r="37">
          <cell r="B37" t="str">
            <v>Develop Tech Memo - PWM</v>
          </cell>
          <cell r="C37" t="str">
            <v>?</v>
          </cell>
          <cell r="D37">
            <v>41</v>
          </cell>
          <cell r="E37">
            <v>6</v>
          </cell>
          <cell r="F37">
            <v>0</v>
          </cell>
          <cell r="G37">
            <v>0</v>
          </cell>
          <cell r="H37">
            <v>0</v>
          </cell>
        </row>
        <row r="38">
          <cell r="B38" t="str">
            <v>Develop Tech Memo - Python</v>
          </cell>
          <cell r="C38" t="str">
            <v>?</v>
          </cell>
          <cell r="D38">
            <v>41</v>
          </cell>
          <cell r="E38">
            <v>6</v>
          </cell>
          <cell r="F38">
            <v>0</v>
          </cell>
          <cell r="G38">
            <v>0</v>
          </cell>
          <cell r="H38">
            <v>0</v>
          </cell>
        </row>
        <row r="39">
          <cell r="B39" t="str">
            <v>Develop Tech Memo - Rover</v>
          </cell>
          <cell r="C39" t="str">
            <v>An</v>
          </cell>
          <cell r="D39">
            <v>41</v>
          </cell>
          <cell r="E39">
            <v>6</v>
          </cell>
          <cell r="F39">
            <v>0</v>
          </cell>
          <cell r="G39">
            <v>0</v>
          </cell>
          <cell r="H39">
            <v>0</v>
          </cell>
        </row>
        <row r="40">
          <cell r="B40" t="str">
            <v>CDR PowerPoint</v>
          </cell>
          <cell r="C40" t="str">
            <v>T</v>
          </cell>
          <cell r="D40">
            <v>45</v>
          </cell>
          <cell r="E40">
            <v>10</v>
          </cell>
          <cell r="F40">
            <v>0</v>
          </cell>
          <cell r="G40">
            <v>0</v>
          </cell>
          <cell r="H40">
            <v>0</v>
          </cell>
        </row>
        <row r="41">
          <cell r="B41" t="str">
            <v>CDR</v>
          </cell>
          <cell r="C41" t="str">
            <v>T</v>
          </cell>
          <cell r="D41">
            <v>55</v>
          </cell>
          <cell r="E41">
            <v>1</v>
          </cell>
          <cell r="F41">
            <v>55</v>
          </cell>
          <cell r="G41">
            <v>1</v>
          </cell>
          <cell r="H41">
            <v>0</v>
          </cell>
        </row>
        <row r="42">
          <cell r="B42" t="str">
            <v>After We Finish</v>
          </cell>
          <cell r="C42" t="str">
            <v>C &amp; An</v>
          </cell>
          <cell r="H42"/>
        </row>
        <row r="43">
          <cell r="B43" t="str">
            <v>Create sound board*</v>
          </cell>
          <cell r="C43" t="str">
            <v>C &amp; An</v>
          </cell>
          <cell r="D43" t="str">
            <v>TBA</v>
          </cell>
          <cell r="E43" t="str">
            <v>TBA</v>
          </cell>
          <cell r="F43">
            <v>0</v>
          </cell>
          <cell r="G43">
            <v>0</v>
          </cell>
          <cell r="H43">
            <v>0</v>
          </cell>
        </row>
        <row r="44">
          <cell r="B44" t="str">
            <v>Implement Wireless Speaker</v>
          </cell>
          <cell r="C44" t="str">
            <v>An</v>
          </cell>
          <cell r="D44" t="str">
            <v>TBA</v>
          </cell>
          <cell r="E44" t="str">
            <v>TBA</v>
          </cell>
          <cell r="F44">
            <v>0</v>
          </cell>
          <cell r="G44">
            <v>0</v>
          </cell>
          <cell r="H44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..\C%20Development\pseudocode-zdw.txt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../VHDL/Motor%20Subsystem%20-%20VHDL.txt" TargetMode="External"/><Relationship Id="rId7" Type="http://schemas.openxmlformats.org/officeDocument/2006/relationships/hyperlink" Target="../Python/IMG_8310.JPG" TargetMode="External"/><Relationship Id="rId12" Type="http://schemas.openxmlformats.org/officeDocument/2006/relationships/hyperlink" Target="../Hardware/Manuals/IMU/MPU-6000-Datasheet1.pdf" TargetMode="External"/><Relationship Id="rId17" Type="http://schemas.openxmlformats.org/officeDocument/2006/relationships/image" Target="../media/image27.emf"/><Relationship Id="rId2" Type="http://schemas.openxmlformats.org/officeDocument/2006/relationships/hyperlink" Target="../_Requirements/Sensor%20HC-SR04.docx" TargetMode="External"/><Relationship Id="rId16" Type="http://schemas.openxmlformats.org/officeDocument/2006/relationships/control" Target="../activeX/activeX27.xml"/><Relationship Id="rId1" Type="http://schemas.openxmlformats.org/officeDocument/2006/relationships/hyperlink" Target="PDR\NewFolder%20-%20PDR.pptx" TargetMode="External"/><Relationship Id="rId6" Type="http://schemas.openxmlformats.org/officeDocument/2006/relationships/hyperlink" Target="..\System\Top%20Level_rev0.jpg" TargetMode="External"/><Relationship Id="rId11" Type="http://schemas.openxmlformats.org/officeDocument/2006/relationships/hyperlink" Target="../Hardware/Manuals/4-Channel-controller-instruction-manual.pdf" TargetMode="External"/><Relationship Id="rId5" Type="http://schemas.openxmlformats.org/officeDocument/2006/relationships/hyperlink" Target="..\Python\Calibration.txt" TargetMode="External"/><Relationship Id="rId15" Type="http://schemas.openxmlformats.org/officeDocument/2006/relationships/vmlDrawing" Target="../drawings/vmlDrawing9.vml"/><Relationship Id="rId10" Type="http://schemas.openxmlformats.org/officeDocument/2006/relationships/hyperlink" Target="../Hardware/MiscSensor.txt" TargetMode="External"/><Relationship Id="rId4" Type="http://schemas.openxmlformats.org/officeDocument/2006/relationships/hyperlink" Target="../VHDL/PWM%20Generation_rev0.jpg" TargetMode="External"/><Relationship Id="rId9" Type="http://schemas.openxmlformats.org/officeDocument/2006/relationships/hyperlink" Target="../Python/Calibration.txt" TargetMode="External"/><Relationship Id="rId14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1"/>
  <sheetViews>
    <sheetView tabSelected="1" zoomScale="115" zoomScaleNormal="115" workbookViewId="0">
      <selection activeCell="H14" sqref="H14"/>
    </sheetView>
  </sheetViews>
  <sheetFormatPr defaultColWidth="8.85546875" defaultRowHeight="15" x14ac:dyDescent="0.25"/>
  <cols>
    <col min="1" max="1" width="18.7109375" style="68" bestFit="1" customWidth="1"/>
    <col min="2" max="2" width="7.140625" style="68" customWidth="1"/>
    <col min="3" max="3" width="5" style="68" bestFit="1" customWidth="1"/>
    <col min="4" max="4" width="24.5703125" style="68" customWidth="1"/>
    <col min="5" max="5" width="6.5703125" style="68" customWidth="1"/>
    <col min="6" max="7" width="24.5703125" style="68" customWidth="1"/>
    <col min="8" max="8" width="20.28515625" style="68" bestFit="1" customWidth="1"/>
    <col min="9" max="1017" width="24.5703125" style="68" customWidth="1"/>
    <col min="1018" max="16384" width="8.85546875" style="68"/>
  </cols>
  <sheetData>
    <row r="1" spans="2:3" x14ac:dyDescent="0.25">
      <c r="B1" s="68" t="s">
        <v>144</v>
      </c>
      <c r="C1" s="68">
        <v>100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7" r:id="rId4" name="Cost_but">
          <controlPr defaultSize="0" autoLine="0" r:id="rId5">
            <anchor moveWithCells="1">
              <from>
                <xdr:col>7</xdr:col>
                <xdr:colOff>1123950</xdr:colOff>
                <xdr:row>6</xdr:row>
                <xdr:rowOff>95250</xdr:rowOff>
              </from>
              <to>
                <xdr:col>8</xdr:col>
                <xdr:colOff>781050</xdr:colOff>
                <xdr:row>8</xdr:row>
                <xdr:rowOff>38100</xdr:rowOff>
              </to>
            </anchor>
          </controlPr>
        </control>
      </mc:Choice>
      <mc:Fallback>
        <control shapeId="1047" r:id="rId4" name="Cost_but"/>
      </mc:Fallback>
    </mc:AlternateContent>
    <mc:AlternateContent xmlns:mc="http://schemas.openxmlformats.org/markup-compatibility/2006">
      <mc:Choice Requires="x14">
        <control shapeId="1046" r:id="rId6" name="Charts_but">
          <controlPr defaultSize="0" autoLine="0" r:id="rId7">
            <anchor moveWithCells="1">
              <from>
                <xdr:col>7</xdr:col>
                <xdr:colOff>323850</xdr:colOff>
                <xdr:row>4</xdr:row>
                <xdr:rowOff>66675</xdr:rowOff>
              </from>
              <to>
                <xdr:col>7</xdr:col>
                <xdr:colOff>1333500</xdr:colOff>
                <xdr:row>6</xdr:row>
                <xdr:rowOff>9525</xdr:rowOff>
              </to>
            </anchor>
          </controlPr>
        </control>
      </mc:Choice>
      <mc:Fallback>
        <control shapeId="1046" r:id="rId6" name="Charts_but"/>
      </mc:Fallback>
    </mc:AlternateContent>
    <mc:AlternateContent xmlns:mc="http://schemas.openxmlformats.org/markup-compatibility/2006">
      <mc:Choice Requires="x14">
        <control shapeId="1045" r:id="rId8" name="CDRGanttChart_but">
          <controlPr autoLine="0" autoPict="0" r:id="rId9">
            <anchor moveWithCells="1">
              <from>
                <xdr:col>5</xdr:col>
                <xdr:colOff>447675</xdr:colOff>
                <xdr:row>0</xdr:row>
                <xdr:rowOff>133350</xdr:rowOff>
              </from>
              <to>
                <xdr:col>6</xdr:col>
                <xdr:colOff>0</xdr:colOff>
                <xdr:row>2</xdr:row>
                <xdr:rowOff>95250</xdr:rowOff>
              </to>
            </anchor>
          </controlPr>
        </control>
      </mc:Choice>
      <mc:Fallback>
        <control shapeId="1045" r:id="rId8" name="CDRGanttChart_but"/>
      </mc:Fallback>
    </mc:AlternateContent>
    <mc:AlternateContent xmlns:mc="http://schemas.openxmlformats.org/markup-compatibility/2006">
      <mc:Choice Requires="x14">
        <control shapeId="1044" r:id="rId10" name="MeetingReport_but">
          <controlPr autoLine="0" r:id="rId11">
            <anchor moveWithCells="1">
              <from>
                <xdr:col>6</xdr:col>
                <xdr:colOff>19050</xdr:colOff>
                <xdr:row>7</xdr:row>
                <xdr:rowOff>95250</xdr:rowOff>
              </from>
              <to>
                <xdr:col>6</xdr:col>
                <xdr:colOff>1076325</xdr:colOff>
                <xdr:row>9</xdr:row>
                <xdr:rowOff>76200</xdr:rowOff>
              </to>
            </anchor>
          </controlPr>
        </control>
      </mc:Choice>
      <mc:Fallback>
        <control shapeId="1044" r:id="rId10" name="MeetingReport_but"/>
      </mc:Fallback>
    </mc:AlternateContent>
    <mc:AlternateContent xmlns:mc="http://schemas.openxmlformats.org/markup-compatibility/2006">
      <mc:Choice Requires="x14">
        <control shapeId="1043" r:id="rId12" name="BurnReport_but">
          <controlPr autoLine="0" r:id="rId13">
            <anchor moveWithCells="1">
              <from>
                <xdr:col>6</xdr:col>
                <xdr:colOff>47625</xdr:colOff>
                <xdr:row>4</xdr:row>
                <xdr:rowOff>85725</xdr:rowOff>
              </from>
              <to>
                <xdr:col>6</xdr:col>
                <xdr:colOff>962025</xdr:colOff>
                <xdr:row>6</xdr:row>
                <xdr:rowOff>9525</xdr:rowOff>
              </to>
            </anchor>
          </controlPr>
        </control>
      </mc:Choice>
      <mc:Fallback>
        <control shapeId="1043" r:id="rId12" name="BurnReport_but"/>
      </mc:Fallback>
    </mc:AlternateContent>
    <mc:AlternateContent xmlns:mc="http://schemas.openxmlformats.org/markup-compatibility/2006">
      <mc:Choice Requires="x14">
        <control shapeId="1042" r:id="rId14" name="PDRGanttChart_but">
          <controlPr autoLine="0" r:id="rId15">
            <anchor moveWithCells="1">
              <from>
                <xdr:col>5</xdr:col>
                <xdr:colOff>447675</xdr:colOff>
                <xdr:row>4</xdr:row>
                <xdr:rowOff>57150</xdr:rowOff>
              </from>
              <to>
                <xdr:col>5</xdr:col>
                <xdr:colOff>1600200</xdr:colOff>
                <xdr:row>6</xdr:row>
                <xdr:rowOff>9525</xdr:rowOff>
              </to>
            </anchor>
          </controlPr>
        </control>
      </mc:Choice>
      <mc:Fallback>
        <control shapeId="1042" r:id="rId14" name="PDRGanttChart_but"/>
      </mc:Fallback>
    </mc:AlternateContent>
    <mc:AlternateContent xmlns:mc="http://schemas.openxmlformats.org/markup-compatibility/2006">
      <mc:Choice Requires="x14">
        <control shapeId="1041" r:id="rId16" name="Metrics_but">
          <controlPr autoLine="0" autoPict="0" r:id="rId17">
            <anchor moveWithCells="1">
              <from>
                <xdr:col>7</xdr:col>
                <xdr:colOff>1085850</xdr:colOff>
                <xdr:row>2</xdr:row>
                <xdr:rowOff>47625</xdr:rowOff>
              </from>
              <to>
                <xdr:col>8</xdr:col>
                <xdr:colOff>981075</xdr:colOff>
                <xdr:row>3</xdr:row>
                <xdr:rowOff>171450</xdr:rowOff>
              </to>
            </anchor>
          </controlPr>
        </control>
      </mc:Choice>
      <mc:Fallback>
        <control shapeId="1041" r:id="rId16" name="Metrics_but"/>
      </mc:Fallback>
    </mc:AlternateContent>
    <mc:AlternateContent xmlns:mc="http://schemas.openxmlformats.org/markup-compatibility/2006">
      <mc:Choice Requires="x14">
        <control shapeId="1040" r:id="rId18" name="ZackCost_but">
          <controlPr autoLine="0" r:id="rId19">
            <anchor moveWithCells="1">
              <from>
                <xdr:col>3</xdr:col>
                <xdr:colOff>1352550</xdr:colOff>
                <xdr:row>8</xdr:row>
                <xdr:rowOff>0</xdr:rowOff>
              </from>
              <to>
                <xdr:col>4</xdr:col>
                <xdr:colOff>295275</xdr:colOff>
                <xdr:row>9</xdr:row>
                <xdr:rowOff>95250</xdr:rowOff>
              </to>
            </anchor>
          </controlPr>
        </control>
      </mc:Choice>
      <mc:Fallback>
        <control shapeId="1040" r:id="rId18" name="ZackCost_but"/>
      </mc:Fallback>
    </mc:AlternateContent>
    <mc:AlternateContent xmlns:mc="http://schemas.openxmlformats.org/markup-compatibility/2006">
      <mc:Choice Requires="x14">
        <control shapeId="1039" r:id="rId20" name="PeterCost_but">
          <controlPr autoLine="0" r:id="rId21">
            <anchor moveWithCells="1">
              <from>
                <xdr:col>3</xdr:col>
                <xdr:colOff>1352550</xdr:colOff>
                <xdr:row>4</xdr:row>
                <xdr:rowOff>95250</xdr:rowOff>
              </from>
              <to>
                <xdr:col>4</xdr:col>
                <xdr:colOff>247650</xdr:colOff>
                <xdr:row>6</xdr:row>
                <xdr:rowOff>19050</xdr:rowOff>
              </to>
            </anchor>
          </controlPr>
        </control>
      </mc:Choice>
      <mc:Fallback>
        <control shapeId="1039" r:id="rId20" name="PeterCost_but"/>
      </mc:Fallback>
    </mc:AlternateContent>
    <mc:AlternateContent xmlns:mc="http://schemas.openxmlformats.org/markup-compatibility/2006">
      <mc:Choice Requires="x14">
        <control shapeId="1038" r:id="rId22" name="CodyCost_but">
          <controlPr autoLine="0" r:id="rId23">
            <anchor moveWithCells="1">
              <from>
                <xdr:col>3</xdr:col>
                <xdr:colOff>1352550</xdr:colOff>
                <xdr:row>1</xdr:row>
                <xdr:rowOff>85725</xdr:rowOff>
              </from>
              <to>
                <xdr:col>4</xdr:col>
                <xdr:colOff>295275</xdr:colOff>
                <xdr:row>2</xdr:row>
                <xdr:rowOff>180975</xdr:rowOff>
              </to>
            </anchor>
          </controlPr>
        </control>
      </mc:Choice>
      <mc:Fallback>
        <control shapeId="1038" r:id="rId22" name="CodyCost_but"/>
      </mc:Fallback>
    </mc:AlternateContent>
    <mc:AlternateContent xmlns:mc="http://schemas.openxmlformats.org/markup-compatibility/2006">
      <mc:Choice Requires="x14">
        <control shapeId="1037" r:id="rId24" name="BrandonCost_but">
          <controlPr autoLine="0" r:id="rId25">
            <anchor moveWithCells="1">
              <from>
                <xdr:col>2</xdr:col>
                <xdr:colOff>238125</xdr:colOff>
                <xdr:row>8</xdr:row>
                <xdr:rowOff>0</xdr:rowOff>
              </from>
              <to>
                <xdr:col>3</xdr:col>
                <xdr:colOff>466725</xdr:colOff>
                <xdr:row>9</xdr:row>
                <xdr:rowOff>104775</xdr:rowOff>
              </to>
            </anchor>
          </controlPr>
        </control>
      </mc:Choice>
      <mc:Fallback>
        <control shapeId="1037" r:id="rId24" name="BrandonCost_but"/>
      </mc:Fallback>
    </mc:AlternateContent>
    <mc:AlternateContent xmlns:mc="http://schemas.openxmlformats.org/markup-compatibility/2006">
      <mc:Choice Requires="x14">
        <control shapeId="1036" r:id="rId26" name="BachCost_but">
          <controlPr autoLine="0" r:id="rId27">
            <anchor moveWithCells="1">
              <from>
                <xdr:col>2</xdr:col>
                <xdr:colOff>219075</xdr:colOff>
                <xdr:row>4</xdr:row>
                <xdr:rowOff>133350</xdr:rowOff>
              </from>
              <to>
                <xdr:col>3</xdr:col>
                <xdr:colOff>466725</xdr:colOff>
                <xdr:row>6</xdr:row>
                <xdr:rowOff>38100</xdr:rowOff>
              </to>
            </anchor>
          </controlPr>
        </control>
      </mc:Choice>
      <mc:Fallback>
        <control shapeId="1036" r:id="rId26" name="BachCost_but"/>
      </mc:Fallback>
    </mc:AlternateContent>
    <mc:AlternateContent xmlns:mc="http://schemas.openxmlformats.org/markup-compatibility/2006">
      <mc:Choice Requires="x14">
        <control shapeId="1034" r:id="rId28" name="AndreiCost_but">
          <controlPr autoLine="0" r:id="rId29">
            <anchor moveWithCells="1">
              <from>
                <xdr:col>2</xdr:col>
                <xdr:colOff>238125</xdr:colOff>
                <xdr:row>1</xdr:row>
                <xdr:rowOff>95250</xdr:rowOff>
              </from>
              <to>
                <xdr:col>3</xdr:col>
                <xdr:colOff>476250</xdr:colOff>
                <xdr:row>3</xdr:row>
                <xdr:rowOff>0</xdr:rowOff>
              </to>
            </anchor>
          </controlPr>
        </control>
      </mc:Choice>
      <mc:Fallback>
        <control shapeId="1034" r:id="rId28" name="AndreiCost_but"/>
      </mc:Fallback>
    </mc:AlternateContent>
    <mc:AlternateContent xmlns:mc="http://schemas.openxmlformats.org/markup-compatibility/2006">
      <mc:Choice Requires="x14">
        <control shapeId="1033" r:id="rId30" name="ZackPlanner_but">
          <controlPr autoLine="0" r:id="rId31">
            <anchor moveWithCells="1">
              <from>
                <xdr:col>3</xdr:col>
                <xdr:colOff>742950</xdr:colOff>
                <xdr:row>8</xdr:row>
                <xdr:rowOff>0</xdr:rowOff>
              </from>
              <to>
                <xdr:col>3</xdr:col>
                <xdr:colOff>1323975</xdr:colOff>
                <xdr:row>9</xdr:row>
                <xdr:rowOff>95250</xdr:rowOff>
              </to>
            </anchor>
          </controlPr>
        </control>
      </mc:Choice>
      <mc:Fallback>
        <control shapeId="1033" r:id="rId30" name="ZackPlanner_but"/>
      </mc:Fallback>
    </mc:AlternateContent>
    <mc:AlternateContent xmlns:mc="http://schemas.openxmlformats.org/markup-compatibility/2006">
      <mc:Choice Requires="x14">
        <control shapeId="1032" r:id="rId32" name="PeterPlanner_but">
          <controlPr autoLine="0" r:id="rId33">
            <anchor moveWithCells="1">
              <from>
                <xdr:col>3</xdr:col>
                <xdr:colOff>771525</xdr:colOff>
                <xdr:row>4</xdr:row>
                <xdr:rowOff>114300</xdr:rowOff>
              </from>
              <to>
                <xdr:col>3</xdr:col>
                <xdr:colOff>1323975</xdr:colOff>
                <xdr:row>6</xdr:row>
                <xdr:rowOff>0</xdr:rowOff>
              </to>
            </anchor>
          </controlPr>
        </control>
      </mc:Choice>
      <mc:Fallback>
        <control shapeId="1032" r:id="rId32" name="PeterPlanner_but"/>
      </mc:Fallback>
    </mc:AlternateContent>
    <mc:AlternateContent xmlns:mc="http://schemas.openxmlformats.org/markup-compatibility/2006">
      <mc:Choice Requires="x14">
        <control shapeId="1031" r:id="rId34" name="CodyPlanner_but">
          <controlPr autoLine="0" r:id="rId35">
            <anchor moveWithCells="1">
              <from>
                <xdr:col>3</xdr:col>
                <xdr:colOff>762000</xdr:colOff>
                <xdr:row>1</xdr:row>
                <xdr:rowOff>85725</xdr:rowOff>
              </from>
              <to>
                <xdr:col>3</xdr:col>
                <xdr:colOff>1333500</xdr:colOff>
                <xdr:row>2</xdr:row>
                <xdr:rowOff>180975</xdr:rowOff>
              </to>
            </anchor>
          </controlPr>
        </control>
      </mc:Choice>
      <mc:Fallback>
        <control shapeId="1031" r:id="rId34" name="CodyPlanner_but"/>
      </mc:Fallback>
    </mc:AlternateContent>
    <mc:AlternateContent xmlns:mc="http://schemas.openxmlformats.org/markup-compatibility/2006">
      <mc:Choice Requires="x14">
        <control shapeId="1027" r:id="rId36" name="BrandonPlanner_but">
          <controlPr autoLine="0" r:id="rId37">
            <anchor moveWithCells="1">
              <from>
                <xdr:col>1</xdr:col>
                <xdr:colOff>104775</xdr:colOff>
                <xdr:row>8</xdr:row>
                <xdr:rowOff>9525</xdr:rowOff>
              </from>
              <to>
                <xdr:col>2</xdr:col>
                <xdr:colOff>209550</xdr:colOff>
                <xdr:row>9</xdr:row>
                <xdr:rowOff>104775</xdr:rowOff>
              </to>
            </anchor>
          </controlPr>
        </control>
      </mc:Choice>
      <mc:Fallback>
        <control shapeId="1027" r:id="rId36" name="BrandonPlanner_but"/>
      </mc:Fallback>
    </mc:AlternateContent>
    <mc:AlternateContent xmlns:mc="http://schemas.openxmlformats.org/markup-compatibility/2006">
      <mc:Choice Requires="x14">
        <control shapeId="1026" r:id="rId38" name="BachPlanner_but">
          <controlPr autoLine="0" autoPict="0" r:id="rId39">
            <anchor moveWithCells="1">
              <from>
                <xdr:col>1</xdr:col>
                <xdr:colOff>104775</xdr:colOff>
                <xdr:row>4</xdr:row>
                <xdr:rowOff>142875</xdr:rowOff>
              </from>
              <to>
                <xdr:col>2</xdr:col>
                <xdr:colOff>171450</xdr:colOff>
                <xdr:row>6</xdr:row>
                <xdr:rowOff>47625</xdr:rowOff>
              </to>
            </anchor>
          </controlPr>
        </control>
      </mc:Choice>
      <mc:Fallback>
        <control shapeId="1026" r:id="rId38" name="BachPlanner_but"/>
      </mc:Fallback>
    </mc:AlternateContent>
    <mc:AlternateContent xmlns:mc="http://schemas.openxmlformats.org/markup-compatibility/2006">
      <mc:Choice Requires="x14">
        <control shapeId="1025" r:id="rId40" name="AndreiPlanner_but">
          <controlPr autoLine="0" r:id="rId41">
            <anchor moveWithCells="1">
              <from>
                <xdr:col>1</xdr:col>
                <xdr:colOff>114300</xdr:colOff>
                <xdr:row>1</xdr:row>
                <xdr:rowOff>95250</xdr:rowOff>
              </from>
              <to>
                <xdr:col>2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25" r:id="rId40" name="AndreiPlanner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L13" sqref="L13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Overview_but">
          <controlPr defaultSize="0" autoLine="0" r:id="rId4">
            <anchor moveWithCells="1">
              <from>
                <xdr:col>10</xdr:col>
                <xdr:colOff>247650</xdr:colOff>
                <xdr:row>0</xdr:row>
                <xdr:rowOff>76200</xdr:rowOff>
              </from>
              <to>
                <xdr:col>12</xdr:col>
                <xdr:colOff>66675</xdr:colOff>
                <xdr:row>2</xdr:row>
                <xdr:rowOff>152400</xdr:rowOff>
              </to>
            </anchor>
          </controlPr>
        </control>
      </mc:Choice>
      <mc:Fallback>
        <control shapeId="30721" r:id="rId3" name="Overview_b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60"/>
  <sheetViews>
    <sheetView showGridLines="0" zoomScale="70" zoomScaleNormal="70" zoomScalePageLayoutView="80" workbookViewId="0">
      <pane ySplit="4" topLeftCell="A29" activePane="bottomLeft" state="frozen"/>
      <selection pane="bottomLeft" activeCell="C28" sqref="C28"/>
    </sheetView>
  </sheetViews>
  <sheetFormatPr defaultRowHeight="17.25" outlineLevelRow="1" x14ac:dyDescent="0.3"/>
  <cols>
    <col min="1" max="1" width="3" style="1" customWidth="1"/>
    <col min="2" max="2" width="47.710937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9" width="3.5703125" style="4" customWidth="1"/>
    <col min="10" max="28" width="3.140625" style="4" customWidth="1"/>
    <col min="29" max="1025" width="3.140625" style="1" customWidth="1"/>
  </cols>
  <sheetData>
    <row r="1" spans="1:68" ht="54" x14ac:dyDescent="0.8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25">
      <c r="B2" s="287">
        <f ca="1">NOW()</f>
        <v>43209.749337037036</v>
      </c>
      <c r="C2" s="287"/>
      <c r="D2" s="287"/>
      <c r="E2" s="287"/>
      <c r="F2" s="287"/>
      <c r="G2" s="287"/>
      <c r="H2" s="9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  <c r="AX3" s="16">
        <v>2</v>
      </c>
      <c r="AY3" s="16">
        <v>3</v>
      </c>
      <c r="AZ3" s="16">
        <v>4</v>
      </c>
      <c r="BA3" s="16">
        <v>5</v>
      </c>
      <c r="BB3" s="16">
        <v>6</v>
      </c>
      <c r="BC3" s="16">
        <v>7</v>
      </c>
      <c r="BD3" s="16">
        <v>8</v>
      </c>
      <c r="BE3" s="16">
        <v>9</v>
      </c>
      <c r="BF3" s="16">
        <v>10</v>
      </c>
      <c r="BG3" s="16">
        <v>11</v>
      </c>
      <c r="BH3" s="16">
        <v>12</v>
      </c>
      <c r="BI3" s="16">
        <v>13</v>
      </c>
      <c r="BJ3" s="16">
        <v>14</v>
      </c>
      <c r="BK3" s="16">
        <v>15</v>
      </c>
      <c r="BL3" s="16">
        <v>16</v>
      </c>
      <c r="BM3" s="16">
        <v>17</v>
      </c>
      <c r="BN3" s="16">
        <v>18</v>
      </c>
      <c r="BO3" s="16">
        <v>19</v>
      </c>
      <c r="BP3" s="16">
        <v>20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24" t="s">
        <v>17</v>
      </c>
      <c r="C5" s="25" t="s">
        <v>18</v>
      </c>
      <c r="D5" s="26">
        <v>22</v>
      </c>
      <c r="E5" s="27">
        <v>1</v>
      </c>
      <c r="F5" s="27">
        <v>22</v>
      </c>
      <c r="G5" s="27">
        <v>1</v>
      </c>
      <c r="H5" s="192"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29" t="s">
        <v>19</v>
      </c>
      <c r="C6" s="30" t="s">
        <v>20</v>
      </c>
      <c r="D6" s="31"/>
      <c r="E6" s="31"/>
      <c r="F6" s="31"/>
      <c r="G6" s="31"/>
      <c r="H6" s="193"/>
    </row>
    <row r="7" spans="1:68" s="4" customFormat="1" outlineLevel="1" x14ac:dyDescent="0.25">
      <c r="A7" s="1"/>
      <c r="B7" s="32" t="s">
        <v>151</v>
      </c>
      <c r="C7" s="33" t="s">
        <v>23</v>
      </c>
      <c r="D7" s="31">
        <v>23</v>
      </c>
      <c r="E7" s="31">
        <v>1</v>
      </c>
      <c r="F7" s="31">
        <v>36</v>
      </c>
      <c r="G7" s="31">
        <v>3</v>
      </c>
      <c r="H7" s="193">
        <v>1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25">
      <c r="A8" s="1"/>
      <c r="B8" s="32" t="s">
        <v>150</v>
      </c>
      <c r="C8" s="33" t="s">
        <v>22</v>
      </c>
      <c r="D8" s="31">
        <v>23</v>
      </c>
      <c r="E8" s="31">
        <v>1</v>
      </c>
      <c r="F8" s="31">
        <v>41</v>
      </c>
      <c r="G8" s="31">
        <v>0</v>
      </c>
      <c r="H8" s="193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25">
      <c r="A9" s="1"/>
      <c r="B9" s="32" t="s">
        <v>149</v>
      </c>
      <c r="C9" s="33" t="s">
        <v>148</v>
      </c>
      <c r="D9" s="31">
        <v>23</v>
      </c>
      <c r="E9" s="31">
        <v>2</v>
      </c>
      <c r="F9" s="31">
        <v>34</v>
      </c>
      <c r="G9" s="31">
        <v>5</v>
      </c>
      <c r="H9" s="193">
        <v>0.95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25">
      <c r="A10" s="1"/>
      <c r="B10" s="34" t="s">
        <v>152</v>
      </c>
      <c r="C10" s="30" t="s">
        <v>171</v>
      </c>
      <c r="D10" s="31">
        <v>23</v>
      </c>
      <c r="E10" s="31">
        <v>5</v>
      </c>
      <c r="F10" s="31">
        <v>31</v>
      </c>
      <c r="G10" s="31">
        <v>1</v>
      </c>
      <c r="H10" s="193"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25">
      <c r="A11" s="1"/>
      <c r="B11" s="34" t="s">
        <v>153</v>
      </c>
      <c r="C11" s="30" t="s">
        <v>229</v>
      </c>
      <c r="D11" s="31">
        <v>23</v>
      </c>
      <c r="E11" s="31">
        <v>10</v>
      </c>
      <c r="F11" s="31">
        <v>34</v>
      </c>
      <c r="G11" s="31">
        <v>2</v>
      </c>
      <c r="H11" s="193">
        <v>0.75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25">
      <c r="A12" s="1"/>
      <c r="B12" s="34" t="s">
        <v>154</v>
      </c>
      <c r="C12" s="30" t="s">
        <v>148</v>
      </c>
      <c r="D12" s="31">
        <v>23</v>
      </c>
      <c r="E12" s="31">
        <v>3</v>
      </c>
      <c r="F12" s="31">
        <v>34</v>
      </c>
      <c r="G12" s="31">
        <v>1</v>
      </c>
      <c r="H12" s="193"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25">
      <c r="A13" s="1"/>
      <c r="B13" s="34" t="s">
        <v>155</v>
      </c>
      <c r="C13" s="30" t="s">
        <v>33</v>
      </c>
      <c r="D13" s="31">
        <v>41</v>
      </c>
      <c r="E13" s="31">
        <v>5</v>
      </c>
      <c r="F13" s="31">
        <v>41</v>
      </c>
      <c r="G13" s="31">
        <v>0</v>
      </c>
      <c r="H13" s="193">
        <v>1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25">
      <c r="A14" s="151"/>
      <c r="B14" s="50" t="s">
        <v>178</v>
      </c>
      <c r="C14" s="111" t="s">
        <v>23</v>
      </c>
      <c r="D14" s="111">
        <v>41</v>
      </c>
      <c r="E14" s="111">
        <v>5</v>
      </c>
      <c r="F14" s="111">
        <v>41</v>
      </c>
      <c r="G14" s="4">
        <v>0</v>
      </c>
      <c r="H14" s="194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x14ac:dyDescent="0.25">
      <c r="A15" s="151"/>
      <c r="B15" s="50" t="s">
        <v>230</v>
      </c>
      <c r="C15" s="111" t="s">
        <v>23</v>
      </c>
      <c r="D15" s="111">
        <v>41</v>
      </c>
      <c r="E15" s="111">
        <v>5</v>
      </c>
      <c r="F15" s="111">
        <v>41</v>
      </c>
      <c r="G15" s="4">
        <v>0</v>
      </c>
      <c r="H15" s="194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29" t="s">
        <v>25</v>
      </c>
      <c r="C16" s="30" t="s">
        <v>21</v>
      </c>
      <c r="D16" s="31"/>
      <c r="E16" s="31"/>
      <c r="F16" s="31"/>
      <c r="G16" s="31"/>
      <c r="H16" s="193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outlineLevel="1" x14ac:dyDescent="0.25">
      <c r="A17" s="1"/>
      <c r="B17" s="32" t="s">
        <v>225</v>
      </c>
      <c r="C17" s="33" t="s">
        <v>148</v>
      </c>
      <c r="D17" s="31">
        <v>29</v>
      </c>
      <c r="E17" s="31">
        <v>14</v>
      </c>
      <c r="F17" s="31">
        <v>34</v>
      </c>
      <c r="G17" s="31">
        <v>1</v>
      </c>
      <c r="H17" s="193">
        <v>0.5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25">
      <c r="A18" s="1"/>
      <c r="B18" s="32" t="s">
        <v>226</v>
      </c>
      <c r="C18" s="33" t="s">
        <v>160</v>
      </c>
      <c r="D18" s="31">
        <v>25</v>
      </c>
      <c r="E18" s="31">
        <v>7</v>
      </c>
      <c r="F18" s="31">
        <v>34</v>
      </c>
      <c r="G18" s="31">
        <v>2</v>
      </c>
      <c r="H18" s="193">
        <v>0.75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outlineLevel="1" x14ac:dyDescent="0.25">
      <c r="A19" s="1"/>
      <c r="B19" s="32" t="s">
        <v>227</v>
      </c>
      <c r="C19" s="33" t="s">
        <v>23</v>
      </c>
      <c r="D19" s="31">
        <v>25</v>
      </c>
      <c r="E19" s="31">
        <v>10</v>
      </c>
      <c r="F19" s="31">
        <v>34</v>
      </c>
      <c r="G19" s="31">
        <v>1</v>
      </c>
      <c r="H19" s="193">
        <v>0.75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x14ac:dyDescent="0.25">
      <c r="A20" s="1"/>
      <c r="B20" s="32" t="s">
        <v>228</v>
      </c>
      <c r="C20" s="33" t="s">
        <v>229</v>
      </c>
      <c r="D20" s="31">
        <v>25</v>
      </c>
      <c r="E20" s="31">
        <v>10</v>
      </c>
      <c r="F20" s="31">
        <v>25</v>
      </c>
      <c r="G20" s="31">
        <v>0</v>
      </c>
      <c r="H20" s="193">
        <v>0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29" t="s">
        <v>30</v>
      </c>
      <c r="C21" s="30" t="s">
        <v>31</v>
      </c>
      <c r="D21" s="31"/>
      <c r="E21" s="31"/>
      <c r="F21" s="31"/>
      <c r="G21" s="31"/>
      <c r="H21" s="193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25">
      <c r="A22" s="1"/>
      <c r="B22" s="34" t="s">
        <v>32</v>
      </c>
      <c r="C22" s="30" t="s">
        <v>33</v>
      </c>
      <c r="D22" s="31">
        <v>48</v>
      </c>
      <c r="E22" s="31">
        <v>10</v>
      </c>
      <c r="F22" s="31">
        <v>23</v>
      </c>
      <c r="G22" s="31">
        <v>0</v>
      </c>
      <c r="H22" s="193">
        <v>0.25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25">
      <c r="A23" s="1"/>
      <c r="B23" s="34" t="s">
        <v>34</v>
      </c>
      <c r="C23" s="30" t="s">
        <v>22</v>
      </c>
      <c r="D23" s="31">
        <v>41</v>
      </c>
      <c r="E23" s="31">
        <v>15</v>
      </c>
      <c r="F23" s="31">
        <v>32</v>
      </c>
      <c r="G23" s="31">
        <v>0</v>
      </c>
      <c r="H23" s="193">
        <v>0.5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25">
      <c r="A24" s="1"/>
      <c r="B24" s="34" t="s">
        <v>233</v>
      </c>
      <c r="C24" s="30" t="s">
        <v>31</v>
      </c>
      <c r="D24" s="31">
        <v>41</v>
      </c>
      <c r="E24" s="31">
        <v>7</v>
      </c>
      <c r="F24" s="31">
        <v>36</v>
      </c>
      <c r="G24" s="31">
        <v>0</v>
      </c>
      <c r="H24" s="193">
        <v>0.25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25">
      <c r="A25" s="1"/>
      <c r="B25" s="34" t="s">
        <v>231</v>
      </c>
      <c r="C25" s="30" t="s">
        <v>22</v>
      </c>
      <c r="D25" s="31">
        <v>41</v>
      </c>
      <c r="E25" s="31">
        <v>5</v>
      </c>
      <c r="F25" s="31">
        <v>41</v>
      </c>
      <c r="G25" s="31">
        <v>0</v>
      </c>
      <c r="H25" s="193">
        <v>1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25">
      <c r="A26" s="1"/>
      <c r="B26" s="34" t="s">
        <v>232</v>
      </c>
      <c r="C26" s="30" t="s">
        <v>22</v>
      </c>
      <c r="D26" s="31">
        <v>41</v>
      </c>
      <c r="E26" s="31">
        <v>3</v>
      </c>
      <c r="F26" s="31">
        <v>0</v>
      </c>
      <c r="G26" s="31">
        <v>0</v>
      </c>
      <c r="H26" s="193"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25">
      <c r="A27" s="1"/>
      <c r="B27" s="34" t="s">
        <v>172</v>
      </c>
      <c r="C27" s="30" t="s">
        <v>22</v>
      </c>
      <c r="D27" s="31">
        <v>48</v>
      </c>
      <c r="E27" s="31">
        <v>7</v>
      </c>
      <c r="F27" s="31">
        <v>40</v>
      </c>
      <c r="G27" s="31">
        <v>11</v>
      </c>
      <c r="H27" s="193"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25">
      <c r="A28" s="1"/>
      <c r="B28" s="34" t="s">
        <v>174</v>
      </c>
      <c r="C28" s="30" t="s">
        <v>22</v>
      </c>
      <c r="D28" s="31">
        <v>48</v>
      </c>
      <c r="E28" s="31">
        <v>7</v>
      </c>
      <c r="F28" s="31">
        <v>0</v>
      </c>
      <c r="G28" s="31">
        <v>0</v>
      </c>
      <c r="H28" s="193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25">
      <c r="A29" s="1"/>
      <c r="B29" s="34" t="s">
        <v>175</v>
      </c>
      <c r="C29" s="30" t="s">
        <v>22</v>
      </c>
      <c r="D29" s="31">
        <v>48</v>
      </c>
      <c r="E29" s="31">
        <v>7</v>
      </c>
      <c r="F29" s="31">
        <v>0</v>
      </c>
      <c r="G29" s="31">
        <v>0</v>
      </c>
      <c r="H29" s="193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x14ac:dyDescent="0.25">
      <c r="A30" s="1"/>
      <c r="B30" s="34" t="s">
        <v>220</v>
      </c>
      <c r="C30" s="30" t="s">
        <v>22</v>
      </c>
      <c r="D30" s="31">
        <v>48</v>
      </c>
      <c r="E30" s="31">
        <v>7</v>
      </c>
      <c r="F30" s="31">
        <v>0</v>
      </c>
      <c r="G30" s="31">
        <v>0</v>
      </c>
      <c r="H30" s="193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x14ac:dyDescent="0.25">
      <c r="A31" s="1"/>
      <c r="B31" s="34" t="s">
        <v>173</v>
      </c>
      <c r="C31" s="30" t="s">
        <v>33</v>
      </c>
      <c r="D31" s="31">
        <v>48</v>
      </c>
      <c r="E31" s="31">
        <v>7</v>
      </c>
      <c r="F31" s="31">
        <v>0</v>
      </c>
      <c r="G31" s="31">
        <v>0</v>
      </c>
      <c r="H31" s="193">
        <v>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x14ac:dyDescent="0.25">
      <c r="A32" s="1"/>
      <c r="B32" s="34" t="s">
        <v>157</v>
      </c>
      <c r="C32" s="30" t="s">
        <v>33</v>
      </c>
      <c r="D32" s="31">
        <v>48</v>
      </c>
      <c r="E32" s="31">
        <v>5</v>
      </c>
      <c r="F32" s="31">
        <v>29</v>
      </c>
      <c r="G32" s="31">
        <v>0</v>
      </c>
      <c r="H32" s="193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x14ac:dyDescent="0.25">
      <c r="A33" s="1"/>
      <c r="B33" s="34" t="s">
        <v>158</v>
      </c>
      <c r="C33" s="30" t="s">
        <v>33</v>
      </c>
      <c r="D33" s="31">
        <v>48</v>
      </c>
      <c r="E33" s="31">
        <v>5</v>
      </c>
      <c r="F33" s="31">
        <v>0</v>
      </c>
      <c r="G33" s="31">
        <v>0</v>
      </c>
      <c r="H33" s="193">
        <v>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">
      <c r="A34" s="1"/>
      <c r="B34" s="29" t="s">
        <v>234</v>
      </c>
      <c r="C34" s="33"/>
      <c r="D34" s="31"/>
      <c r="E34" s="31"/>
      <c r="F34" s="31"/>
      <c r="G34" s="31"/>
      <c r="H34" s="193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25">
      <c r="A35" s="1"/>
      <c r="B35" s="32" t="s">
        <v>162</v>
      </c>
      <c r="C35" s="33" t="s">
        <v>148</v>
      </c>
      <c r="D35" s="31">
        <v>41</v>
      </c>
      <c r="E35" s="31">
        <v>7</v>
      </c>
      <c r="F35" s="31">
        <v>0</v>
      </c>
      <c r="G35" s="31">
        <v>0</v>
      </c>
      <c r="H35" s="193">
        <v>0.25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25">
      <c r="A36" s="1"/>
      <c r="B36" s="32" t="s">
        <v>156</v>
      </c>
      <c r="C36" s="33" t="s">
        <v>148</v>
      </c>
      <c r="D36" s="31">
        <v>41</v>
      </c>
      <c r="E36" s="31">
        <v>7</v>
      </c>
      <c r="F36" s="31">
        <v>0</v>
      </c>
      <c r="G36" s="31">
        <v>0</v>
      </c>
      <c r="H36" s="193">
        <v>0.25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25">
      <c r="A37" s="1"/>
      <c r="B37" s="32" t="s">
        <v>159</v>
      </c>
      <c r="C37" s="33" t="s">
        <v>148</v>
      </c>
      <c r="D37" s="31">
        <v>41</v>
      </c>
      <c r="E37" s="31">
        <v>7</v>
      </c>
      <c r="F37" s="31">
        <v>36</v>
      </c>
      <c r="G37" s="31">
        <v>0</v>
      </c>
      <c r="H37" s="193">
        <v>0.5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25">
      <c r="A38" s="1"/>
      <c r="B38" s="32" t="s">
        <v>161</v>
      </c>
      <c r="C38" s="33" t="s">
        <v>148</v>
      </c>
      <c r="D38" s="31">
        <v>41</v>
      </c>
      <c r="E38" s="31">
        <v>7</v>
      </c>
      <c r="F38" s="31">
        <v>36</v>
      </c>
      <c r="G38" s="31">
        <v>0</v>
      </c>
      <c r="H38" s="193">
        <v>0.5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25">
      <c r="A39" s="1"/>
      <c r="B39" s="32" t="s">
        <v>163</v>
      </c>
      <c r="C39" s="33" t="s">
        <v>148</v>
      </c>
      <c r="D39" s="31">
        <v>41</v>
      </c>
      <c r="E39" s="31">
        <v>7</v>
      </c>
      <c r="F39" s="31">
        <v>0</v>
      </c>
      <c r="G39" s="31">
        <v>0</v>
      </c>
      <c r="H39" s="193">
        <v>0.25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3">
      <c r="A40" s="1"/>
      <c r="B40" s="35" t="s">
        <v>41</v>
      </c>
      <c r="C40" s="33" t="s">
        <v>42</v>
      </c>
      <c r="D40" s="31"/>
      <c r="E40" s="31"/>
      <c r="F40" s="31"/>
      <c r="G40" s="31"/>
      <c r="H40" s="193">
        <v>0.5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outlineLevel="1" x14ac:dyDescent="0.25">
      <c r="A41" s="1"/>
      <c r="B41" s="32" t="s">
        <v>43</v>
      </c>
      <c r="C41" s="33" t="s">
        <v>44</v>
      </c>
      <c r="D41" s="31">
        <v>23</v>
      </c>
      <c r="E41" s="31">
        <v>7</v>
      </c>
      <c r="F41" s="31">
        <v>23</v>
      </c>
      <c r="G41" s="31">
        <v>0</v>
      </c>
      <c r="H41" s="193">
        <v>0.5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outlineLevel="1" x14ac:dyDescent="0.25">
      <c r="A42" s="1"/>
      <c r="B42" s="32" t="s">
        <v>45</v>
      </c>
      <c r="C42" s="33" t="s">
        <v>23</v>
      </c>
      <c r="D42" s="31">
        <v>62</v>
      </c>
      <c r="E42" s="31">
        <v>6</v>
      </c>
      <c r="F42" s="31">
        <v>0</v>
      </c>
      <c r="G42" s="31">
        <v>0</v>
      </c>
      <c r="H42" s="193">
        <v>0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outlineLevel="1" x14ac:dyDescent="0.25">
      <c r="A43" s="1"/>
      <c r="B43" s="32" t="s">
        <v>176</v>
      </c>
      <c r="C43" s="33" t="s">
        <v>160</v>
      </c>
      <c r="D43" s="31">
        <v>62</v>
      </c>
      <c r="E43" s="31">
        <v>6</v>
      </c>
      <c r="F43" s="31">
        <v>0</v>
      </c>
      <c r="G43" s="31">
        <v>0</v>
      </c>
      <c r="H43" s="193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outlineLevel="1" x14ac:dyDescent="0.25">
      <c r="A44" s="1"/>
      <c r="B44" s="32" t="s">
        <v>177</v>
      </c>
      <c r="C44" s="33" t="s">
        <v>46</v>
      </c>
      <c r="D44" s="31">
        <v>62</v>
      </c>
      <c r="E44" s="31">
        <v>6</v>
      </c>
      <c r="F44" s="31">
        <v>0</v>
      </c>
      <c r="G44" s="31">
        <v>0</v>
      </c>
      <c r="H44" s="193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outlineLevel="1" x14ac:dyDescent="0.25">
      <c r="A45" s="1"/>
      <c r="B45" s="32" t="s">
        <v>47</v>
      </c>
      <c r="C45" s="33" t="s">
        <v>46</v>
      </c>
      <c r="D45" s="31">
        <v>62</v>
      </c>
      <c r="E45" s="31">
        <v>6</v>
      </c>
      <c r="F45" s="31">
        <v>0</v>
      </c>
      <c r="G45" s="31">
        <v>0</v>
      </c>
      <c r="H45" s="193">
        <v>0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outlineLevel="1" x14ac:dyDescent="0.25">
      <c r="A46" s="1"/>
      <c r="B46" s="32" t="s">
        <v>224</v>
      </c>
      <c r="C46" s="33" t="s">
        <v>44</v>
      </c>
      <c r="D46" s="31">
        <v>62</v>
      </c>
      <c r="E46" s="31">
        <v>6</v>
      </c>
      <c r="F46" s="31">
        <v>0</v>
      </c>
      <c r="G46" s="31">
        <v>0</v>
      </c>
      <c r="H46" s="193">
        <v>0</v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outlineLevel="1" x14ac:dyDescent="0.25">
      <c r="A47" s="1"/>
      <c r="B47" s="32" t="s">
        <v>221</v>
      </c>
      <c r="C47" s="33" t="s">
        <v>44</v>
      </c>
      <c r="D47" s="31">
        <v>62</v>
      </c>
      <c r="E47" s="31">
        <v>6</v>
      </c>
      <c r="F47" s="31">
        <v>0</v>
      </c>
      <c r="G47" s="31">
        <v>0</v>
      </c>
      <c r="H47" s="193">
        <v>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25">
      <c r="A48" s="1"/>
      <c r="B48" s="32" t="s">
        <v>48</v>
      </c>
      <c r="C48" s="33" t="s">
        <v>18</v>
      </c>
      <c r="D48" s="31">
        <v>55</v>
      </c>
      <c r="E48" s="31">
        <v>10</v>
      </c>
      <c r="F48" s="31">
        <v>0</v>
      </c>
      <c r="G48" s="31">
        <v>0</v>
      </c>
      <c r="H48" s="193">
        <v>0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x14ac:dyDescent="0.3">
      <c r="A49" s="1"/>
      <c r="B49" s="189" t="s">
        <v>49</v>
      </c>
      <c r="C49" s="190" t="s">
        <v>18</v>
      </c>
      <c r="D49" s="191">
        <v>69</v>
      </c>
      <c r="E49" s="191">
        <v>1</v>
      </c>
      <c r="F49" s="191">
        <v>55</v>
      </c>
      <c r="G49" s="191">
        <v>1</v>
      </c>
      <c r="H49" s="193">
        <v>0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x14ac:dyDescent="0.3">
      <c r="A50" s="1"/>
      <c r="B50" s="29" t="s">
        <v>50</v>
      </c>
      <c r="C50" s="30" t="s">
        <v>51</v>
      </c>
      <c r="D50" s="31"/>
      <c r="E50" s="31"/>
      <c r="F50" s="31"/>
      <c r="G50" s="31"/>
      <c r="H50" s="193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x14ac:dyDescent="0.25">
      <c r="A51" s="1"/>
      <c r="B51" s="34" t="s">
        <v>52</v>
      </c>
      <c r="C51" s="30" t="s">
        <v>51</v>
      </c>
      <c r="D51" s="31" t="s">
        <v>53</v>
      </c>
      <c r="E51" s="31" t="s">
        <v>53</v>
      </c>
      <c r="F51" s="31">
        <v>0</v>
      </c>
      <c r="G51" s="31">
        <v>0</v>
      </c>
      <c r="H51" s="193">
        <v>0</v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x14ac:dyDescent="0.25">
      <c r="B52" s="34" t="s">
        <v>54</v>
      </c>
      <c r="C52" s="30" t="s">
        <v>44</v>
      </c>
      <c r="D52" s="31" t="s">
        <v>53</v>
      </c>
      <c r="E52" s="31" t="s">
        <v>53</v>
      </c>
      <c r="F52" s="31">
        <v>0</v>
      </c>
      <c r="G52" s="31">
        <v>0</v>
      </c>
      <c r="H52" s="193">
        <v>0</v>
      </c>
    </row>
    <row r="53" spans="1:68" x14ac:dyDescent="0.3">
      <c r="H53" s="193"/>
    </row>
    <row r="54" spans="1:68" x14ac:dyDescent="0.3">
      <c r="H54" s="193"/>
    </row>
    <row r="55" spans="1:68" x14ac:dyDescent="0.3">
      <c r="H55" s="193"/>
    </row>
    <row r="56" spans="1:68" x14ac:dyDescent="0.3">
      <c r="H56" s="193"/>
    </row>
    <row r="57" spans="1:68" x14ac:dyDescent="0.3">
      <c r="H57" s="193"/>
    </row>
    <row r="58" spans="1:68" x14ac:dyDescent="0.3">
      <c r="H58" s="193"/>
    </row>
    <row r="59" spans="1:68" x14ac:dyDescent="0.3">
      <c r="H59" s="193"/>
    </row>
    <row r="60" spans="1:68" x14ac:dyDescent="0.3">
      <c r="H60" s="193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5:BP60">
    <cfRule type="expression" dxfId="286" priority="1">
      <formula>PercentComplete</formula>
    </cfRule>
    <cfRule type="expression" dxfId="285" priority="8">
      <formula>PercentCompleteBeyond</formula>
    </cfRule>
    <cfRule type="expression" dxfId="284" priority="9">
      <formula>Actual</formula>
    </cfRule>
    <cfRule type="expression" dxfId="283" priority="10">
      <formula>ActualBeyond</formula>
    </cfRule>
    <cfRule type="expression" dxfId="282" priority="11">
      <formula>Plan</formula>
    </cfRule>
    <cfRule type="expression" dxfId="281" priority="13">
      <formula>I$4=period_selected</formula>
    </cfRule>
    <cfRule type="expression" dxfId="280" priority="14">
      <formula>MOD(COLUMN(),2)</formula>
    </cfRule>
    <cfRule type="expression" dxfId="279" priority="15">
      <formula>MOD(COLUMN(),2)=0</formula>
    </cfRule>
  </conditionalFormatting>
  <conditionalFormatting sqref="H5:H60">
    <cfRule type="cellIs" dxfId="278" priority="175" operator="equal">
      <formula>isblank</formula>
    </cfRule>
    <cfRule type="colorScale" priority="176">
      <colorScale>
        <cfvo type="min"/>
        <cfvo type="percentile" val="50"/>
        <cfvo type="max"/>
        <color rgb="FF0070C0"/>
        <color rgb="FFFFEB84"/>
        <color rgb="FF70AD47"/>
      </colorScale>
    </cfRule>
  </conditionalFormatting>
  <conditionalFormatting sqref="I4:BP4">
    <cfRule type="expression" dxfId="277" priority="12">
      <formula>I$4=period_selected</formula>
    </cfRule>
  </conditionalFormatting>
  <conditionalFormatting sqref="I61:BP61">
    <cfRule type="expression" dxfId="276" priority="2">
      <formula>TRUE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Overview_but">
          <controlPr defaultSize="0" autoLine="0" autoPict="0" r:id="rId5">
            <anchor moveWithCells="1">
              <from>
                <xdr:col>6</xdr:col>
                <xdr:colOff>819150</xdr:colOff>
                <xdr:row>0</xdr:row>
                <xdr:rowOff>104775</xdr:rowOff>
              </from>
              <to>
                <xdr:col>7</xdr:col>
                <xdr:colOff>1009650</xdr:colOff>
                <xdr:row>0</xdr:row>
                <xdr:rowOff>504825</xdr:rowOff>
              </to>
            </anchor>
          </controlPr>
        </control>
      </mc:Choice>
      <mc:Fallback>
        <control shapeId="4097" r:id="rId4" name="Overview_bu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55</v>
      </c>
      <c r="C1" s="7"/>
      <c r="D1" s="8"/>
      <c r="E1" s="8"/>
      <c r="F1" s="8"/>
      <c r="G1" s="8"/>
      <c r="H1" s="8"/>
    </row>
    <row r="2" spans="1:68" ht="21" customHeight="1" x14ac:dyDescent="0.25">
      <c r="B2" s="287">
        <f ca="1">NOW()</f>
        <v>43209.749337037036</v>
      </c>
      <c r="C2" s="287"/>
      <c r="D2" s="287"/>
      <c r="E2" s="287"/>
      <c r="F2" s="287"/>
      <c r="G2" s="287"/>
      <c r="H2" s="9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IF(SUMPRODUCT(--(NOT(ISERR(SEARCH({"T","Ba"},'CDR Project Planner'!$C5))))),'CDR Project Planner'!B5,"")</f>
        <v>PDR</v>
      </c>
      <c r="C5" s="37" t="str">
        <f>IF(SUMPRODUCT(--(NOT(ISERR(SEARCH({"T","Ba"},'CDR Project Planner'!$C5))))),'CDR Project Planner'!C5,"")</f>
        <v>T</v>
      </c>
      <c r="D5" s="37">
        <f>IF(SUMPRODUCT(--(NOT(ISERR(SEARCH({"T","Ba"},'CDR Project Planner'!$C5))))),'CDR Project Planner'!D5,"")</f>
        <v>22</v>
      </c>
      <c r="E5" s="37">
        <f>IF(SUMPRODUCT(--(NOT(ISERR(SEARCH({"T","Ba"},'CDR Project Planner'!$C5))))),'CDR Project Planner'!E5,"")</f>
        <v>1</v>
      </c>
      <c r="F5" s="37">
        <f>IF(SUMPRODUCT(--(NOT(ISERR(SEARCH({"T","Ba"},'CDR Project Planner'!$C5))))),'CDR Project Planner'!F5,"")</f>
        <v>22</v>
      </c>
      <c r="G5" s="37">
        <f>IF(SUMPRODUCT(--(NOT(ISERR(SEARCH({"T","Ba"},'CDR Project Planner'!$C5))))),'CDR Project Planner'!G5,"")</f>
        <v>1</v>
      </c>
      <c r="H5" s="38">
        <f>IF(SUMPRODUCT(--(NOT(ISERR(SEARCH({"T","Ba"},'CDR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IF(SUMPRODUCT(--(NOT(ISERR(SEARCH({"T","Ba"},'CDR Project Planner'!$C6))))),'CDR Project Planner'!B6,"")</f>
        <v>System</v>
      </c>
      <c r="C6" s="33" t="str">
        <f>IF(SUMPRODUCT(--(NOT(ISERR(SEARCH({"T","Ba"},'CDR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IF(SUMPRODUCT(--(NOT(ISERR(SEARCH({"T","Ba"},'CDR Project Planner'!$C6))))),'CDR Project Planner'!H6,"")</f>
        <v>0</v>
      </c>
    </row>
    <row r="7" spans="1:68" s="4" customFormat="1" ht="15" outlineLevel="1" x14ac:dyDescent="0.25">
      <c r="A7" s="1"/>
      <c r="B7" s="32" t="str">
        <f>IF(SUMPRODUCT(--(NOT(ISERR(SEARCH({"T","Ba"},'CDR Project Planner'!$C7))))),'CDR Project Planner'!B7,"")</f>
        <v>Unit Tests - VHDL - PWM (Duty Cycle)</v>
      </c>
      <c r="C7" s="33" t="str">
        <f>IF(SUMPRODUCT(--(NOT(ISERR(SEARCH({"T","Ba"},'CDR Project Planner'!$C7))))),'CDR Project Planner'!C7,"")</f>
        <v>Ba</v>
      </c>
      <c r="D7" s="33">
        <f>IF(SUMPRODUCT(--(NOT(ISERR(SEARCH({"T","Ba"},'CDR Project Planner'!$C7))))),'CDR Project Planner'!D7,"")</f>
        <v>23</v>
      </c>
      <c r="E7" s="33">
        <f>IF(SUMPRODUCT(--(NOT(ISERR(SEARCH({"T","Ba"},'CDR Project Planner'!$C7))))),'CDR Project Planner'!E7,"")</f>
        <v>1</v>
      </c>
      <c r="F7" s="33">
        <f>IF(SUMPRODUCT(--(NOT(ISERR(SEARCH({"T","Ba"},'CDR Project Planner'!$C7))))),'CDR Project Planner'!F7,"")</f>
        <v>36</v>
      </c>
      <c r="G7" s="33">
        <f>IF(SUMPRODUCT(--(NOT(ISERR(SEARCH({"T","Ba"},'CDR Project Planner'!$C7))))),'CDR Project Planner'!G7,"")</f>
        <v>3</v>
      </c>
      <c r="H7" s="38">
        <f>IF(SUMPRODUCT(--(NOT(ISERR(SEARCH({"T","Ba"},'CDR Project Planner'!$C7))))),'CDR Project Planner'!H7,"")</f>
        <v>1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32" t="str">
        <f>IF(SUMPRODUCT(--(NOT(ISERR(SEARCH({"T","Ba"},'CDR Project Planner'!$C8))))),'CDR Project Planner'!B8,"")</f>
        <v/>
      </c>
      <c r="C8" s="33" t="str">
        <f>IF(SUMPRODUCT(--(NOT(ISERR(SEARCH({"T","Ba"},'CDR Project Planner'!$C8))))),'CDR Project Planner'!C8,"")</f>
        <v/>
      </c>
      <c r="D8" s="33" t="str">
        <f>IF(SUMPRODUCT(--(NOT(ISERR(SEARCH({"T","Ba"},'CDR Project Planner'!$C8))))),'CDR Project Planner'!D8,"")</f>
        <v/>
      </c>
      <c r="E8" s="33" t="str">
        <f>IF(SUMPRODUCT(--(NOT(ISERR(SEARCH({"T","Ba"},'CDR Project Planner'!$C8))))),'CDR Project Planner'!E8,"")</f>
        <v/>
      </c>
      <c r="F8" s="33" t="str">
        <f>IF(SUMPRODUCT(--(NOT(ISERR(SEARCH({"T","Ba"},'CDR Project Planner'!$C8))))),'CDR Project Planner'!F8,"")</f>
        <v/>
      </c>
      <c r="G8" s="33" t="str">
        <f>IF(SUMPRODUCT(--(NOT(ISERR(SEARCH({"T","Ba"},'CDR Project Planner'!$C8))))),'CDR Project Planner'!G8,"")</f>
        <v/>
      </c>
      <c r="H8" s="38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2" t="str">
        <f>IF(SUMPRODUCT(--(NOT(ISERR(SEARCH({"T","Ba"},'CDR Project Planner'!$C9))))),'CDR Project Planner'!B9,"")</f>
        <v/>
      </c>
      <c r="C9" s="33" t="str">
        <f>IF(SUMPRODUCT(--(NOT(ISERR(SEARCH({"T","Ba"},'CDR Project Planner'!$C9))))),'CDR Project Planner'!C9,"")</f>
        <v/>
      </c>
      <c r="D9" s="33" t="str">
        <f>IF(SUMPRODUCT(--(NOT(ISERR(SEARCH({"T","Ba"},'CDR Project Planner'!$C9))))),'CDR Project Planner'!D9,"")</f>
        <v/>
      </c>
      <c r="E9" s="33" t="str">
        <f>IF(SUMPRODUCT(--(NOT(ISERR(SEARCH({"T","Ba"},'CDR Project Planner'!$C9))))),'CDR Project Planner'!E9,"")</f>
        <v/>
      </c>
      <c r="F9" s="33" t="str">
        <f>IF(SUMPRODUCT(--(NOT(ISERR(SEARCH({"T","Ba"},'CDR Project Planner'!$C9))))),'CDR Project Planner'!F9,"")</f>
        <v/>
      </c>
      <c r="G9" s="33" t="str">
        <f>IF(SUMPRODUCT(--(NOT(ISERR(SEARCH({"T","Ba"},'CDR Project Planner'!$C9))))),'CDR Project Planner'!G9,"")</f>
        <v/>
      </c>
      <c r="H9" s="38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2" t="str">
        <f>IF(SUMPRODUCT(--(NOT(ISERR(SEARCH({"T","Ba"},'CDR Project Planner'!$C10))))),'CDR Project Planner'!B10,"")</f>
        <v/>
      </c>
      <c r="C10" s="33" t="str">
        <f>IF(SUMPRODUCT(--(NOT(ISERR(SEARCH({"T","Ba"},'CDR Project Planner'!$C10))))),'CDR Project Planner'!C10,"")</f>
        <v/>
      </c>
      <c r="D10" s="33" t="str">
        <f>IF(SUMPRODUCT(--(NOT(ISERR(SEARCH({"T","Ba"},'CDR Project Planner'!$C10))))),'CDR Project Planner'!D10,"")</f>
        <v/>
      </c>
      <c r="E10" s="33" t="str">
        <f>IF(SUMPRODUCT(--(NOT(ISERR(SEARCH({"T","Ba"},'CDR Project Planner'!$C10))))),'CDR Project Planner'!E10,"")</f>
        <v/>
      </c>
      <c r="F10" s="33" t="str">
        <f>IF(SUMPRODUCT(--(NOT(ISERR(SEARCH({"T","Ba"},'CDR Project Planner'!$C10))))),'CDR Project Planner'!F10,"")</f>
        <v/>
      </c>
      <c r="G10" s="33" t="str">
        <f>IF(SUMPRODUCT(--(NOT(ISERR(SEARCH({"T","Ba"},'CDR Project Planner'!$C10))))),'CDR Project Planner'!G10,"")</f>
        <v/>
      </c>
      <c r="H10" s="38" t="str">
        <f>IF(SUMPRODUCT(--(NOT(ISERR(SEARCH({"T","Ba"},'CDR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2" t="str">
        <f>IF(SUMPRODUCT(--(NOT(ISERR(SEARCH({"T","Ba"},'CDR Project Planner'!#REF!))))),'CDR Project Planner'!#REF!,"")</f>
        <v/>
      </c>
      <c r="C11" s="33" t="str">
        <f>IF(SUMPRODUCT(--(NOT(ISERR(SEARCH({"T","Ba"},'CDR Project Planner'!#REF!))))),'CDR Project Planner'!#REF!,"")</f>
        <v/>
      </c>
      <c r="D11" s="33" t="str">
        <f>IF(SUMPRODUCT(--(NOT(ISERR(SEARCH({"T","Ba"},'CDR Project Planner'!#REF!))))),'CDR Project Planner'!#REF!,"")</f>
        <v/>
      </c>
      <c r="E11" s="33" t="str">
        <f>IF(SUMPRODUCT(--(NOT(ISERR(SEARCH({"T","Ba"},'CDR Project Planner'!#REF!))))),'CDR Project Planner'!#REF!,"")</f>
        <v/>
      </c>
      <c r="F11" s="33" t="str">
        <f>IF(SUMPRODUCT(--(NOT(ISERR(SEARCH({"T","Ba"},'CDR Project Planner'!#REF!))))),'CDR Project Planner'!#REF!,"")</f>
        <v/>
      </c>
      <c r="G11" s="33" t="str">
        <f>IF(SUMPRODUCT(--(NOT(ISERR(SEARCH({"T","Ba"},'CDR Project Planner'!#REF!))))),'CDR Project Planner'!#REF!,"")</f>
        <v/>
      </c>
      <c r="H11" s="38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2" t="str">
        <f>IF(SUMPRODUCT(--(NOT(ISERR(SEARCH({"T","Ba"},'CDR Project Planner'!$C11))))),'CDR Project Planner'!B11,"")</f>
        <v>Unit Tests - Motors</v>
      </c>
      <c r="C12" s="33" t="str">
        <f>IF(SUMPRODUCT(--(NOT(ISERR(SEARCH({"T","Ba"},'CDR Project Planner'!$C11))))),'CDR Project Planner'!C11,"")</f>
        <v>Ba &amp; Z</v>
      </c>
      <c r="D12" s="33">
        <f>IF(SUMPRODUCT(--(NOT(ISERR(SEARCH({"T","Ba"},'CDR Project Planner'!$C11))))),'CDR Project Planner'!D11,"")</f>
        <v>23</v>
      </c>
      <c r="E12" s="33">
        <f>IF(SUMPRODUCT(--(NOT(ISERR(SEARCH({"T","Ba"},'CDR Project Planner'!$C11))))),'CDR Project Planner'!E11,"")</f>
        <v>10</v>
      </c>
      <c r="F12" s="33">
        <f>IF(SUMPRODUCT(--(NOT(ISERR(SEARCH({"T","Ba"},'CDR Project Planner'!$C11))))),'CDR Project Planner'!F11,"")</f>
        <v>34</v>
      </c>
      <c r="G12" s="33">
        <f>IF(SUMPRODUCT(--(NOT(ISERR(SEARCH({"T","Ba"},'CDR Project Planner'!$C11))))),'CDR Project Planner'!G11,"")</f>
        <v>2</v>
      </c>
      <c r="H12" s="38">
        <f>IF(SUMPRODUCT(--(NOT(ISERR(SEARCH({"T","Ba"},'CDR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0" t="str">
        <f>IF(SUMPRODUCT(--(NOT(ISERR(SEARCH({"T","Ba"},'CDR Project Planner'!#REF!))))),'CDR Project Planner'!#REF!,"")</f>
        <v/>
      </c>
      <c r="C13" s="33" t="str">
        <f>IF(SUMPRODUCT(--(NOT(ISERR(SEARCH({"T","Ba"},'CDR Project Planner'!#REF!))))),'CDR Project Planner'!#REF!,"")</f>
        <v/>
      </c>
      <c r="D13" s="33" t="str">
        <f>IF(SUMPRODUCT(--(NOT(ISERR(SEARCH({"T","Ba"},'CDR Project Planner'!#REF!))))),'CDR Project Planner'!#REF!,"")</f>
        <v/>
      </c>
      <c r="E13" s="33" t="str">
        <f>IF(SUMPRODUCT(--(NOT(ISERR(SEARCH({"T","Ba"},'CDR Project Planner'!#REF!))))),'CDR Project Planner'!#REF!,"")</f>
        <v/>
      </c>
      <c r="F13" s="33" t="str">
        <f>IF(SUMPRODUCT(--(NOT(ISERR(SEARCH({"T","Ba"},'CDR Project Planner'!#REF!))))),'CDR Project Planner'!#REF!,"")</f>
        <v/>
      </c>
      <c r="G13" s="33" t="str">
        <f>IF(SUMPRODUCT(--(NOT(ISERR(SEARCH({"T","Ba"},'CDR Project Planner'!#REF!))))),'CDR Project Planner'!#REF!,"")</f>
        <v/>
      </c>
      <c r="H13" s="38" t="str">
        <f>IF(SUMPRODUCT(--(NOT(ISERR(SEARCH({"T","Ba"},'CDR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0" t="str">
        <f>IF(SUMPRODUCT(--(NOT(ISERR(SEARCH({"T","Ba"},'CDR Project Planner'!#REF!))))),'CDR Project Planner'!#REF!,"")</f>
        <v/>
      </c>
      <c r="C14" s="33" t="str">
        <f>IF(SUMPRODUCT(--(NOT(ISERR(SEARCH({"T","Ba"},'CDR Project Planner'!#REF!))))),'CDR Project Planner'!#REF!,"")</f>
        <v/>
      </c>
      <c r="D14" s="33" t="str">
        <f>IF(SUMPRODUCT(--(NOT(ISERR(SEARCH({"T","Ba"},'CDR Project Planner'!#REF!))))),'CDR Project Planner'!#REF!,"")</f>
        <v/>
      </c>
      <c r="E14" s="33" t="str">
        <f>IF(SUMPRODUCT(--(NOT(ISERR(SEARCH({"T","Ba"},'CDR Project Planner'!#REF!))))),'CDR Project Planner'!#REF!,"")</f>
        <v/>
      </c>
      <c r="F14" s="33" t="str">
        <f>IF(SUMPRODUCT(--(NOT(ISERR(SEARCH({"T","Ba"},'CDR Project Planner'!#REF!))))),'CDR Project Planner'!#REF!,"")</f>
        <v/>
      </c>
      <c r="G14" s="33" t="str">
        <f>IF(SUMPRODUCT(--(NOT(ISERR(SEARCH({"T","Ba"},'CDR Project Planner'!#REF!))))),'CDR Project Planner'!#REF!,"")</f>
        <v/>
      </c>
      <c r="H14" s="38" t="str">
        <f>IF(SUMPRODUCT(--(NOT(ISERR(SEARCH({"T","Ba"},'CDR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IF(SUMPRODUCT(--(NOT(ISERR(SEARCH({"T","Ba"},'CDR Project Planner'!$C16))))),'CDR Project Planner'!B16,"")</f>
        <v/>
      </c>
      <c r="C15" s="33" t="str">
        <f>IF(SUMPRODUCT(--(NOT(ISERR(SEARCH({"T","Ba"},'CDR Project Planner'!$C16))))),'CDR Project Planner'!C16,"")</f>
        <v/>
      </c>
      <c r="D15" s="33" t="str">
        <f>IF(SUMPRODUCT(--(NOT(ISERR(SEARCH({"T","Ba"},'CDR Project Planner'!$C16))))),'CDR Project Planner'!D16,"")</f>
        <v/>
      </c>
      <c r="E15" s="33" t="str">
        <f>IF(SUMPRODUCT(--(NOT(ISERR(SEARCH({"T","Ba"},'CDR Project Planner'!$C16))))),'CDR Project Planner'!E16,"")</f>
        <v/>
      </c>
      <c r="F15" s="33" t="str">
        <f>IF(SUMPRODUCT(--(NOT(ISERR(SEARCH({"T","Ba"},'CDR Project Planner'!$C16))))),'CDR Project Planner'!F16,"")</f>
        <v/>
      </c>
      <c r="G15" s="33" t="str">
        <f>IF(SUMPRODUCT(--(NOT(ISERR(SEARCH({"T","Ba"},'CDR Project Planner'!$C16))))),'CDR Project Planner'!G16,"")</f>
        <v/>
      </c>
      <c r="H15" s="38" t="str">
        <f>IF(SUMPRODUCT(--(NOT(ISERR(SEARCH({"T","Ba"},'CDR Project Planner'!$C16))))),'CDR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IF(SUMPRODUCT(--(NOT(ISERR(SEARCH({"T","Ba"},'CDR Project Planner'!$C17))))),'CDR Project Planner'!B17,"")</f>
        <v/>
      </c>
      <c r="C16" s="33" t="str">
        <f>IF(SUMPRODUCT(--(NOT(ISERR(SEARCH({"T","Ba"},'CDR Project Planner'!$C17))))),'CDR Project Planner'!C17,"")</f>
        <v/>
      </c>
      <c r="D16" s="33" t="str">
        <f>IF(SUMPRODUCT(--(NOT(ISERR(SEARCH({"T","Ba"},'CDR Project Planner'!$C17))))),'CDR Project Planner'!D17,"")</f>
        <v/>
      </c>
      <c r="E16" s="33" t="str">
        <f>IF(SUMPRODUCT(--(NOT(ISERR(SEARCH({"T","Ba"},'CDR Project Planner'!$C17))))),'CDR Project Planner'!E17,"")</f>
        <v/>
      </c>
      <c r="F16" s="33" t="str">
        <f>IF(SUMPRODUCT(--(NOT(ISERR(SEARCH({"T","Ba"},'CDR Project Planner'!$C17))))),'CDR Project Planner'!F17,"")</f>
        <v/>
      </c>
      <c r="G16" s="33" t="str">
        <f>IF(SUMPRODUCT(--(NOT(ISERR(SEARCH({"T","Ba"},'CDR Project Planner'!$C17))))),'CDR Project Planner'!G17,"")</f>
        <v/>
      </c>
      <c r="H16" s="38" t="str">
        <f>IF(SUMPRODUCT(--(NOT(ISERR(SEARCH({"T","Ba"},'CDR Project Planner'!$C17))))),'CDR Project Planner'!H16,"")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IF(SUMPRODUCT(--(NOT(ISERR(SEARCH({"T","Ba"},'CDR Project Planner'!$C18))))),'CDR Project Planner'!B18,"")</f>
        <v/>
      </c>
      <c r="C17" s="33" t="str">
        <f>IF(SUMPRODUCT(--(NOT(ISERR(SEARCH({"T","Ba"},'CDR Project Planner'!$C18))))),'CDR Project Planner'!C18,"")</f>
        <v/>
      </c>
      <c r="D17" s="33" t="str">
        <f>IF(SUMPRODUCT(--(NOT(ISERR(SEARCH({"T","Ba"},'CDR Project Planner'!$C18))))),'CDR Project Planner'!D18,"")</f>
        <v/>
      </c>
      <c r="E17" s="33" t="str">
        <f>IF(SUMPRODUCT(--(NOT(ISERR(SEARCH({"T","Ba"},'CDR Project Planner'!$C18))))),'CDR Project Planner'!E18,"")</f>
        <v/>
      </c>
      <c r="F17" s="33" t="str">
        <f>IF(SUMPRODUCT(--(NOT(ISERR(SEARCH({"T","Ba"},'CDR Project Planner'!$C18))))),'CDR Project Planner'!F18,"")</f>
        <v/>
      </c>
      <c r="G17" s="33" t="str">
        <f>IF(SUMPRODUCT(--(NOT(ISERR(SEARCH({"T","Ba"},'CDR Project Planner'!$C18))))),'CDR Project Planner'!G18,"")</f>
        <v/>
      </c>
      <c r="H17" s="38" t="str">
        <f>IF(SUMPRODUCT(--(NOT(ISERR(SEARCH({"T","Ba"},'CDR Project Planner'!$C18))))),'CDR Project Planner'!H17,"")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IF(SUMPRODUCT(--(NOT(ISERR(SEARCH({"T","Ba"},'CDR Project Planner'!#REF!))))),'CDR Project Planner'!#REF!,"")</f>
        <v/>
      </c>
      <c r="C18" s="33" t="str">
        <f>IF(SUMPRODUCT(--(NOT(ISERR(SEARCH({"T","Ba"},'CDR Project Planner'!#REF!))))),'CDR Project Planner'!#REF!,"")</f>
        <v/>
      </c>
      <c r="D18" s="33" t="str">
        <f>IF(SUMPRODUCT(--(NOT(ISERR(SEARCH({"T","Ba"},'CDR Project Planner'!#REF!))))),'CDR Project Planner'!#REF!,"")</f>
        <v/>
      </c>
      <c r="E18" s="33" t="str">
        <f>IF(SUMPRODUCT(--(NOT(ISERR(SEARCH({"T","Ba"},'CDR Project Planner'!#REF!))))),'CDR Project Planner'!#REF!,"")</f>
        <v/>
      </c>
      <c r="F18" s="33" t="str">
        <f>IF(SUMPRODUCT(--(NOT(ISERR(SEARCH({"T","Ba"},'CDR Project Planner'!#REF!))))),'CDR Project Planner'!#REF!,"")</f>
        <v/>
      </c>
      <c r="G18" s="33" t="str">
        <f>IF(SUMPRODUCT(--(NOT(ISERR(SEARCH({"T","Ba"},'CDR Project Planner'!#REF!))))),'CDR Project Planner'!#REF!,"")</f>
        <v/>
      </c>
      <c r="H18" s="38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IF(SUMPRODUCT(--(NOT(ISERR(SEARCH({"T","Ba"},'CDR Project Planner'!#REF!))))),'CDR Project Planner'!#REF!,"")</f>
        <v/>
      </c>
      <c r="C19" s="33" t="str">
        <f>IF(SUMPRODUCT(--(NOT(ISERR(SEARCH({"T","Ba"},'CDR Project Planner'!#REF!))))),'CDR Project Planner'!#REF!,"")</f>
        <v/>
      </c>
      <c r="D19" s="33" t="str">
        <f>IF(SUMPRODUCT(--(NOT(ISERR(SEARCH({"T","Ba"},'CDR Project Planner'!#REF!))))),'CDR Project Planner'!#REF!,"")</f>
        <v/>
      </c>
      <c r="E19" s="33" t="str">
        <f>IF(SUMPRODUCT(--(NOT(ISERR(SEARCH({"T","Ba"},'CDR Project Planner'!#REF!))))),'CDR Project Planner'!#REF!,"")</f>
        <v/>
      </c>
      <c r="F19" s="33" t="str">
        <f>IF(SUMPRODUCT(--(NOT(ISERR(SEARCH({"T","Ba"},'CDR Project Planner'!#REF!))))),'CDR Project Planner'!#REF!,"")</f>
        <v/>
      </c>
      <c r="G19" s="33" t="str">
        <f>IF(SUMPRODUCT(--(NOT(ISERR(SEARCH({"T","Ba"},'CDR Project Planner'!#REF!))))),'CDR Project Planner'!#REF!,"")</f>
        <v/>
      </c>
      <c r="H19" s="43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IF(SUMPRODUCT(--(NOT(ISERR(SEARCH({"T","Ba"},'CDR Project Planner'!#REF!))))),'CDR Project Planner'!#REF!,"")</f>
        <v/>
      </c>
      <c r="C20" s="33" t="str">
        <f>IF(SUMPRODUCT(--(NOT(ISERR(SEARCH({"T","Ba"},'CDR Project Planner'!#REF!))))),'CDR Project Planner'!#REF!,"")</f>
        <v/>
      </c>
      <c r="D20" s="33" t="str">
        <f>IF(SUMPRODUCT(--(NOT(ISERR(SEARCH({"T","Ba"},'CDR Project Planner'!#REF!))))),'CDR Project Planner'!#REF!,"")</f>
        <v/>
      </c>
      <c r="E20" s="33" t="str">
        <f>IF(SUMPRODUCT(--(NOT(ISERR(SEARCH({"T","Ba"},'CDR Project Planner'!#REF!))))),'CDR Project Planner'!#REF!,"")</f>
        <v/>
      </c>
      <c r="F20" s="33" t="str">
        <f>IF(SUMPRODUCT(--(NOT(ISERR(SEARCH({"T","Ba"},'CDR Project Planner'!#REF!))))),'CDR Project Planner'!#REF!,"")</f>
        <v/>
      </c>
      <c r="G20" s="33" t="str">
        <f>IF(SUMPRODUCT(--(NOT(ISERR(SEARCH({"T","Ba"},'CDR Project Planner'!#REF!))))),'CDR Project Planner'!#REF!,"")</f>
        <v/>
      </c>
      <c r="H20" s="43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2" t="str">
        <f>IF(SUMPRODUCT(--(NOT(ISERR(SEARCH({"T","Ba"},'CDR Project Planner'!$C21))))),'CDR Project Planner'!B21,"")</f>
        <v/>
      </c>
      <c r="C21" s="33" t="str">
        <f>IF(SUMPRODUCT(--(NOT(ISERR(SEARCH({"T","Ba"},'CDR Project Planner'!$C21))))),'CDR Project Planner'!C21,"")</f>
        <v/>
      </c>
      <c r="D21" s="33" t="str">
        <f>IF(SUMPRODUCT(--(NOT(ISERR(SEARCH({"T","Ba"},'CDR Project Planner'!$C21))))),'CDR Project Planner'!D21,"")</f>
        <v/>
      </c>
      <c r="E21" s="33" t="str">
        <f>IF(SUMPRODUCT(--(NOT(ISERR(SEARCH({"T","Ba"},'CDR Project Planner'!$C21))))),'CDR Project Planner'!E21,"")</f>
        <v/>
      </c>
      <c r="F21" s="33" t="str">
        <f>IF(SUMPRODUCT(--(NOT(ISERR(SEARCH({"T","Ba"},'CDR Project Planner'!$C21))))),'CDR Project Planner'!F21,"")</f>
        <v/>
      </c>
      <c r="G21" s="33" t="str">
        <f>IF(SUMPRODUCT(--(NOT(ISERR(SEARCH({"T","Ba"},'CDR Project Planner'!$C21))))),'CDR Project Planner'!G21,"")</f>
        <v/>
      </c>
      <c r="H21" s="43" t="str">
        <f>IF(SUMPRODUCT(--(NOT(ISERR(SEARCH({"T","Ba"},'CDR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2" t="str">
        <f>IF(SUMPRODUCT(--(NOT(ISERR(SEARCH({"T","Ba"},'CDR Project Planner'!$C22))))),'CDR Project Planner'!B22,"")</f>
        <v/>
      </c>
      <c r="C22" s="33" t="str">
        <f>IF(SUMPRODUCT(--(NOT(ISERR(SEARCH({"T","Ba"},'CDR Project Planner'!$C22))))),'CDR Project Planner'!C22,"")</f>
        <v/>
      </c>
      <c r="D22" s="33" t="str">
        <f>IF(SUMPRODUCT(--(NOT(ISERR(SEARCH({"T","Ba"},'CDR Project Planner'!$C22))))),'CDR Project Planner'!D22,"")</f>
        <v/>
      </c>
      <c r="E22" s="33" t="str">
        <f>IF(SUMPRODUCT(--(NOT(ISERR(SEARCH({"T","Ba"},'CDR Project Planner'!$C22))))),'CDR Project Planner'!E22,"")</f>
        <v/>
      </c>
      <c r="F22" s="33" t="str">
        <f>IF(SUMPRODUCT(--(NOT(ISERR(SEARCH({"T","Ba"},'CDR Project Planner'!$C22))))),'CDR Project Planner'!F22,"")</f>
        <v/>
      </c>
      <c r="G22" s="33" t="str">
        <f>IF(SUMPRODUCT(--(NOT(ISERR(SEARCH({"T","Ba"},'CDR Project Planner'!$C22))))),'CDR Project Planner'!G22,"")</f>
        <v/>
      </c>
      <c r="H22" s="43" t="str">
        <f>IF(SUMPRODUCT(--(NOT(ISERR(SEARCH({"T","Ba"},'CDR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2" t="str">
        <f>IF(SUMPRODUCT(--(NOT(ISERR(SEARCH({"T","Ba"},'CDR Project Planner'!$C23))))),'CDR Project Planner'!B23,"")</f>
        <v/>
      </c>
      <c r="C23" s="33" t="str">
        <f>IF(SUMPRODUCT(--(NOT(ISERR(SEARCH({"T","Ba"},'CDR Project Planner'!$C23))))),'CDR Project Planner'!C23,"")</f>
        <v/>
      </c>
      <c r="D23" s="33" t="str">
        <f>IF(SUMPRODUCT(--(NOT(ISERR(SEARCH({"T","Ba"},'CDR Project Planner'!$C23))))),'CDR Project Planner'!D23,"")</f>
        <v/>
      </c>
      <c r="E23" s="33" t="str">
        <f>IF(SUMPRODUCT(--(NOT(ISERR(SEARCH({"T","Ba"},'CDR Project Planner'!$C23))))),'CDR Project Planner'!E23,"")</f>
        <v/>
      </c>
      <c r="F23" s="33" t="str">
        <f>IF(SUMPRODUCT(--(NOT(ISERR(SEARCH({"T","Ba"},'CDR Project Planner'!$C23))))),'CDR Project Planner'!F23,"")</f>
        <v/>
      </c>
      <c r="G23" s="33" t="str">
        <f>IF(SUMPRODUCT(--(NOT(ISERR(SEARCH({"T","Ba"},'CDR Project Planner'!$C23))))),'CDR Project Planner'!G23,"")</f>
        <v/>
      </c>
      <c r="H23" s="43" t="str">
        <f>IF(SUMPRODUCT(--(NOT(ISERR(SEARCH({"T","Ba"},'CDR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2" t="str">
        <f>IF(SUMPRODUCT(--(NOT(ISERR(SEARCH({"T","Ba"},'CDR Project Planner'!$C25))))),'CDR Project Planner'!B25,"")</f>
        <v/>
      </c>
      <c r="C24" s="33" t="str">
        <f>IF(SUMPRODUCT(--(NOT(ISERR(SEARCH({"T","Ba"},'CDR Project Planner'!$C25))))),'CDR Project Planner'!C25,"")</f>
        <v/>
      </c>
      <c r="D24" s="33" t="str">
        <f>IF(SUMPRODUCT(--(NOT(ISERR(SEARCH({"T","Ba"},'CDR Project Planner'!$C25))))),'CDR Project Planner'!D25,"")</f>
        <v/>
      </c>
      <c r="E24" s="33" t="str">
        <f>IF(SUMPRODUCT(--(NOT(ISERR(SEARCH({"T","Ba"},'CDR Project Planner'!$C25))))),'CDR Project Planner'!E25,"")</f>
        <v/>
      </c>
      <c r="F24" s="33" t="str">
        <f>IF(SUMPRODUCT(--(NOT(ISERR(SEARCH({"T","Ba"},'CDR Project Planner'!$C25))))),'CDR Project Planner'!F25,"")</f>
        <v/>
      </c>
      <c r="G24" s="33" t="str">
        <f>IF(SUMPRODUCT(--(NOT(ISERR(SEARCH({"T","Ba"},'CDR Project Planner'!$C25))))),'CDR Project Planner'!G25,"")</f>
        <v/>
      </c>
      <c r="H24" s="43" t="str">
        <f>IF(SUMPRODUCT(--(NOT(ISERR(SEARCH({"T","Ba"},'CDR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2" t="str">
        <f>IF(SUMPRODUCT(--(NOT(ISERR(SEARCH({"T","Ba"},'CDR Project Planner'!#REF!))))),'CDR Project Planner'!#REF!,"")</f>
        <v/>
      </c>
      <c r="C25" s="33" t="str">
        <f>IF(SUMPRODUCT(--(NOT(ISERR(SEARCH({"T","Ba"},'CDR Project Planner'!#REF!))))),'CDR Project Planner'!#REF!,"")</f>
        <v/>
      </c>
      <c r="D25" s="33" t="str">
        <f>IF(SUMPRODUCT(--(NOT(ISERR(SEARCH({"T","Ba"},'CDR Project Planner'!#REF!))))),'CDR Project Planner'!#REF!,"")</f>
        <v/>
      </c>
      <c r="E25" s="33" t="str">
        <f>IF(SUMPRODUCT(--(NOT(ISERR(SEARCH({"T","Ba"},'CDR Project Planner'!#REF!))))),'CDR Project Planner'!#REF!,"")</f>
        <v/>
      </c>
      <c r="F25" s="33" t="str">
        <f>IF(SUMPRODUCT(--(NOT(ISERR(SEARCH({"T","Ba"},'CDR Project Planner'!#REF!))))),'CDR Project Planner'!#REF!,"")</f>
        <v/>
      </c>
      <c r="G25" s="33" t="str">
        <f>IF(SUMPRODUCT(--(NOT(ISERR(SEARCH({"T","Ba"},'CDR Project Planner'!#REF!))))),'CDR Project Planner'!#REF!,"")</f>
        <v/>
      </c>
      <c r="H25" s="43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32" t="str">
        <f>IF(SUMPRODUCT(--(NOT(ISERR(SEARCH({"T","Ba"},'CDR Project Planner'!#REF!))))),'CDR Project Planner'!#REF!,"")</f>
        <v/>
      </c>
      <c r="C26" s="33" t="str">
        <f>IF(SUMPRODUCT(--(NOT(ISERR(SEARCH({"T","Ba"},'CDR Project Planner'!#REF!))))),'CDR Project Planner'!#REF!,"")</f>
        <v/>
      </c>
      <c r="D26" s="33" t="str">
        <f>IF(SUMPRODUCT(--(NOT(ISERR(SEARCH({"T","Ba"},'CDR Project Planner'!#REF!))))),'CDR Project Planner'!#REF!,"")</f>
        <v/>
      </c>
      <c r="E26" s="33" t="str">
        <f>IF(SUMPRODUCT(--(NOT(ISERR(SEARCH({"T","Ba"},'CDR Project Planner'!#REF!))))),'CDR Project Planner'!#REF!,"")</f>
        <v/>
      </c>
      <c r="F26" s="33" t="str">
        <f>IF(SUMPRODUCT(--(NOT(ISERR(SEARCH({"T","Ba"},'CDR Project Planner'!#REF!))))),'CDR Project Planner'!#REF!,"")</f>
        <v/>
      </c>
      <c r="G26" s="33" t="str">
        <f>IF(SUMPRODUCT(--(NOT(ISERR(SEARCH({"T","Ba"},'CDR Project Planner'!#REF!))))),'CDR Project Planner'!#REF!,"")</f>
        <v/>
      </c>
      <c r="H26" s="43" t="str">
        <f>IF(SUMPRODUCT(--(NOT(ISERR(SEARCH({"T","Ba"},'CDR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outlineLevel="1" x14ac:dyDescent="0.25">
      <c r="A27" s="1"/>
      <c r="B27" s="32" t="str">
        <f>IF(SUMPRODUCT(--(NOT(ISERR(SEARCH({"T","Ba"},'CDR Project Planner'!$C34))))),'CDR Project Planner'!B34,"")</f>
        <v/>
      </c>
      <c r="C27" s="33" t="str">
        <f>IF(SUMPRODUCT(--(NOT(ISERR(SEARCH({"T","Ba"},'CDR Project Planner'!$C34))))),'CDR Project Planner'!C34,"")</f>
        <v/>
      </c>
      <c r="D27" s="33" t="str">
        <f>IF(SUMPRODUCT(--(NOT(ISERR(SEARCH({"T","Ba"},'CDR Project Planner'!$C34))))),'CDR Project Planner'!D34,"")</f>
        <v/>
      </c>
      <c r="E27" s="33" t="str">
        <f>IF(SUMPRODUCT(--(NOT(ISERR(SEARCH({"T","Ba"},'CDR Project Planner'!$C34))))),'CDR Project Planner'!E34,"")</f>
        <v/>
      </c>
      <c r="F27" s="33" t="str">
        <f>IF(SUMPRODUCT(--(NOT(ISERR(SEARCH({"T","Ba"},'CDR Project Planner'!$C34))))),'CDR Project Planner'!F34,"")</f>
        <v/>
      </c>
      <c r="G27" s="33" t="str">
        <f>IF(SUMPRODUCT(--(NOT(ISERR(SEARCH({"T","Ba"},'CDR Project Planner'!$C34))))),'CDR Project Planner'!G34,"")</f>
        <v/>
      </c>
      <c r="H27" s="43" t="str">
        <f>IF(SUMPRODUCT(--(NOT(ISERR(SEARCH({"T","Ba"},'CDR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2" t="str">
        <f>IF(SUMPRODUCT(--(NOT(ISERR(SEARCH({"T","Ba"},'CDR Project Planner'!#REF!))))),'CDR Project Planner'!#REF!,"")</f>
        <v/>
      </c>
      <c r="C28" s="33" t="str">
        <f>IF(SUMPRODUCT(--(NOT(ISERR(SEARCH({"T","Ba"},'CDR Project Planner'!#REF!))))),'CDR Project Planner'!#REF!,"")</f>
        <v/>
      </c>
      <c r="D28" s="33" t="str">
        <f>IF(SUMPRODUCT(--(NOT(ISERR(SEARCH({"T","Ba"},'CDR Project Planner'!#REF!))))),'CDR Project Planner'!#REF!,"")</f>
        <v/>
      </c>
      <c r="E28" s="33" t="str">
        <f>IF(SUMPRODUCT(--(NOT(ISERR(SEARCH({"T","Ba"},'CDR Project Planner'!#REF!))))),'CDR Project Planner'!#REF!,"")</f>
        <v/>
      </c>
      <c r="F28" s="33" t="str">
        <f>IF(SUMPRODUCT(--(NOT(ISERR(SEARCH({"T","Ba"},'CDR Project Planner'!#REF!))))),'CDR Project Planner'!#REF!,"")</f>
        <v/>
      </c>
      <c r="G28" s="33" t="str">
        <f>IF(SUMPRODUCT(--(NOT(ISERR(SEARCH({"T","Ba"},'CDR Project Planner'!#REF!))))),'CDR Project Planner'!#REF!,"")</f>
        <v/>
      </c>
      <c r="H28" s="43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x14ac:dyDescent="0.25">
      <c r="A29" s="1"/>
      <c r="B29" s="32" t="str">
        <f>IF(SUMPRODUCT(--(NOT(ISERR(SEARCH({"T","Ba"},'CDR Project Planner'!$C35))))),'CDR Project Planner'!B35,"")</f>
        <v/>
      </c>
      <c r="C29" s="33" t="str">
        <f>IF(SUMPRODUCT(--(NOT(ISERR(SEARCH({"T","Ba"},'CDR Project Planner'!$C35))))),'CDR Project Planner'!C35,"")</f>
        <v/>
      </c>
      <c r="D29" s="33" t="str">
        <f>IF(SUMPRODUCT(--(NOT(ISERR(SEARCH({"T","Ba"},'CDR Project Planner'!$C35))))),'CDR Project Planner'!D35,"")</f>
        <v/>
      </c>
      <c r="E29" s="33" t="str">
        <f>IF(SUMPRODUCT(--(NOT(ISERR(SEARCH({"T","Ba"},'CDR Project Planner'!$C35))))),'CDR Project Planner'!E35,"")</f>
        <v/>
      </c>
      <c r="F29" s="33" t="str">
        <f>IF(SUMPRODUCT(--(NOT(ISERR(SEARCH({"T","Ba"},'CDR Project Planner'!$C35))))),'CDR Project Planner'!F35,"")</f>
        <v/>
      </c>
      <c r="G29" s="33" t="str">
        <f>IF(SUMPRODUCT(--(NOT(ISERR(SEARCH({"T","Ba"},'CDR Project Planner'!$C35))))),'CDR Project Planner'!G35,"")</f>
        <v/>
      </c>
      <c r="H29" s="43" t="str">
        <f>IF(SUMPRODUCT(--(NOT(ISERR(SEARCH({"T","Ba"},'CDR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IF(SUMPRODUCT(--(NOT(ISERR(SEARCH({"T","Ba"},'CDR Project Planner'!$C40))))),'CDR Project Planner'!B40,"")</f>
        <v>Project Management</v>
      </c>
      <c r="C30" s="33" t="str">
        <f>IF(SUMPRODUCT(--(NOT(ISERR(SEARCH({"T","Ba"},'CDR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IF(SUMPRODUCT(--(NOT(ISERR(SEARCH({"T","Ba"},'CDR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IF(SUMPRODUCT(--(NOT(ISERR(SEARCH({"T","Ba"},'CDR Project Planner'!$C41))))),'CDR Project Planner'!B41,"")</f>
        <v/>
      </c>
      <c r="C31" s="33" t="str">
        <f>IF(SUMPRODUCT(--(NOT(ISERR(SEARCH({"T","Ba"},'CDR Project Planner'!$C41))))),'CDR Project Planner'!C41,"")</f>
        <v/>
      </c>
      <c r="D31" s="33" t="str">
        <f>IF(SUMPRODUCT(--(NOT(ISERR(SEARCH({"T","Ba"},'CDR Project Planner'!$C41))))),'CDR Project Planner'!D41,"")</f>
        <v/>
      </c>
      <c r="E31" s="33" t="str">
        <f>IF(SUMPRODUCT(--(NOT(ISERR(SEARCH({"T","Ba"},'CDR Project Planner'!$C41))))),'CDR Project Planner'!E41,"")</f>
        <v/>
      </c>
      <c r="F31" s="33" t="str">
        <f>IF(SUMPRODUCT(--(NOT(ISERR(SEARCH({"T","Ba"},'CDR Project Planner'!$C41))))),'CDR Project Planner'!F41,"")</f>
        <v/>
      </c>
      <c r="G31" s="33" t="str">
        <f>IF(SUMPRODUCT(--(NOT(ISERR(SEARCH({"T","Ba"},'CDR Project Planner'!$C41))))),'CDR Project Planner'!G41,"")</f>
        <v/>
      </c>
      <c r="H31" s="38" t="str">
        <f>IF(SUMPRODUCT(--(NOT(ISERR(SEARCH({"T","Ba"},'CDR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IF(SUMPRODUCT(--(NOT(ISERR(SEARCH({"T","Ba"},'CDR Project Planner'!$C42))))),'CDR Project Planner'!B42,"")</f>
        <v>Develop Tech Memo - PWM</v>
      </c>
      <c r="C32" s="33" t="str">
        <f>IF(SUMPRODUCT(--(NOT(ISERR(SEARCH({"T","Ba"},'CDR Project Planner'!$C42))))),'CDR Project Planner'!C42,"")</f>
        <v>Ba</v>
      </c>
      <c r="D32" s="33">
        <f>IF(SUMPRODUCT(--(NOT(ISERR(SEARCH({"T","Ba"},'CDR Project Planner'!$C42))))),'CDR Project Planner'!D42,"")</f>
        <v>62</v>
      </c>
      <c r="E32" s="33">
        <f>IF(SUMPRODUCT(--(NOT(ISERR(SEARCH({"T","Ba"},'CDR Project Planner'!$C42))))),'CDR Project Planner'!E42,"")</f>
        <v>6</v>
      </c>
      <c r="F32" s="33">
        <f>IF(SUMPRODUCT(--(NOT(ISERR(SEARCH({"T","Ba"},'CDR Project Planner'!$C42))))),'CDR Project Planner'!F42,"")</f>
        <v>0</v>
      </c>
      <c r="G32" s="33">
        <f>IF(SUMPRODUCT(--(NOT(ISERR(SEARCH({"T","Ba"},'CDR Project Planner'!$C42))))),'CDR Project Planner'!G42,"")</f>
        <v>0</v>
      </c>
      <c r="H32" s="38">
        <f>IF(SUMPRODUCT(--(NOT(ISERR(SEARCH({"T","Ba"},'CDR Project Planner'!$C42))))),'CDR Project Planner'!H41,"")</f>
        <v>0.5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IF(SUMPRODUCT(--(NOT(ISERR(SEARCH({"T","Ba"},'CDR Project Planner'!$C45))))),'CDR Project Planner'!B45,"")</f>
        <v/>
      </c>
      <c r="C33" s="33" t="str">
        <f>IF(SUMPRODUCT(--(NOT(ISERR(SEARCH({"T","Ba"},'CDR Project Planner'!$C45))))),'CDR Project Planner'!C45,"")</f>
        <v/>
      </c>
      <c r="D33" s="33" t="str">
        <f>IF(SUMPRODUCT(--(NOT(ISERR(SEARCH({"T","Ba"},'CDR Project Planner'!$C45))))),'CDR Project Planner'!D45,"")</f>
        <v/>
      </c>
      <c r="E33" s="33" t="str">
        <f>IF(SUMPRODUCT(--(NOT(ISERR(SEARCH({"T","Ba"},'CDR Project Planner'!$C45))))),'CDR Project Planner'!E45,"")</f>
        <v/>
      </c>
      <c r="F33" s="33" t="str">
        <f>IF(SUMPRODUCT(--(NOT(ISERR(SEARCH({"T","Ba"},'CDR Project Planner'!$C45))))),'CDR Project Planner'!F45,"")</f>
        <v/>
      </c>
      <c r="G33" s="33" t="str">
        <f>IF(SUMPRODUCT(--(NOT(ISERR(SEARCH({"T","Ba"},'CDR Project Planner'!$C45))))),'CDR Project Planner'!G45,"")</f>
        <v/>
      </c>
      <c r="H33" s="38" t="str">
        <f>IF(SUMPRODUCT(--(NOT(ISERR(SEARCH({"T","Ba"},'CDR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IF(SUMPRODUCT(--(NOT(ISERR(SEARCH({"T","Ba"},'CDR Project Planner'!$C46))))),'CDR Project Planner'!B46,"")</f>
        <v/>
      </c>
      <c r="C34" s="33" t="str">
        <f>IF(SUMPRODUCT(--(NOT(ISERR(SEARCH({"T","Ba"},'CDR Project Planner'!$C46))))),'CDR Project Planner'!C46,"")</f>
        <v/>
      </c>
      <c r="D34" s="33" t="str">
        <f>IF(SUMPRODUCT(--(NOT(ISERR(SEARCH({"T","Ba"},'CDR Project Planner'!$C46))))),'CDR Project Planner'!D46,"")</f>
        <v/>
      </c>
      <c r="E34" s="33" t="str">
        <f>IF(SUMPRODUCT(--(NOT(ISERR(SEARCH({"T","Ba"},'CDR Project Planner'!$C46))))),'CDR Project Planner'!E46,"")</f>
        <v/>
      </c>
      <c r="F34" s="33" t="str">
        <f>IF(SUMPRODUCT(--(NOT(ISERR(SEARCH({"T","Ba"},'CDR Project Planner'!$C46))))),'CDR Project Planner'!F46,"")</f>
        <v/>
      </c>
      <c r="G34" s="33" t="str">
        <f>IF(SUMPRODUCT(--(NOT(ISERR(SEARCH({"T","Ba"},'CDR Project Planner'!$C46))))),'CDR Project Planner'!G46,"")</f>
        <v/>
      </c>
      <c r="H34" s="38" t="str">
        <f>IF(SUMPRODUCT(--(NOT(ISERR(SEARCH({"T","Ba"},'CDR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IF(SUMPRODUCT(--(NOT(ISERR(SEARCH({"T","Ba"},'CDR Project Planner'!$C48))))),'CDR Project Planner'!B48,"")</f>
        <v>CDR PowerPoint</v>
      </c>
      <c r="C35" s="33" t="str">
        <f>IF(SUMPRODUCT(--(NOT(ISERR(SEARCH({"T","Ba"},'CDR Project Planner'!$C48))))),'CDR Project Planner'!C48,"")</f>
        <v>T</v>
      </c>
      <c r="D35" s="33">
        <f>IF(SUMPRODUCT(--(NOT(ISERR(SEARCH({"T","Ba"},'CDR Project Planner'!$C48))))),'CDR Project Planner'!D48,"")</f>
        <v>55</v>
      </c>
      <c r="E35" s="33">
        <f>IF(SUMPRODUCT(--(NOT(ISERR(SEARCH({"T","Ba"},'CDR Project Planner'!$C48))))),'CDR Project Planner'!E48,"")</f>
        <v>10</v>
      </c>
      <c r="F35" s="33">
        <f>IF(SUMPRODUCT(--(NOT(ISERR(SEARCH({"T","Ba"},'CDR Project Planner'!$C48))))),'CDR Project Planner'!F48,"")</f>
        <v>0</v>
      </c>
      <c r="G35" s="33">
        <f>IF(SUMPRODUCT(--(NOT(ISERR(SEARCH({"T","Ba"},'CDR Project Planner'!$C48))))),'CDR Project Planner'!G48,"")</f>
        <v>0</v>
      </c>
      <c r="H35" s="38">
        <f>IF(SUMPRODUCT(--(NOT(ISERR(SEARCH({"T","Ba"},'CDR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IF(SUMPRODUCT(--(NOT(ISERR(SEARCH({"T","Ba"},'CDR Project Planner'!$C49))))),'CDR Project Planner'!B49,"")</f>
        <v>CDR</v>
      </c>
      <c r="C36" s="37" t="str">
        <f>IF(SUMPRODUCT(--(NOT(ISERR(SEARCH({"T","Ba"},'CDR Project Planner'!$C49))))),'CDR Project Planner'!C49,"")</f>
        <v>T</v>
      </c>
      <c r="D36" s="37">
        <f>IF(SUMPRODUCT(--(NOT(ISERR(SEARCH({"T","Ba"},'CDR Project Planner'!$C49))))),'CDR Project Planner'!D49,"")</f>
        <v>69</v>
      </c>
      <c r="E36" s="37">
        <f>IF(SUMPRODUCT(--(NOT(ISERR(SEARCH({"T","Ba"},'CDR Project Planner'!$C49))))),'CDR Project Planner'!E49,"")</f>
        <v>1</v>
      </c>
      <c r="F36" s="37">
        <f>IF(SUMPRODUCT(--(NOT(ISERR(SEARCH({"T","Ba"},'CDR Project Planner'!$C49))))),'CDR Project Planner'!F49,"")</f>
        <v>55</v>
      </c>
      <c r="G36" s="37">
        <f>IF(SUMPRODUCT(--(NOT(ISERR(SEARCH({"T","Ba"},'CDR Project Planner'!$C49))))),'CDR Project Planner'!G49,"")</f>
        <v>1</v>
      </c>
      <c r="H36" s="38">
        <f>IF(SUMPRODUCT(--(NOT(ISERR(SEARCH({"T","Ba"},'CDR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2" t="str">
        <f>IF(SUMPRODUCT(--(NOT(ISERR(SEARCH({"T","Ba"},'CDR Project Planner'!$C50))))),'CDR Project Planner'!B50,"")</f>
        <v/>
      </c>
      <c r="C37" s="33" t="str">
        <f>IF(SUMPRODUCT(--(NOT(ISERR(SEARCH({"T","Ba"},'CDR Project Planner'!$C50))))),'CDR Project Planner'!C50,"")</f>
        <v/>
      </c>
      <c r="D37" s="33" t="str">
        <f>IF(SUMPRODUCT(--(NOT(ISERR(SEARCH({"T","Ba"},'CDR Project Planner'!$C50))))),'CDR Project Planner'!D50,"")</f>
        <v/>
      </c>
      <c r="E37" s="33" t="str">
        <f>IF(SUMPRODUCT(--(NOT(ISERR(SEARCH({"T","Ba"},'CDR Project Planner'!$C50))))),'CDR Project Planner'!E50,"")</f>
        <v/>
      </c>
      <c r="F37" s="33" t="str">
        <f>IF(SUMPRODUCT(--(NOT(ISERR(SEARCH({"T","Ba"},'CDR Project Planner'!$C50))))),'CDR Project Planner'!F50,"")</f>
        <v/>
      </c>
      <c r="G37" s="33" t="str">
        <f>IF(SUMPRODUCT(--(NOT(ISERR(SEARCH({"T","Ba"},'CDR Project Planner'!$C50))))),'CDR Project Planner'!G50,"")</f>
        <v/>
      </c>
      <c r="H37" s="38" t="str">
        <f>IF(SUMPRODUCT(--(NOT(ISERR(SEARCH({"T","Ba"},'CDR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2" t="str">
        <f>IF(SUMPRODUCT(--(NOT(ISERR(SEARCH({"T","Ba"},'CDR Project Planner'!$C51))))),'CDR Project Planner'!B51,"")</f>
        <v/>
      </c>
      <c r="C38" s="33" t="str">
        <f>IF(SUMPRODUCT(--(NOT(ISERR(SEARCH({"T","Ba"},'CDR Project Planner'!$C51))))),'CDR Project Planner'!C51,"")</f>
        <v/>
      </c>
      <c r="D38" s="33" t="str">
        <f>IF(SUMPRODUCT(--(NOT(ISERR(SEARCH({"T","Ba"},'CDR Project Planner'!$C51))))),'CDR Project Planner'!D51,"")</f>
        <v/>
      </c>
      <c r="E38" s="33" t="str">
        <f>IF(SUMPRODUCT(--(NOT(ISERR(SEARCH({"T","Ba"},'CDR Project Planner'!$C51))))),'CDR Project Planner'!E51,"")</f>
        <v/>
      </c>
      <c r="F38" s="33" t="str">
        <f>IF(SUMPRODUCT(--(NOT(ISERR(SEARCH({"T","Ba"},'CDR Project Planner'!$C51))))),'CDR Project Planner'!F51,"")</f>
        <v/>
      </c>
      <c r="G38" s="33" t="str">
        <f>IF(SUMPRODUCT(--(NOT(ISERR(SEARCH({"T","Ba"},'CDR Project Planner'!$C51))))),'CDR Project Planner'!G51,"")</f>
        <v/>
      </c>
      <c r="H38" s="38" t="str">
        <f>IF(SUMPRODUCT(--(NOT(ISERR(SEARCH({"T","Ba"},'CDR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IF(SUMPRODUCT(--(NOT(ISERR(SEARCH({"T","Ba"},'CDR Project Planner'!$C52))))),'CDR Project Planner'!B52,"")</f>
        <v/>
      </c>
      <c r="C39" s="33" t="str">
        <f>IF(SUMPRODUCT(--(NOT(ISERR(SEARCH({"T","Ba"},'CDR Project Planner'!$C52))))),'CDR Project Planner'!C52,"")</f>
        <v/>
      </c>
      <c r="D39" s="33" t="str">
        <f>IF(SUMPRODUCT(--(NOT(ISERR(SEARCH({"T","Ba"},'CDR Project Planner'!$C52))))),'CDR Project Planner'!D52,"")</f>
        <v/>
      </c>
      <c r="E39" s="33" t="str">
        <f>IF(SUMPRODUCT(--(NOT(ISERR(SEARCH({"T","Ba"},'CDR Project Planner'!$C52))))),'CDR Project Planner'!E52,"")</f>
        <v/>
      </c>
      <c r="F39" s="33" t="str">
        <f>IF(SUMPRODUCT(--(NOT(ISERR(SEARCH({"T","Ba"},'CDR Project Planner'!$C52))))),'CDR Project Planner'!F52,"")</f>
        <v/>
      </c>
      <c r="G39" s="33" t="str">
        <f>IF(SUMPRODUCT(--(NOT(ISERR(SEARCH({"T","Ba"},'CDR Project Planner'!$C52))))),'CDR Project Planner'!G52,"")</f>
        <v/>
      </c>
      <c r="H39" s="38" t="str">
        <f>IF(SUMPRODUCT(--(NOT(ISERR(SEARCH({"T","Ba"},'CDR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IF(SUMPRODUCT(--(NOT(ISERR(SEARCH({"T","Ba"},'CDR Project Planner'!$C53))))),'CDR Project Planner'!B53,"")</f>
        <v/>
      </c>
      <c r="C40" s="33" t="str">
        <f>IF(SUMPRODUCT(--(NOT(ISERR(SEARCH({"T","Ba"},'CDR Project Planner'!$C53))))),'CDR Project Planner'!C53,"")</f>
        <v/>
      </c>
      <c r="D40" s="33" t="str">
        <f>IF(SUMPRODUCT(--(NOT(ISERR(SEARCH({"T","Ba"},'CDR Project Planner'!$C53))))),'CDR Project Planner'!D53,"")</f>
        <v/>
      </c>
      <c r="E40" s="33" t="str">
        <f>IF(SUMPRODUCT(--(NOT(ISERR(SEARCH({"T","Ba"},'CDR Project Planner'!$C53))))),'CDR Project Planner'!E53,"")</f>
        <v/>
      </c>
      <c r="F40" s="33" t="str">
        <f>IF(SUMPRODUCT(--(NOT(ISERR(SEARCH({"T","Ba"},'CDR Project Planner'!$C53))))),'CDR Project Planner'!F53,"")</f>
        <v/>
      </c>
      <c r="G40" s="33" t="str">
        <f>IF(SUMPRODUCT(--(NOT(ISERR(SEARCH({"T","Ba"},'CDR Project Planner'!$C53))))),'CDR Project Planner'!G53,"")</f>
        <v/>
      </c>
      <c r="H40" s="38" t="str">
        <f>IF(SUMPRODUCT(--(NOT(ISERR(SEARCH({"T","Ba"},'CDR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IF(SUMPRODUCT(--(NOT(ISERR(SEARCH({"T","Ba"},'CDR Project Planner'!$C54))))),'CDR Project Planner'!B54,"")</f>
        <v/>
      </c>
      <c r="C41" s="33" t="str">
        <f>IF(SUMPRODUCT(--(NOT(ISERR(SEARCH({"T","Ba"},'CDR Project Planner'!$C54))))),'CDR Project Planner'!C54,"")</f>
        <v/>
      </c>
      <c r="D41" s="33" t="str">
        <f>IF(SUMPRODUCT(--(NOT(ISERR(SEARCH({"T","Ba"},'CDR Project Planner'!$C54))))),'CDR Project Planner'!D54,"")</f>
        <v/>
      </c>
      <c r="E41" s="33" t="str">
        <f>IF(SUMPRODUCT(--(NOT(ISERR(SEARCH({"T","Ba"},'CDR Project Planner'!$C54))))),'CDR Project Planner'!E54,"")</f>
        <v/>
      </c>
      <c r="F41" s="33" t="str">
        <f>IF(SUMPRODUCT(--(NOT(ISERR(SEARCH({"T","Ba"},'CDR Project Planner'!$C54))))),'CDR Project Planner'!F54,"")</f>
        <v/>
      </c>
      <c r="G41" s="33" t="str">
        <f>IF(SUMPRODUCT(--(NOT(ISERR(SEARCH({"T","Ba"},'CDR Project Planner'!$C54))))),'CDR Project Planner'!G54,"")</f>
        <v/>
      </c>
      <c r="H41" s="38" t="str">
        <f>IF(SUMPRODUCT(--(NOT(ISERR(SEARCH({"T","Ba"},'CDR Project Planner'!$C54))))),'CDR Project Planner'!H53,"")</f>
        <v/>
      </c>
    </row>
    <row r="42" spans="1:68" ht="30" customHeight="1" x14ac:dyDescent="0.25">
      <c r="B42" s="32" t="str">
        <f>IF(SUMPRODUCT(--(NOT(ISERR(SEARCH({"T","Ba"},'CDR Project Planner'!$C55))))),'CDR Project Planner'!B55,"")</f>
        <v/>
      </c>
      <c r="C42" s="33" t="str">
        <f>IF(SUMPRODUCT(--(NOT(ISERR(SEARCH({"T","Ba"},'CDR Project Planner'!$C55))))),'CDR Project Planner'!C55,"")</f>
        <v/>
      </c>
      <c r="D42" s="33" t="str">
        <f>IF(SUMPRODUCT(--(NOT(ISERR(SEARCH({"T","Ba"},'CDR Project Planner'!$C55))))),'CDR Project Planner'!D55,"")</f>
        <v/>
      </c>
      <c r="E42" s="33" t="str">
        <f>IF(SUMPRODUCT(--(NOT(ISERR(SEARCH({"T","Ba"},'CDR Project Planner'!$C55))))),'CDR Project Planner'!E55,"")</f>
        <v/>
      </c>
      <c r="F42" s="33" t="str">
        <f>IF(SUMPRODUCT(--(NOT(ISERR(SEARCH({"T","Ba"},'CDR Project Planner'!$C55))))),'CDR Project Planner'!F55,"")</f>
        <v/>
      </c>
      <c r="G42" s="33" t="str">
        <f>IF(SUMPRODUCT(--(NOT(ISERR(SEARCH({"T","Ba"},'CDR Project Planner'!$C55))))),'CDR Project Planner'!G55,"")</f>
        <v/>
      </c>
      <c r="H42" s="38" t="str">
        <f>IF(SUMPRODUCT(--(NOT(ISERR(SEARCH({"T","Ba"},'CDR Project Planner'!$C55))))),'CDR Project Planner'!H54,"")</f>
        <v/>
      </c>
    </row>
    <row r="43" spans="1:68" ht="30" customHeight="1" x14ac:dyDescent="0.25">
      <c r="B43" s="32" t="str">
        <f>IF(SUMPRODUCT(--(NOT(ISERR(SEARCH({"T","Ba"},'CDR Project Planner'!$C56))))),'CDR Project Planner'!B56,"")</f>
        <v/>
      </c>
      <c r="C43" s="33" t="str">
        <f>IF(SUMPRODUCT(--(NOT(ISERR(SEARCH({"T","Ba"},'CDR Project Planner'!$C56))))),'CDR Project Planner'!C56,"")</f>
        <v/>
      </c>
      <c r="D43" s="33" t="str">
        <f>IF(SUMPRODUCT(--(NOT(ISERR(SEARCH({"T","Ba"},'CDR Project Planner'!$C56))))),'CDR Project Planner'!D56,"")</f>
        <v/>
      </c>
      <c r="E43" s="33" t="str">
        <f>IF(SUMPRODUCT(--(NOT(ISERR(SEARCH({"T","Ba"},'CDR Project Planner'!$C56))))),'CDR Project Planner'!E56,"")</f>
        <v/>
      </c>
      <c r="F43" s="33" t="str">
        <f>IF(SUMPRODUCT(--(NOT(ISERR(SEARCH({"T","Ba"},'CDR Project Planner'!$C56))))),'CDR Project Planner'!F56,"")</f>
        <v/>
      </c>
      <c r="G43" s="33" t="str">
        <f>IF(SUMPRODUCT(--(NOT(ISERR(SEARCH({"T","Ba"},'CDR Project Planner'!$C56))))),'CDR Project Planner'!G56,"")</f>
        <v/>
      </c>
      <c r="H43" s="38" t="str">
        <f>IF(SUMPRODUCT(--(NOT(ISERR(SEARCH({"T","Ba"},'CDR Project Planner'!$C56))))),'CDR Project Planner'!H55,"")</f>
        <v/>
      </c>
    </row>
    <row r="44" spans="1:68" s="4" customFormat="1" ht="30" customHeight="1" x14ac:dyDescent="0.25">
      <c r="A44" s="1"/>
      <c r="B44" s="32" t="str">
        <f>IF(SUMPRODUCT(--(NOT(ISERR(SEARCH({"T","Ba"},'CDR Project Planner'!$C57))))),'CDR Project Planner'!B57,"")</f>
        <v/>
      </c>
      <c r="C44" s="33" t="str">
        <f>IF(SUMPRODUCT(--(NOT(ISERR(SEARCH({"T","Ba"},'CDR Project Planner'!$C57))))),'CDR Project Planner'!C57,"")</f>
        <v/>
      </c>
      <c r="D44" s="33" t="str">
        <f>IF(SUMPRODUCT(--(NOT(ISERR(SEARCH({"T","Ba"},'CDR Project Planner'!$C57))))),'CDR Project Planner'!D57,"")</f>
        <v/>
      </c>
      <c r="E44" s="33" t="str">
        <f>IF(SUMPRODUCT(--(NOT(ISERR(SEARCH({"T","Ba"},'CDR Project Planner'!$C57))))),'CDR Project Planner'!E57,"")</f>
        <v/>
      </c>
      <c r="F44" s="33" t="str">
        <f>IF(SUMPRODUCT(--(NOT(ISERR(SEARCH({"T","Ba"},'CDR Project Planner'!$C57))))),'CDR Project Planner'!F57,"")</f>
        <v/>
      </c>
      <c r="G44" s="33" t="str">
        <f>IF(SUMPRODUCT(--(NOT(ISERR(SEARCH({"T","Ba"},'CDR Project Planner'!$C57))))),'CDR Project Planner'!G57,"")</f>
        <v/>
      </c>
      <c r="H44" s="38" t="str">
        <f>IF(SUMPRODUCT(--(NOT(ISERR(SEARCH({"T","Ba"},'CDR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IF(SUMPRODUCT(--(NOT(ISERR(SEARCH({"T","Ba"},'CDR Project Planner'!$C58))))),'CDR Project Planner'!B58,"")</f>
        <v/>
      </c>
      <c r="C45" s="33" t="str">
        <f>IF(SUMPRODUCT(--(NOT(ISERR(SEARCH({"T","Ba"},'CDR Project Planner'!$C58))))),'CDR Project Planner'!C58,"")</f>
        <v/>
      </c>
      <c r="D45" s="33" t="str">
        <f>IF(SUMPRODUCT(--(NOT(ISERR(SEARCH({"T","Ba"},'CDR Project Planner'!$C58))))),'CDR Project Planner'!D58,"")</f>
        <v/>
      </c>
      <c r="E45" s="33" t="str">
        <f>IF(SUMPRODUCT(--(NOT(ISERR(SEARCH({"T","Ba"},'CDR Project Planner'!$C58))))),'CDR Project Planner'!E58,"")</f>
        <v/>
      </c>
      <c r="F45" s="33" t="str">
        <f>IF(SUMPRODUCT(--(NOT(ISERR(SEARCH({"T","Ba"},'CDR Project Planner'!$C58))))),'CDR Project Planner'!F58,"")</f>
        <v/>
      </c>
      <c r="G45" s="33" t="str">
        <f>IF(SUMPRODUCT(--(NOT(ISERR(SEARCH({"T","Ba"},'CDR Project Planner'!$C58))))),'CDR Project Planner'!G58,"")</f>
        <v/>
      </c>
      <c r="H45" s="38" t="str">
        <f>IF(SUMPRODUCT(--(NOT(ISERR(SEARCH({"T","Ba"},'CDR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IF(SUMPRODUCT(--(NOT(ISERR(SEARCH({"T","Ba"},'CDR Project Planner'!$C59))))),'CDR Project Planner'!B59,"")</f>
        <v/>
      </c>
      <c r="C46" s="33" t="str">
        <f>IF(SUMPRODUCT(--(NOT(ISERR(SEARCH({"T","Ba"},'CDR Project Planner'!$C59))))),'CDR Project Planner'!C59,"")</f>
        <v/>
      </c>
      <c r="D46" s="33" t="str">
        <f>IF(SUMPRODUCT(--(NOT(ISERR(SEARCH({"T","Ba"},'CDR Project Planner'!$C59))))),'CDR Project Planner'!D59,"")</f>
        <v/>
      </c>
      <c r="E46" s="33" t="str">
        <f>IF(SUMPRODUCT(--(NOT(ISERR(SEARCH({"T","Ba"},'CDR Project Planner'!$C59))))),'CDR Project Planner'!E59,"")</f>
        <v/>
      </c>
      <c r="F46" s="33" t="str">
        <f>IF(SUMPRODUCT(--(NOT(ISERR(SEARCH({"T","Ba"},'CDR Project Planner'!$C59))))),'CDR Project Planner'!F59,"")</f>
        <v/>
      </c>
      <c r="G46" s="33" t="str">
        <f>IF(SUMPRODUCT(--(NOT(ISERR(SEARCH({"T","Ba"},'CDR Project Planner'!$C59))))),'CDR Project Planner'!G59,"")</f>
        <v/>
      </c>
      <c r="H46" s="38" t="str">
        <f>IF(SUMPRODUCT(--(NOT(ISERR(SEARCH({"T","Ba"},'CDR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IF(SUMPRODUCT(--(NOT(ISERR(SEARCH({"T","Ba"},'CDR Project Planner'!$C60))))),'CDR Project Planner'!B60,"")</f>
        <v/>
      </c>
      <c r="C47" s="33" t="str">
        <f>IF(SUMPRODUCT(--(NOT(ISERR(SEARCH({"T","Ba"},'CDR Project Planner'!$C60))))),'CDR Project Planner'!C60,"")</f>
        <v/>
      </c>
      <c r="D47" s="33" t="str">
        <f>IF(SUMPRODUCT(--(NOT(ISERR(SEARCH({"T","Ba"},'CDR Project Planner'!$C60))))),'CDR Project Planner'!D60,"")</f>
        <v/>
      </c>
      <c r="E47" s="33" t="str">
        <f>IF(SUMPRODUCT(--(NOT(ISERR(SEARCH({"T","Ba"},'CDR Project Planner'!$C60))))),'CDR Project Planner'!E60,"")</f>
        <v/>
      </c>
      <c r="F47" s="33" t="str">
        <f>IF(SUMPRODUCT(--(NOT(ISERR(SEARCH({"T","Ba"},'CDR Project Planner'!$C60))))),'CDR Project Planner'!F60,"")</f>
        <v/>
      </c>
      <c r="G47" s="33" t="str">
        <f>IF(SUMPRODUCT(--(NOT(ISERR(SEARCH({"T","Ba"},'CDR Project Planner'!$C60))))),'CDR Project Planner'!G60,"")</f>
        <v/>
      </c>
      <c r="H47" s="38" t="str">
        <f>IF(SUMPRODUCT(--(NOT(ISERR(SEARCH({"T","Ba"},'CDR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IF(SUMPRODUCT(--(NOT(ISERR(SEARCH({"T","Ba"},'CDR Project Planner'!$C61))))),'CDR Project Planner'!B61,"")</f>
        <v/>
      </c>
      <c r="C48" s="33" t="str">
        <f>IF(SUMPRODUCT(--(NOT(ISERR(SEARCH({"T","Ba"},'CDR Project Planner'!$C61))))),'CDR Project Planner'!C61,"")</f>
        <v/>
      </c>
      <c r="D48" s="33" t="str">
        <f>IF(SUMPRODUCT(--(NOT(ISERR(SEARCH({"T","Ba"},'CDR Project Planner'!$C61))))),'CDR Project Planner'!D61,"")</f>
        <v/>
      </c>
      <c r="E48" s="33" t="str">
        <f>IF(SUMPRODUCT(--(NOT(ISERR(SEARCH({"T","Ba"},'CDR Project Planner'!$C61))))),'CDR Project Planner'!E61,"")</f>
        <v/>
      </c>
      <c r="F48" s="33" t="str">
        <f>IF(SUMPRODUCT(--(NOT(ISERR(SEARCH({"T","Ba"},'CDR Project Planner'!$C61))))),'CDR Project Planner'!F61,"")</f>
        <v/>
      </c>
      <c r="G48" s="33" t="str">
        <f>IF(SUMPRODUCT(--(NOT(ISERR(SEARCH({"T","Ba"},'CDR Project Planner'!$C61))))),'CDR Project Planner'!G61,"")</f>
        <v/>
      </c>
      <c r="H48" s="38" t="str">
        <f>IF(SUMPRODUCT(--(NOT(ISERR(SEARCH({"T","Ba"},'CDR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IF(SUMPRODUCT(--(NOT(ISERR(SEARCH({"T","Ba"},'CDR Project Planner'!$C62))))),'CDR Project Planner'!B62,"")</f>
        <v/>
      </c>
      <c r="C49" s="33" t="str">
        <f>IF(SUMPRODUCT(--(NOT(ISERR(SEARCH({"T","Ba"},'CDR Project Planner'!$C62))))),'CDR Project Planner'!C62,"")</f>
        <v/>
      </c>
      <c r="D49" s="33" t="str">
        <f>IF(SUMPRODUCT(--(NOT(ISERR(SEARCH({"T","Ba"},'CDR Project Planner'!$C62))))),'CDR Project Planner'!D62,"")</f>
        <v/>
      </c>
      <c r="E49" s="33" t="str">
        <f>IF(SUMPRODUCT(--(NOT(ISERR(SEARCH({"T","Ba"},'CDR Project Planner'!$C62))))),'CDR Project Planner'!E62,"")</f>
        <v/>
      </c>
      <c r="F49" s="33" t="str">
        <f>IF(SUMPRODUCT(--(NOT(ISERR(SEARCH({"T","Ba"},'CDR Project Planner'!$C62))))),'CDR Project Planner'!F62,"")</f>
        <v/>
      </c>
      <c r="G49" s="33" t="str">
        <f>IF(SUMPRODUCT(--(NOT(ISERR(SEARCH({"T","Ba"},'CDR Project Planner'!$C62))))),'CDR Project Planner'!G62,"")</f>
        <v/>
      </c>
      <c r="H49" s="38" t="str">
        <f>IF(SUMPRODUCT(--(NOT(ISERR(SEARCH({"T","Ba"},'CDR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275" priority="2">
      <formula>PercentComplete</formula>
    </cfRule>
    <cfRule type="expression" dxfId="274" priority="3">
      <formula>PercentCompleteBeyond</formula>
    </cfRule>
    <cfRule type="expression" dxfId="273" priority="4">
      <formula>Actual</formula>
    </cfRule>
    <cfRule type="expression" dxfId="272" priority="5">
      <formula>ActualBeyond</formula>
    </cfRule>
    <cfRule type="expression" dxfId="271" priority="6">
      <formula>Plan</formula>
    </cfRule>
    <cfRule type="expression" dxfId="270" priority="7">
      <formula>I$4=period_selected</formula>
    </cfRule>
    <cfRule type="expression" dxfId="269" priority="8">
      <formula>MOD(COLUMN(),2)</formula>
    </cfRule>
    <cfRule type="expression" dxfId="268" priority="9">
      <formula>MOD(COLUMN(),2)=0</formula>
    </cfRule>
  </conditionalFormatting>
  <conditionalFormatting sqref="I4:BP4">
    <cfRule type="expression" dxfId="267" priority="10">
      <formula>I$4=period_selected</formula>
    </cfRule>
  </conditionalFormatting>
  <conditionalFormatting sqref="I5:BP6 I39:BP39 I21:BP26 I28:BP29 I42:BP42 I45:BP45 I48:BP48">
    <cfRule type="expression" dxfId="266" priority="11">
      <formula>PercentComplete</formula>
    </cfRule>
    <cfRule type="expression" dxfId="265" priority="12">
      <formula>PercentCompleteBeyond</formula>
    </cfRule>
    <cfRule type="expression" dxfId="264" priority="13">
      <formula>Actual</formula>
    </cfRule>
    <cfRule type="expression" dxfId="263" priority="14">
      <formula>ActualBeyond</formula>
    </cfRule>
    <cfRule type="expression" dxfId="262" priority="15">
      <formula>Plan</formula>
    </cfRule>
    <cfRule type="expression" dxfId="261" priority="16">
      <formula>I$4=period_selected</formula>
    </cfRule>
    <cfRule type="expression" dxfId="260" priority="17">
      <formula>MOD(COLUMN(),2)</formula>
    </cfRule>
    <cfRule type="expression" dxfId="259" priority="18">
      <formula>MOD(COLUMN(),2)=0</formula>
    </cfRule>
  </conditionalFormatting>
  <conditionalFormatting sqref="I38:BP38 I41:BP41 I44:BP44 I47:BP47">
    <cfRule type="expression" dxfId="258" priority="19">
      <formula>PercentComplete</formula>
    </cfRule>
    <cfRule type="expression" dxfId="257" priority="20">
      <formula>PercentCompleteBeyond</formula>
    </cfRule>
    <cfRule type="expression" dxfId="256" priority="21">
      <formula>Actual</formula>
    </cfRule>
    <cfRule type="expression" dxfId="255" priority="22">
      <formula>ActualBeyond</formula>
    </cfRule>
    <cfRule type="expression" dxfId="254" priority="23">
      <formula>Plan</formula>
    </cfRule>
    <cfRule type="expression" dxfId="253" priority="24">
      <formula>I$4=period_selected</formula>
    </cfRule>
    <cfRule type="expression" dxfId="252" priority="25">
      <formula>MOD(COLUMN(),2)</formula>
    </cfRule>
    <cfRule type="expression" dxfId="251" priority="26">
      <formula>MOD(COLUMN(),2)=0</formula>
    </cfRule>
  </conditionalFormatting>
  <conditionalFormatting sqref="I20:BP20">
    <cfRule type="expression" dxfId="250" priority="27">
      <formula>PercentComplete</formula>
    </cfRule>
    <cfRule type="expression" dxfId="249" priority="28">
      <formula>PercentCompleteBeyond</formula>
    </cfRule>
    <cfRule type="expression" dxfId="248" priority="29">
      <formula>Actual</formula>
    </cfRule>
    <cfRule type="expression" dxfId="247" priority="30">
      <formula>ActualBeyond</formula>
    </cfRule>
    <cfRule type="expression" dxfId="246" priority="31">
      <formula>Plan</formula>
    </cfRule>
    <cfRule type="expression" dxfId="245" priority="32">
      <formula>I$4=period_selected</formula>
    </cfRule>
    <cfRule type="expression" dxfId="244" priority="33">
      <formula>MOD(COLUMN(),2)</formula>
    </cfRule>
    <cfRule type="expression" dxfId="243" priority="34">
      <formula>MOD(COLUMN(),2)=0</formula>
    </cfRule>
  </conditionalFormatting>
  <conditionalFormatting sqref="I16:BP16 I18:BP19">
    <cfRule type="expression" dxfId="242" priority="35">
      <formula>PercentComplete</formula>
    </cfRule>
    <cfRule type="expression" dxfId="241" priority="36">
      <formula>PercentCompleteBeyond</formula>
    </cfRule>
    <cfRule type="expression" dxfId="240" priority="37">
      <formula>Actual</formula>
    </cfRule>
    <cfRule type="expression" dxfId="239" priority="38">
      <formula>ActualBeyond</formula>
    </cfRule>
    <cfRule type="expression" dxfId="238" priority="39">
      <formula>Plan</formula>
    </cfRule>
    <cfRule type="expression" dxfId="237" priority="40">
      <formula>I$4=period_selected</formula>
    </cfRule>
    <cfRule type="expression" dxfId="236" priority="41">
      <formula>MOD(COLUMN(),2)</formula>
    </cfRule>
    <cfRule type="expression" dxfId="235" priority="42">
      <formula>MOD(COLUMN(),2)=0</formula>
    </cfRule>
  </conditionalFormatting>
  <conditionalFormatting sqref="I17:BP17">
    <cfRule type="expression" dxfId="234" priority="43">
      <formula>PercentComplete</formula>
    </cfRule>
    <cfRule type="expression" dxfId="233" priority="44">
      <formula>PercentCompleteBeyond</formula>
    </cfRule>
    <cfRule type="expression" dxfId="232" priority="45">
      <formula>Actual</formula>
    </cfRule>
    <cfRule type="expression" dxfId="231" priority="46">
      <formula>ActualBeyond</formula>
    </cfRule>
    <cfRule type="expression" dxfId="230" priority="47">
      <formula>Plan</formula>
    </cfRule>
    <cfRule type="expression" dxfId="229" priority="48">
      <formula>I$4=period_selected</formula>
    </cfRule>
    <cfRule type="expression" dxfId="228" priority="49">
      <formula>MOD(COLUMN(),2)</formula>
    </cfRule>
    <cfRule type="expression" dxfId="227" priority="50">
      <formula>MOD(COLUMN(),2)=0</formula>
    </cfRule>
  </conditionalFormatting>
  <conditionalFormatting sqref="H53:H56">
    <cfRule type="cellIs" dxfId="22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2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4337" r:id="rId3" name="Overview_but">
          <controlPr defaultSize="0" autoLine="0" autoPict="0" r:id="rId4">
            <anchor moveWithCells="1">
              <from>
                <xdr:col>7</xdr:col>
                <xdr:colOff>57150</xdr:colOff>
                <xdr:row>0</xdr:row>
                <xdr:rowOff>104775</xdr:rowOff>
              </from>
              <to>
                <xdr:col>7</xdr:col>
                <xdr:colOff>1095375</xdr:colOff>
                <xdr:row>0</xdr:row>
                <xdr:rowOff>504825</xdr:rowOff>
              </to>
            </anchor>
          </controlPr>
        </control>
      </mc:Choice>
      <mc:Fallback>
        <control shapeId="14337" r:id="rId3" name="Overview_bu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8" activePane="bottomLeft" state="frozen"/>
      <selection activeCell="B47" sqref="B47"/>
      <selection pane="bottomLeft" activeCell="H1" sqref="H1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56</v>
      </c>
      <c r="C1" s="7"/>
      <c r="D1" s="8"/>
      <c r="E1" s="8"/>
      <c r="F1" s="8"/>
      <c r="G1" s="8"/>
      <c r="H1" s="8"/>
    </row>
    <row r="2" spans="1:68" ht="21" customHeight="1" x14ac:dyDescent="0.25">
      <c r="B2" s="287">
        <f ca="1">NOW()</f>
        <v>43209.749337037036</v>
      </c>
      <c r="C2" s="287"/>
      <c r="D2" s="287"/>
      <c r="E2" s="287"/>
      <c r="F2" s="287"/>
      <c r="G2" s="287"/>
      <c r="H2" s="9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IF(SUMPRODUCT(--(NOT(ISERR(SEARCH({"T","Br"},'CDR Project Planner'!$C5))))),'CDR Project Planner'!B5,"")</f>
        <v>PDR</v>
      </c>
      <c r="C5" s="44" t="str">
        <f>IF(SUMPRODUCT(--(NOT(ISERR(SEARCH({"T","Br"},'CDR Project Planner'!$C5))))),'CDR Project Planner'!C5,"")</f>
        <v>T</v>
      </c>
      <c r="D5" s="44">
        <f>IF(SUMPRODUCT(--(NOT(ISERR(SEARCH({"T","Br"},'CDR Project Planner'!$C5))))),'CDR Project Planner'!D5,"")</f>
        <v>22</v>
      </c>
      <c r="E5" s="44">
        <f>IF(SUMPRODUCT(--(NOT(ISERR(SEARCH({"T","Br"},'CDR Project Planner'!$C5))))),'CDR Project Planner'!E5,"")</f>
        <v>1</v>
      </c>
      <c r="F5" s="44">
        <f>IF(SUMPRODUCT(--(NOT(ISERR(SEARCH({"T","Br"},'CDR Project Planner'!$C5))))),'CDR Project Planner'!F5,"")</f>
        <v>22</v>
      </c>
      <c r="G5" s="44">
        <f>IF(SUMPRODUCT(--(NOT(ISERR(SEARCH({"T","Br"},'CDR Project Planner'!$C5))))),'CDR Project Planner'!G5,"")</f>
        <v>1</v>
      </c>
      <c r="H5" s="38">
        <f>IF(SUMPRODUCT(--(NOT(ISERR(SEARCH({"T","Br"},'CDR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IF(SUMPRODUCT(--(NOT(ISERR(SEARCH({"T","Br"},'CDR Project Planner'!$C6))))),'CDR Project Planner'!B6,"")</f>
        <v>System</v>
      </c>
      <c r="C6" s="33" t="str">
        <f>IF(SUMPRODUCT(--(NOT(ISERR(SEARCH({"T","Br"},'CDR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IF(SUMPRODUCT(--(NOT(ISERR(SEARCH({"T","Br"},'CDR Project Planner'!$C6))))),'CDR Project Planner'!H6,"")</f>
        <v>0</v>
      </c>
    </row>
    <row r="7" spans="1:68" s="4" customFormat="1" ht="15" outlineLevel="1" x14ac:dyDescent="0.25">
      <c r="A7" s="1"/>
      <c r="B7" s="42" t="str">
        <f>IF(SUMPRODUCT(--(NOT(ISERR(SEARCH({"T","Br"},'CDR Project Planner'!$C7))))),'CDR Project Planner'!B7,"")</f>
        <v/>
      </c>
      <c r="C7" s="33" t="str">
        <f>IF(SUMPRODUCT(--(NOT(ISERR(SEARCH({"T","Br"},'CDR Project Planner'!$C7))))),'CDR Project Planner'!C7,"")</f>
        <v/>
      </c>
      <c r="D7" s="33" t="str">
        <f>IF(SUMPRODUCT(--(NOT(ISERR(SEARCH({"T","Br"},'CDR Project Planner'!$C7))))),'CDR Project Planner'!D7,"")</f>
        <v/>
      </c>
      <c r="E7" s="33" t="str">
        <f>IF(SUMPRODUCT(--(NOT(ISERR(SEARCH({"T","Br"},'CDR Project Planner'!$C7))))),'CDR Project Planner'!E7,"")</f>
        <v/>
      </c>
      <c r="F7" s="33" t="str">
        <f>IF(SUMPRODUCT(--(NOT(ISERR(SEARCH({"T","Br"},'CDR Project Planner'!$C7))))),'CDR Project Planner'!F7,"")</f>
        <v/>
      </c>
      <c r="G7" s="33" t="str">
        <f>IF(SUMPRODUCT(--(NOT(ISERR(SEARCH({"T","Br"},'CDR Project Planner'!$C7))))),'CDR Project Planner'!G7,"")</f>
        <v/>
      </c>
      <c r="H7" s="38" t="str">
        <f>IF(SUMPRODUCT(--(NOT(ISERR(SEARCH({"T","Br"},'CDR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2" t="str">
        <f>IF(SUMPRODUCT(--(NOT(ISERR(SEARCH({"T","Br"},'CDR Project Planner'!$C8))))),'CDR Project Planner'!B8,"")</f>
        <v/>
      </c>
      <c r="C8" s="33" t="str">
        <f>IF(SUMPRODUCT(--(NOT(ISERR(SEARCH({"T","Br"},'CDR Project Planner'!$C8))))),'CDR Project Planner'!C8,"")</f>
        <v/>
      </c>
      <c r="D8" s="33" t="str">
        <f>IF(SUMPRODUCT(--(NOT(ISERR(SEARCH({"T","Br"},'CDR Project Planner'!$C8))))),'CDR Project Planner'!D8,"")</f>
        <v/>
      </c>
      <c r="E8" s="33" t="str">
        <f>IF(SUMPRODUCT(--(NOT(ISERR(SEARCH({"T","Br"},'CDR Project Planner'!$C8))))),'CDR Project Planner'!E8,"")</f>
        <v/>
      </c>
      <c r="F8" s="33" t="str">
        <f>IF(SUMPRODUCT(--(NOT(ISERR(SEARCH({"T","Br"},'CDR Project Planner'!$C8))))),'CDR Project Planner'!F8,"")</f>
        <v/>
      </c>
      <c r="G8" s="33" t="str">
        <f>IF(SUMPRODUCT(--(NOT(ISERR(SEARCH({"T","Br"},'CDR Project Planner'!$C8))))),'CDR Project Planner'!G8,"")</f>
        <v/>
      </c>
      <c r="H8" s="38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2" t="str">
        <f>IF(SUMPRODUCT(--(NOT(ISERR(SEARCH({"T","Br"},'CDR Project Planner'!$C9))))),'CDR Project Planner'!B9,"")</f>
        <v>Unit Tests - VHDL &amp; C - Ultrasonic Interrupts</v>
      </c>
      <c r="C9" s="33" t="str">
        <f>IF(SUMPRODUCT(--(NOT(ISERR(SEARCH({"T","Br"},'CDR Project Planner'!$C9))))),'CDR Project Planner'!C9,"")</f>
        <v>Br</v>
      </c>
      <c r="D9" s="33">
        <f>IF(SUMPRODUCT(--(NOT(ISERR(SEARCH({"T","Br"},'CDR Project Planner'!$C9))))),'CDR Project Planner'!D9,"")</f>
        <v>23</v>
      </c>
      <c r="E9" s="33">
        <f>IF(SUMPRODUCT(--(NOT(ISERR(SEARCH({"T","Br"},'CDR Project Planner'!$C9))))),'CDR Project Planner'!E9,"")</f>
        <v>2</v>
      </c>
      <c r="F9" s="33">
        <f>IF(SUMPRODUCT(--(NOT(ISERR(SEARCH({"T","Br"},'CDR Project Planner'!$C9))))),'CDR Project Planner'!F9,"")</f>
        <v>34</v>
      </c>
      <c r="G9" s="33">
        <f>IF(SUMPRODUCT(--(NOT(ISERR(SEARCH({"T","Br"},'CDR Project Planner'!$C9))))),'CDR Project Planner'!G9,"")</f>
        <v>5</v>
      </c>
      <c r="H9" s="38">
        <f>IF(SUMPRODUCT(--(NOT(ISERR(SEARCH({"T","Br"},'CDR Project Planner'!$C9))))),'CDR Project Planner'!H9,"")</f>
        <v>0.95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IF(SUMPRODUCT(--(NOT(ISERR(SEARCH({"T","Br"},'CDR Project Planner'!$C10))))),'CDR Project Planner'!B10,"")</f>
        <v/>
      </c>
      <c r="C10" s="33" t="str">
        <f>IF(SUMPRODUCT(--(NOT(ISERR(SEARCH({"T","Br"},'CDR Project Planner'!$C10))))),'CDR Project Planner'!C10,"")</f>
        <v/>
      </c>
      <c r="D10" s="33" t="str">
        <f>IF(SUMPRODUCT(--(NOT(ISERR(SEARCH({"T","Br"},'CDR Project Planner'!$C10))))),'CDR Project Planner'!D10,"")</f>
        <v/>
      </c>
      <c r="E10" s="33" t="str">
        <f>IF(SUMPRODUCT(--(NOT(ISERR(SEARCH({"T","Br"},'CDR Project Planner'!$C10))))),'CDR Project Planner'!E10,"")</f>
        <v/>
      </c>
      <c r="F10" s="33" t="str">
        <f>IF(SUMPRODUCT(--(NOT(ISERR(SEARCH({"T","Br"},'CDR Project Planner'!$C10))))),'CDR Project Planner'!F10,"")</f>
        <v/>
      </c>
      <c r="G10" s="33" t="str">
        <f>IF(SUMPRODUCT(--(NOT(ISERR(SEARCH({"T","Br"},'CDR Project Planner'!$C10))))),'CDR Project Planner'!G10,"")</f>
        <v/>
      </c>
      <c r="H10" s="38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IF(SUMPRODUCT(--(NOT(ISERR(SEARCH({"T","Br"},'CDR Project Planner'!#REF!))))),'CDR Project Planner'!#REF!,"")</f>
        <v/>
      </c>
      <c r="C11" s="33" t="str">
        <f>IF(SUMPRODUCT(--(NOT(ISERR(SEARCH({"T","Br"},'CDR Project Planner'!#REF!))))),'CDR Project Planner'!#REF!,"")</f>
        <v/>
      </c>
      <c r="D11" s="33" t="str">
        <f>IF(SUMPRODUCT(--(NOT(ISERR(SEARCH({"T","Br"},'CDR Project Planner'!#REF!))))),'CDR Project Planner'!#REF!,"")</f>
        <v/>
      </c>
      <c r="E11" s="33" t="str">
        <f>IF(SUMPRODUCT(--(NOT(ISERR(SEARCH({"T","Br"},'CDR Project Planner'!#REF!))))),'CDR Project Planner'!#REF!,"")</f>
        <v/>
      </c>
      <c r="F11" s="33" t="str">
        <f>IF(SUMPRODUCT(--(NOT(ISERR(SEARCH({"T","Br"},'CDR Project Planner'!#REF!))))),'CDR Project Planner'!#REF!,"")</f>
        <v/>
      </c>
      <c r="G11" s="33" t="str">
        <f>IF(SUMPRODUCT(--(NOT(ISERR(SEARCH({"T","Br"},'CDR Project Planner'!#REF!))))),'CDR Project Planner'!#REF!,"")</f>
        <v/>
      </c>
      <c r="H11" s="38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IF(SUMPRODUCT(--(NOT(ISERR(SEARCH({"T","Br"},'CDR Project Planner'!$C11))))),'CDR Project Planner'!B11,"")</f>
        <v/>
      </c>
      <c r="C12" s="33" t="str">
        <f>IF(SUMPRODUCT(--(NOT(ISERR(SEARCH({"T","Br"},'CDR Project Planner'!$C11))))),'CDR Project Planner'!C11,"")</f>
        <v/>
      </c>
      <c r="D12" s="33" t="str">
        <f>IF(SUMPRODUCT(--(NOT(ISERR(SEARCH({"T","Br"},'CDR Project Planner'!$C11))))),'CDR Project Planner'!D11,"")</f>
        <v/>
      </c>
      <c r="E12" s="33" t="str">
        <f>IF(SUMPRODUCT(--(NOT(ISERR(SEARCH({"T","Br"},'CDR Project Planner'!$C11))))),'CDR Project Planner'!E11,"")</f>
        <v/>
      </c>
      <c r="F12" s="33" t="str">
        <f>IF(SUMPRODUCT(--(NOT(ISERR(SEARCH({"T","Br"},'CDR Project Planner'!$C11))))),'CDR Project Planner'!F11,"")</f>
        <v/>
      </c>
      <c r="G12" s="33" t="str">
        <f>IF(SUMPRODUCT(--(NOT(ISERR(SEARCH({"T","Br"},'CDR Project Planner'!$C11))))),'CDR Project Planner'!G11,"")</f>
        <v/>
      </c>
      <c r="H12" s="38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IF(SUMPRODUCT(--(NOT(ISERR(SEARCH({"T","Br"},'CDR Project Planner'!#REF!))))),'CDR Project Planner'!#REF!,"")</f>
        <v/>
      </c>
      <c r="C13" s="33" t="str">
        <f>IF(SUMPRODUCT(--(NOT(ISERR(SEARCH({"T","Br"},'CDR Project Planner'!#REF!))))),'CDR Project Planner'!#REF!,"")</f>
        <v/>
      </c>
      <c r="D13" s="33" t="str">
        <f>IF(SUMPRODUCT(--(NOT(ISERR(SEARCH({"T","Br"},'CDR Project Planner'!#REF!))))),'CDR Project Planner'!#REF!,"")</f>
        <v/>
      </c>
      <c r="E13" s="33" t="str">
        <f>IF(SUMPRODUCT(--(NOT(ISERR(SEARCH({"T","Br"},'CDR Project Planner'!#REF!))))),'CDR Project Planner'!#REF!,"")</f>
        <v/>
      </c>
      <c r="F13" s="33" t="str">
        <f>IF(SUMPRODUCT(--(NOT(ISERR(SEARCH({"T","Br"},'CDR Project Planner'!#REF!))))),'CDR Project Planner'!#REF!,"")</f>
        <v/>
      </c>
      <c r="G13" s="33" t="str">
        <f>IF(SUMPRODUCT(--(NOT(ISERR(SEARCH({"T","Br"},'CDR Project Planner'!#REF!))))),'CDR Project Planner'!#REF!,"")</f>
        <v/>
      </c>
      <c r="H13" s="38" t="str">
        <f>IF(SUMPRODUCT(--(NOT(ISERR(SEARCH({"T","Br"},'CDR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IF(SUMPRODUCT(--(NOT(ISERR(SEARCH({"T","Br"},'CDR Project Planner'!#REF!))))),'CDR Project Planner'!#REF!,"")</f>
        <v/>
      </c>
      <c r="C14" s="33" t="str">
        <f>IF(SUMPRODUCT(--(NOT(ISERR(SEARCH({"T","Br"},'CDR Project Planner'!#REF!))))),'CDR Project Planner'!#REF!,"")</f>
        <v/>
      </c>
      <c r="D14" s="33" t="str">
        <f>IF(SUMPRODUCT(--(NOT(ISERR(SEARCH({"T","Br"},'CDR Project Planner'!#REF!))))),'CDR Project Planner'!#REF!,"")</f>
        <v/>
      </c>
      <c r="E14" s="33" t="str">
        <f>IF(SUMPRODUCT(--(NOT(ISERR(SEARCH({"T","Br"},'CDR Project Planner'!#REF!))))),'CDR Project Planner'!#REF!,"")</f>
        <v/>
      </c>
      <c r="F14" s="33" t="str">
        <f>IF(SUMPRODUCT(--(NOT(ISERR(SEARCH({"T","Br"},'CDR Project Planner'!#REF!))))),'CDR Project Planner'!#REF!,"")</f>
        <v/>
      </c>
      <c r="G14" s="33" t="str">
        <f>IF(SUMPRODUCT(--(NOT(ISERR(SEARCH({"T","Br"},'CDR Project Planner'!#REF!))))),'CDR Project Planner'!#REF!,"")</f>
        <v/>
      </c>
      <c r="H14" s="45" t="str">
        <f>IF(SUMPRODUCT(--(NOT(ISERR(SEARCH({"T","Br"},'CDR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0" t="str">
        <f>IF(SUMPRODUCT(--(NOT(ISERR(SEARCH({"T","Br"},'CDR Project Planner'!#REF!))))),'CDR Project Planner'!#REF!,"")</f>
        <v/>
      </c>
      <c r="C15" s="33" t="str">
        <f>IF(SUMPRODUCT(--(NOT(ISERR(SEARCH({"T","Br"},'CDR Project Planner'!#REF!))))),'CDR Project Planner'!#REF!,"")</f>
        <v/>
      </c>
      <c r="D15" s="33" t="str">
        <f>IF(SUMPRODUCT(--(NOT(ISERR(SEARCH({"T","Br"},'CDR Project Planner'!#REF!))))),'CDR Project Planner'!#REF!,"")</f>
        <v/>
      </c>
      <c r="E15" s="33" t="str">
        <f>IF(SUMPRODUCT(--(NOT(ISERR(SEARCH({"T","Br"},'CDR Project Planner'!#REF!))))),'CDR Project Planner'!#REF!,"")</f>
        <v/>
      </c>
      <c r="F15" s="33" t="str">
        <f>IF(SUMPRODUCT(--(NOT(ISERR(SEARCH({"T","Br"},'CDR Project Planner'!#REF!))))),'CDR Project Planner'!#REF!,"")</f>
        <v/>
      </c>
      <c r="G15" s="33" t="str">
        <f>IF(SUMPRODUCT(--(NOT(ISERR(SEARCH({"T","Br"},'CDR Project Planner'!#REF!))))),'CDR Project Planner'!#REF!,"")</f>
        <v/>
      </c>
      <c r="H15" s="45" t="str">
        <f>IF(SUMPRODUCT(--(NOT(ISERR(SEARCH({"T","Br"},'CDR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46" t="str">
        <f>IF(SUMPRODUCT(--(NOT(ISERR(SEARCH({"T","Br"},'CDR Project Planner'!$C16))))),'CDR Project Planner'!B16,"")</f>
        <v>VHDL</v>
      </c>
      <c r="C16" s="33" t="str">
        <f>IF(SUMPRODUCT(--(NOT(ISERR(SEARCH({"T","Br"},'CDR Project Planner'!$C16))))),'CDR Project Planner'!C16,"")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IF(SUMPRODUCT(--(NOT(ISERR(SEARCH({"T","Br"},'CDR Project Planner'!$C17))))),'CDR Project Planner'!B17,"")</f>
        <v>Create AXI wrapper</v>
      </c>
      <c r="C17" s="33" t="str">
        <f>IF(SUMPRODUCT(--(NOT(ISERR(SEARCH({"T","Br"},'CDR Project Planner'!$C17))))),'CDR Project Planner'!C17,"")</f>
        <v>Br</v>
      </c>
      <c r="D17" s="33">
        <f>IF(SUMPRODUCT(--(NOT(ISERR(SEARCH({"T","Br"},'CDR Project Planner'!$C17))))),'CDR Project Planner'!D17,"")</f>
        <v>29</v>
      </c>
      <c r="E17" s="33">
        <f>IF(SUMPRODUCT(--(NOT(ISERR(SEARCH({"T","Br"},'CDR Project Planner'!$C17))))),'CDR Project Planner'!E17,"")</f>
        <v>14</v>
      </c>
      <c r="F17" s="33">
        <f>IF(SUMPRODUCT(--(NOT(ISERR(SEARCH({"T","Br"},'CDR Project Planner'!$C17))))),'CDR Project Planner'!F17,"")</f>
        <v>34</v>
      </c>
      <c r="G17" s="33">
        <f>IF(SUMPRODUCT(--(NOT(ISERR(SEARCH({"T","Br"},'CDR Project Planner'!$C17))))),'CDR Project Planner'!G17,"")</f>
        <v>1</v>
      </c>
      <c r="H17" s="45">
        <f>IF(SUMPRODUCT(--(NOT(ISERR(SEARCH({"T","Br"},'CDR Project Planner'!$C17))))),'CDR Project Planner'!H16,"")</f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IF(SUMPRODUCT(--(NOT(ISERR(SEARCH({"T","Br"},'CDR Project Planner'!$C18))))),'CDR Project Planner'!B18,"")</f>
        <v/>
      </c>
      <c r="C18" s="33" t="str">
        <f>IF(SUMPRODUCT(--(NOT(ISERR(SEARCH({"T","Br"},'CDR Project Planner'!$C18))))),'CDR Project Planner'!C18,"")</f>
        <v/>
      </c>
      <c r="D18" s="33" t="str">
        <f>IF(SUMPRODUCT(--(NOT(ISERR(SEARCH({"T","Br"},'CDR Project Planner'!$C18))))),'CDR Project Planner'!D18,"")</f>
        <v/>
      </c>
      <c r="E18" s="33" t="str">
        <f>IF(SUMPRODUCT(--(NOT(ISERR(SEARCH({"T","Br"},'CDR Project Planner'!$C18))))),'CDR Project Planner'!E18,"")</f>
        <v/>
      </c>
      <c r="F18" s="33" t="str">
        <f>IF(SUMPRODUCT(--(NOT(ISERR(SEARCH({"T","Br"},'CDR Project Planner'!$C18))))),'CDR Project Planner'!F18,"")</f>
        <v/>
      </c>
      <c r="G18" s="33" t="str">
        <f>IF(SUMPRODUCT(--(NOT(ISERR(SEARCH({"T","Br"},'CDR Project Planner'!$C18))))),'CDR Project Planner'!G18,"")</f>
        <v/>
      </c>
      <c r="H18" s="45" t="str">
        <f>IF(SUMPRODUCT(--(NOT(ISERR(SEARCH({"T","Br"},'CDR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IF(SUMPRODUCT(--(NOT(ISERR(SEARCH({"T","Br"},'CDR Project Planner'!#REF!))))),'CDR Project Planner'!#REF!,"")</f>
        <v/>
      </c>
      <c r="C19" s="33" t="str">
        <f>IF(SUMPRODUCT(--(NOT(ISERR(SEARCH({"T","Br"},'CDR Project Planner'!#REF!))))),'CDR Project Planner'!#REF!,"")</f>
        <v/>
      </c>
      <c r="D19" s="33" t="str">
        <f>IF(SUMPRODUCT(--(NOT(ISERR(SEARCH({"T","Br"},'CDR Project Planner'!#REF!))))),'CDR Project Planner'!#REF!,"")</f>
        <v/>
      </c>
      <c r="E19" s="33" t="str">
        <f>IF(SUMPRODUCT(--(NOT(ISERR(SEARCH({"T","Br"},'CDR Project Planner'!#REF!))))),'CDR Project Planner'!#REF!,"")</f>
        <v/>
      </c>
      <c r="F19" s="33" t="str">
        <f>IF(SUMPRODUCT(--(NOT(ISERR(SEARCH({"T","Br"},'CDR Project Planner'!#REF!))))),'CDR Project Planner'!#REF!,"")</f>
        <v/>
      </c>
      <c r="G19" s="33" t="str">
        <f>IF(SUMPRODUCT(--(NOT(ISERR(SEARCH({"T","Br"},'CDR Project Planner'!#REF!))))),'CDR Project Planner'!#REF!,"")</f>
        <v/>
      </c>
      <c r="H19" s="45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IF(SUMPRODUCT(--(NOT(ISERR(SEARCH({"T","Br"},'CDR Project Planner'!#REF!))))),'CDR Project Planner'!#REF!,"")</f>
        <v/>
      </c>
      <c r="C20" s="33" t="str">
        <f>IF(SUMPRODUCT(--(NOT(ISERR(SEARCH({"T","Br"},'CDR Project Planner'!#REF!))))),'CDR Project Planner'!#REF!,"")</f>
        <v/>
      </c>
      <c r="D20" s="33" t="str">
        <f>IF(SUMPRODUCT(--(NOT(ISERR(SEARCH({"T","Br"},'CDR Project Planner'!#REF!))))),'CDR Project Planner'!#REF!,"")</f>
        <v/>
      </c>
      <c r="E20" s="33" t="str">
        <f>IF(SUMPRODUCT(--(NOT(ISERR(SEARCH({"T","Br"},'CDR Project Planner'!#REF!))))),'CDR Project Planner'!#REF!,"")</f>
        <v/>
      </c>
      <c r="F20" s="33" t="str">
        <f>IF(SUMPRODUCT(--(NOT(ISERR(SEARCH({"T","Br"},'CDR Project Planner'!#REF!))))),'CDR Project Planner'!#REF!,"")</f>
        <v/>
      </c>
      <c r="G20" s="33" t="str">
        <f>IF(SUMPRODUCT(--(NOT(ISERR(SEARCH({"T","Br"},'CDR Project Planner'!#REF!))))),'CDR Project Planner'!#REF!,"")</f>
        <v/>
      </c>
      <c r="H20" s="45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40" t="str">
        <f>IF(SUMPRODUCT(--(NOT(ISERR(SEARCH({"T","Br"},'CDR Project Planner'!$C21))))),'CDR Project Planner'!B21,"")</f>
        <v/>
      </c>
      <c r="C21" s="33" t="str">
        <f>IF(SUMPRODUCT(--(NOT(ISERR(SEARCH({"T","Br"},'CDR Project Planner'!$C21))))),'CDR Project Planner'!C21,"")</f>
        <v/>
      </c>
      <c r="D21" s="33" t="str">
        <f>IF(SUMPRODUCT(--(NOT(ISERR(SEARCH({"T","Br"},'CDR Project Planner'!$C21))))),'CDR Project Planner'!D21,"")</f>
        <v/>
      </c>
      <c r="E21" s="33" t="str">
        <f>IF(SUMPRODUCT(--(NOT(ISERR(SEARCH({"T","Br"},'CDR Project Planner'!$C21))))),'CDR Project Planner'!E21,"")</f>
        <v/>
      </c>
      <c r="F21" s="33" t="str">
        <f>IF(SUMPRODUCT(--(NOT(ISERR(SEARCH({"T","Br"},'CDR Project Planner'!$C21))))),'CDR Project Planner'!F21,"")</f>
        <v/>
      </c>
      <c r="G21" s="33" t="str">
        <f>IF(SUMPRODUCT(--(NOT(ISERR(SEARCH({"T","Br"},'CDR Project Planner'!$C21))))),'CDR Project Planner'!G21,"")</f>
        <v/>
      </c>
      <c r="H21" s="45" t="str">
        <f>IF(SUMPRODUCT(--(NOT(ISERR(SEARCH({"T","Br"},'CDR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0" t="str">
        <f>IF(SUMPRODUCT(--(NOT(ISERR(SEARCH({"T","Br"},'CDR Project Planner'!$C22))))),'CDR Project Planner'!B22,"")</f>
        <v/>
      </c>
      <c r="C22" s="33" t="str">
        <f>IF(SUMPRODUCT(--(NOT(ISERR(SEARCH({"T","Br"},'CDR Project Planner'!$C22))))),'CDR Project Planner'!C22,"")</f>
        <v/>
      </c>
      <c r="D22" s="33" t="str">
        <f>IF(SUMPRODUCT(--(NOT(ISERR(SEARCH({"T","Br"},'CDR Project Planner'!$C22))))),'CDR Project Planner'!D22,"")</f>
        <v/>
      </c>
      <c r="E22" s="33" t="str">
        <f>IF(SUMPRODUCT(--(NOT(ISERR(SEARCH({"T","Br"},'CDR Project Planner'!$C22))))),'CDR Project Planner'!E22,"")</f>
        <v/>
      </c>
      <c r="F22" s="33" t="str">
        <f>IF(SUMPRODUCT(--(NOT(ISERR(SEARCH({"T","Br"},'CDR Project Planner'!$C22))))),'CDR Project Planner'!F22,"")</f>
        <v/>
      </c>
      <c r="G22" s="33" t="str">
        <f>IF(SUMPRODUCT(--(NOT(ISERR(SEARCH({"T","Br"},'CDR Project Planner'!$C22))))),'CDR Project Planner'!G22,"")</f>
        <v/>
      </c>
      <c r="H22" s="45" t="str">
        <f>IF(SUMPRODUCT(--(NOT(ISERR(SEARCH({"T","Br"},'CDR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0" t="str">
        <f>IF(SUMPRODUCT(--(NOT(ISERR(SEARCH({"T","Br"},'CDR Project Planner'!$C23))))),'CDR Project Planner'!B23,"")</f>
        <v/>
      </c>
      <c r="C23" s="33" t="str">
        <f>IF(SUMPRODUCT(--(NOT(ISERR(SEARCH({"T","Br"},'CDR Project Planner'!$C23))))),'CDR Project Planner'!C23,"")</f>
        <v/>
      </c>
      <c r="D23" s="33" t="str">
        <f>IF(SUMPRODUCT(--(NOT(ISERR(SEARCH({"T","Br"},'CDR Project Planner'!$C23))))),'CDR Project Planner'!D23,"")</f>
        <v/>
      </c>
      <c r="E23" s="33" t="str">
        <f>IF(SUMPRODUCT(--(NOT(ISERR(SEARCH({"T","Br"},'CDR Project Planner'!$C23))))),'CDR Project Planner'!E23,"")</f>
        <v/>
      </c>
      <c r="F23" s="33" t="str">
        <f>IF(SUMPRODUCT(--(NOT(ISERR(SEARCH({"T","Br"},'CDR Project Planner'!$C23))))),'CDR Project Planner'!F23,"")</f>
        <v/>
      </c>
      <c r="G23" s="33" t="str">
        <f>IF(SUMPRODUCT(--(NOT(ISERR(SEARCH({"T","Br"},'CDR Project Planner'!$C23))))),'CDR Project Planner'!G23,"")</f>
        <v/>
      </c>
      <c r="H23" s="45" t="str">
        <f>IF(SUMPRODUCT(--(NOT(ISERR(SEARCH({"T","Br"},'CDR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0" t="str">
        <f>IF(SUMPRODUCT(--(NOT(ISERR(SEARCH({"T","Br"},'CDR Project Planner'!$C25))))),'CDR Project Planner'!B25,"")</f>
        <v/>
      </c>
      <c r="C24" s="33" t="str">
        <f>IF(SUMPRODUCT(--(NOT(ISERR(SEARCH({"T","Br"},'CDR Project Planner'!$C25))))),'CDR Project Planner'!C25,"")</f>
        <v/>
      </c>
      <c r="D24" s="33" t="str">
        <f>IF(SUMPRODUCT(--(NOT(ISERR(SEARCH({"T","Br"},'CDR Project Planner'!$C25))))),'CDR Project Planner'!D25,"")</f>
        <v/>
      </c>
      <c r="E24" s="33" t="str">
        <f>IF(SUMPRODUCT(--(NOT(ISERR(SEARCH({"T","Br"},'CDR Project Planner'!$C25))))),'CDR Project Planner'!E25,"")</f>
        <v/>
      </c>
      <c r="F24" s="33" t="str">
        <f>IF(SUMPRODUCT(--(NOT(ISERR(SEARCH({"T","Br"},'CDR Project Planner'!$C25))))),'CDR Project Planner'!F25,"")</f>
        <v/>
      </c>
      <c r="G24" s="33" t="str">
        <f>IF(SUMPRODUCT(--(NOT(ISERR(SEARCH({"T","Br"},'CDR Project Planner'!$C25))))),'CDR Project Planner'!G25,"")</f>
        <v/>
      </c>
      <c r="H24" s="45" t="str">
        <f>IF(SUMPRODUCT(--(NOT(ISERR(SEARCH({"T","Br"},'CDR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0" t="str">
        <f>IF(SUMPRODUCT(--(NOT(ISERR(SEARCH({"T","Br"},'CDR Project Planner'!#REF!))))),'CDR Project Planner'!#REF!,"")</f>
        <v/>
      </c>
      <c r="C25" s="33" t="str">
        <f>IF(SUMPRODUCT(--(NOT(ISERR(SEARCH({"T","Br"},'CDR Project Planner'!#REF!))))),'CDR Project Planner'!#REF!,"")</f>
        <v/>
      </c>
      <c r="D25" s="33" t="str">
        <f>IF(SUMPRODUCT(--(NOT(ISERR(SEARCH({"T","Br"},'CDR Project Planner'!#REF!))))),'CDR Project Planner'!#REF!,"")</f>
        <v/>
      </c>
      <c r="E25" s="33" t="str">
        <f>IF(SUMPRODUCT(--(NOT(ISERR(SEARCH({"T","Br"},'CDR Project Planner'!#REF!))))),'CDR Project Planner'!#REF!,"")</f>
        <v/>
      </c>
      <c r="F25" s="33" t="str">
        <f>IF(SUMPRODUCT(--(NOT(ISERR(SEARCH({"T","Br"},'CDR Project Planner'!#REF!))))),'CDR Project Planner'!#REF!,"")</f>
        <v/>
      </c>
      <c r="G25" s="33" t="str">
        <f>IF(SUMPRODUCT(--(NOT(ISERR(SEARCH({"T","Br"},'CDR Project Planner'!#REF!))))),'CDR Project Planner'!#REF!,"")</f>
        <v/>
      </c>
      <c r="H25" s="45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40" t="str">
        <f>IF(SUMPRODUCT(--(NOT(ISERR(SEARCH({"T","Br"},'CDR Project Planner'!#REF!))))),'CDR Project Planner'!#REF!,"")</f>
        <v/>
      </c>
      <c r="C26" s="33" t="str">
        <f>IF(SUMPRODUCT(--(NOT(ISERR(SEARCH({"T","Br"},'CDR Project Planner'!#REF!))))),'CDR Project Planner'!#REF!,"")</f>
        <v/>
      </c>
      <c r="D26" s="33" t="str">
        <f>IF(SUMPRODUCT(--(NOT(ISERR(SEARCH({"T","Br"},'CDR Project Planner'!#REF!))))),'CDR Project Planner'!#REF!,"")</f>
        <v/>
      </c>
      <c r="E26" s="33" t="str">
        <f>IF(SUMPRODUCT(--(NOT(ISERR(SEARCH({"T","Br"},'CDR Project Planner'!#REF!))))),'CDR Project Planner'!#REF!,"")</f>
        <v/>
      </c>
      <c r="F26" s="33" t="str">
        <f>IF(SUMPRODUCT(--(NOT(ISERR(SEARCH({"T","Br"},'CDR Project Planner'!#REF!))))),'CDR Project Planner'!#REF!,"")</f>
        <v/>
      </c>
      <c r="G26" s="33" t="str">
        <f>IF(SUMPRODUCT(--(NOT(ISERR(SEARCH({"T","Br"},'CDR Project Planner'!#REF!))))),'CDR Project Planner'!#REF!,"")</f>
        <v/>
      </c>
      <c r="H26" s="45" t="str">
        <f>IF(SUMPRODUCT(--(NOT(ISERR(SEARCH({"T","Br"},'CDR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9" t="str">
        <f>IF(SUMPRODUCT(--(NOT(ISERR(SEARCH({"T","Br"},'CDR Project Planner'!$C34))))),'CDR Project Planner'!B34,"")</f>
        <v/>
      </c>
      <c r="C27" s="33" t="str">
        <f>IF(SUMPRODUCT(--(NOT(ISERR(SEARCH({"T","Br"},'CDR Project Planner'!$C34))))),'CDR Project Planner'!C34,"")</f>
        <v/>
      </c>
      <c r="D27" s="33"/>
      <c r="E27" s="33"/>
      <c r="F27" s="33"/>
      <c r="G27" s="33"/>
      <c r="H27" s="38" t="str">
        <f>IF(SUMPRODUCT(--(NOT(ISERR(SEARCH({"T","Br"},'CDR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0" t="str">
        <f>IF(SUMPRODUCT(--(NOT(ISERR(SEARCH({"T","Br"},'CDR Project Planner'!#REF!))))),'CDR Project Planner'!#REF!,"")</f>
        <v/>
      </c>
      <c r="C28" s="33" t="str">
        <f>IF(SUMPRODUCT(--(NOT(ISERR(SEARCH({"T","Br"},'CDR Project Planner'!#REF!))))),'CDR Project Planner'!#REF!,"")</f>
        <v/>
      </c>
      <c r="D28" s="33" t="str">
        <f>IF(SUMPRODUCT(--(NOT(ISERR(SEARCH({"T","Br"},'CDR Project Planner'!#REF!))))),'CDR Project Planner'!#REF!,"")</f>
        <v/>
      </c>
      <c r="E28" s="33" t="str">
        <f>IF(SUMPRODUCT(--(NOT(ISERR(SEARCH({"T","Br"},'CDR Project Planner'!#REF!))))),'CDR Project Planner'!#REF!,"")</f>
        <v/>
      </c>
      <c r="F28" s="33" t="str">
        <f>IF(SUMPRODUCT(--(NOT(ISERR(SEARCH({"T","Br"},'CDR Project Planner'!#REF!))))),'CDR Project Planner'!#REF!,"")</f>
        <v/>
      </c>
      <c r="G28" s="33" t="str">
        <f>IF(SUMPRODUCT(--(NOT(ISERR(SEARCH({"T","Br"},'CDR Project Planner'!#REF!))))),'CDR Project Planner'!#REF!,"")</f>
        <v/>
      </c>
      <c r="H28" s="38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0" t="str">
        <f>IF(SUMPRODUCT(--(NOT(ISERR(SEARCH({"T","Br"},'CDR Project Planner'!$C35))))),'CDR Project Planner'!B35,"")</f>
        <v>Write code for Ultrasonic Sensors</v>
      </c>
      <c r="C29" s="33" t="str">
        <f>IF(SUMPRODUCT(--(NOT(ISERR(SEARCH({"T","Br"},'CDR Project Planner'!$C35))))),'CDR Project Planner'!C35,"")</f>
        <v>Br</v>
      </c>
      <c r="D29" s="33">
        <f>IF(SUMPRODUCT(--(NOT(ISERR(SEARCH({"T","Br"},'CDR Project Planner'!$C35))))),'CDR Project Planner'!D35,"")</f>
        <v>41</v>
      </c>
      <c r="E29" s="33">
        <f>IF(SUMPRODUCT(--(NOT(ISERR(SEARCH({"T","Br"},'CDR Project Planner'!$C35))))),'CDR Project Planner'!E35,"")</f>
        <v>7</v>
      </c>
      <c r="F29" s="33">
        <f>IF(SUMPRODUCT(--(NOT(ISERR(SEARCH({"T","Br"},'CDR Project Planner'!$C35))))),'CDR Project Planner'!F35,"")</f>
        <v>0</v>
      </c>
      <c r="G29" s="33">
        <f>IF(SUMPRODUCT(--(NOT(ISERR(SEARCH({"T","Br"},'CDR Project Planner'!$C35))))),'CDR Project Planner'!G35,"")</f>
        <v>0</v>
      </c>
      <c r="H29" s="38">
        <f>IF(SUMPRODUCT(--(NOT(ISERR(SEARCH({"T","Br"},'CDR Project Planner'!$C35))))),'CDR Project Planner'!H34,"")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IF(SUMPRODUCT(--(NOT(ISERR(SEARCH({"T","Br"},'CDR Project Planner'!$C40))))),'CDR Project Planner'!B40,"")</f>
        <v>Project Management</v>
      </c>
      <c r="C30" s="33" t="str">
        <f>IF(SUMPRODUCT(--(NOT(ISERR(SEARCH({"T","Br"},'CDR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IF(SUMPRODUCT(--(NOT(ISERR(SEARCH({"T","Br"},'CDR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IF(SUMPRODUCT(--(NOT(ISERR(SEARCH({"T","Br"},'CDR Project Planner'!$C41))))),'CDR Project Planner'!B41,"")</f>
        <v/>
      </c>
      <c r="C31" s="33" t="str">
        <f>IF(SUMPRODUCT(--(NOT(ISERR(SEARCH({"T","Br"},'CDR Project Planner'!$C41))))),'CDR Project Planner'!C41,"")</f>
        <v/>
      </c>
      <c r="D31" s="33" t="str">
        <f>IF(SUMPRODUCT(--(NOT(ISERR(SEARCH({"T","Br"},'CDR Project Planner'!$C41))))),'CDR Project Planner'!D41,"")</f>
        <v/>
      </c>
      <c r="E31" s="33" t="str">
        <f>IF(SUMPRODUCT(--(NOT(ISERR(SEARCH({"T","Br"},'CDR Project Planner'!$C41))))),'CDR Project Planner'!E41,"")</f>
        <v/>
      </c>
      <c r="F31" s="33" t="str">
        <f>IF(SUMPRODUCT(--(NOT(ISERR(SEARCH({"T","Br"},'CDR Project Planner'!$C41))))),'CDR Project Planner'!F41,"")</f>
        <v/>
      </c>
      <c r="G31" s="33" t="str">
        <f>IF(SUMPRODUCT(--(NOT(ISERR(SEARCH({"T","Br"},'CDR Project Planner'!$C41))))),'CDR Project Planner'!G41,"")</f>
        <v/>
      </c>
      <c r="H31" s="38" t="str">
        <f>IF(SUMPRODUCT(--(NOT(ISERR(SEARCH({"T","Br"},'CDR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IF(SUMPRODUCT(--(NOT(ISERR(SEARCH({"T","Br"},'CDR Project Planner'!$C42))))),'CDR Project Planner'!B42,"")</f>
        <v/>
      </c>
      <c r="C32" s="33" t="str">
        <f>IF(SUMPRODUCT(--(NOT(ISERR(SEARCH({"T","Br"},'CDR Project Planner'!$C42))))),'CDR Project Planner'!C42,"")</f>
        <v/>
      </c>
      <c r="D32" s="33" t="str">
        <f>IF(SUMPRODUCT(--(NOT(ISERR(SEARCH({"T","Br"},'CDR Project Planner'!$C42))))),'CDR Project Planner'!D42,"")</f>
        <v/>
      </c>
      <c r="E32" s="33" t="str">
        <f>IF(SUMPRODUCT(--(NOT(ISERR(SEARCH({"T","Br"},'CDR Project Planner'!$C42))))),'CDR Project Planner'!E42,"")</f>
        <v/>
      </c>
      <c r="F32" s="33" t="str">
        <f>IF(SUMPRODUCT(--(NOT(ISERR(SEARCH({"T","Br"},'CDR Project Planner'!$C42))))),'CDR Project Planner'!F42,"")</f>
        <v/>
      </c>
      <c r="G32" s="33" t="str">
        <f>IF(SUMPRODUCT(--(NOT(ISERR(SEARCH({"T","Br"},'CDR Project Planner'!$C42))))),'CDR Project Planner'!G42,"")</f>
        <v/>
      </c>
      <c r="H32" s="38" t="str">
        <f>IF(SUMPRODUCT(--(NOT(ISERR(SEARCH({"T","Br"},'CDR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IF(SUMPRODUCT(--(NOT(ISERR(SEARCH({"T","Br"},'CDR Project Planner'!$C45))))),'CDR Project Planner'!B45,"")</f>
        <v/>
      </c>
      <c r="C33" s="33" t="str">
        <f>IF(SUMPRODUCT(--(NOT(ISERR(SEARCH({"T","Br"},'CDR Project Planner'!$C45))))),'CDR Project Planner'!C45,"")</f>
        <v/>
      </c>
      <c r="D33" s="33" t="str">
        <f>IF(SUMPRODUCT(--(NOT(ISERR(SEARCH({"T","Br"},'CDR Project Planner'!$C45))))),'CDR Project Planner'!D45,"")</f>
        <v/>
      </c>
      <c r="E33" s="33" t="str">
        <f>IF(SUMPRODUCT(--(NOT(ISERR(SEARCH({"T","Br"},'CDR Project Planner'!$C45))))),'CDR Project Planner'!E45,"")</f>
        <v/>
      </c>
      <c r="F33" s="33" t="str">
        <f>IF(SUMPRODUCT(--(NOT(ISERR(SEARCH({"T","Br"},'CDR Project Planner'!$C45))))),'CDR Project Planner'!F45,"")</f>
        <v/>
      </c>
      <c r="G33" s="33" t="str">
        <f>IF(SUMPRODUCT(--(NOT(ISERR(SEARCH({"T","Br"},'CDR Project Planner'!$C45))))),'CDR Project Planner'!G45,"")</f>
        <v/>
      </c>
      <c r="H33" s="38" t="str">
        <f>IF(SUMPRODUCT(--(NOT(ISERR(SEARCH({"T","Br"},'CDR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IF(SUMPRODUCT(--(NOT(ISERR(SEARCH({"T","Br"},'CDR Project Planner'!$C46))))),'CDR Project Planner'!B46,"")</f>
        <v/>
      </c>
      <c r="C34" s="33" t="str">
        <f>IF(SUMPRODUCT(--(NOT(ISERR(SEARCH({"T","Br"},'CDR Project Planner'!$C46))))),'CDR Project Planner'!C46,"")</f>
        <v/>
      </c>
      <c r="D34" s="33" t="str">
        <f>IF(SUMPRODUCT(--(NOT(ISERR(SEARCH({"T","Br"},'CDR Project Planner'!$C46))))),'CDR Project Planner'!D46,"")</f>
        <v/>
      </c>
      <c r="E34" s="33" t="str">
        <f>IF(SUMPRODUCT(--(NOT(ISERR(SEARCH({"T","Br"},'CDR Project Planner'!$C46))))),'CDR Project Planner'!E46,"")</f>
        <v/>
      </c>
      <c r="F34" s="33" t="str">
        <f>IF(SUMPRODUCT(--(NOT(ISERR(SEARCH({"T","Br"},'CDR Project Planner'!$C46))))),'CDR Project Planner'!F46,"")</f>
        <v/>
      </c>
      <c r="G34" s="33" t="str">
        <f>IF(SUMPRODUCT(--(NOT(ISERR(SEARCH({"T","Br"},'CDR Project Planner'!$C46))))),'CDR Project Planner'!G46,"")</f>
        <v/>
      </c>
      <c r="H34" s="38" t="str">
        <f>IF(SUMPRODUCT(--(NOT(ISERR(SEARCH({"T","Br"},'CDR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IF(SUMPRODUCT(--(NOT(ISERR(SEARCH({"T","Br"},'CDR Project Planner'!$C48))))),'CDR Project Planner'!B48,"")</f>
        <v>CDR PowerPoint</v>
      </c>
      <c r="C35" s="33" t="str">
        <f>IF(SUMPRODUCT(--(NOT(ISERR(SEARCH({"T","Br"},'CDR Project Planner'!$C48))))),'CDR Project Planner'!C48,"")</f>
        <v>T</v>
      </c>
      <c r="D35" s="33">
        <f>IF(SUMPRODUCT(--(NOT(ISERR(SEARCH({"T","Br"},'CDR Project Planner'!$C48))))),'CDR Project Planner'!D48,"")</f>
        <v>55</v>
      </c>
      <c r="E35" s="33">
        <f>IF(SUMPRODUCT(--(NOT(ISERR(SEARCH({"T","Br"},'CDR Project Planner'!$C48))))),'CDR Project Planner'!E48,"")</f>
        <v>10</v>
      </c>
      <c r="F35" s="33">
        <f>IF(SUMPRODUCT(--(NOT(ISERR(SEARCH({"T","Br"},'CDR Project Planner'!$C48))))),'CDR Project Planner'!F48,"")</f>
        <v>0</v>
      </c>
      <c r="G35" s="33">
        <f>IF(SUMPRODUCT(--(NOT(ISERR(SEARCH({"T","Br"},'CDR Project Planner'!$C48))))),'CDR Project Planner'!G48,"")</f>
        <v>0</v>
      </c>
      <c r="H35" s="38">
        <f>IF(SUMPRODUCT(--(NOT(ISERR(SEARCH({"T","Br"},'CDR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IF(SUMPRODUCT(--(NOT(ISERR(SEARCH({"T","Br"},'CDR Project Planner'!$C49))))),'CDR Project Planner'!B49,"")</f>
        <v>CDR</v>
      </c>
      <c r="C36" s="37" t="str">
        <f>IF(SUMPRODUCT(--(NOT(ISERR(SEARCH({"T","Br"},'CDR Project Planner'!$C49))))),'CDR Project Planner'!C49,"")</f>
        <v>T</v>
      </c>
      <c r="D36" s="37">
        <f>IF(SUMPRODUCT(--(NOT(ISERR(SEARCH({"T","Br"},'CDR Project Planner'!$C49))))),'CDR Project Planner'!D49,"")</f>
        <v>69</v>
      </c>
      <c r="E36" s="37">
        <f>IF(SUMPRODUCT(--(NOT(ISERR(SEARCH({"T","Br"},'CDR Project Planner'!$C49))))),'CDR Project Planner'!E49,"")</f>
        <v>1</v>
      </c>
      <c r="F36" s="37">
        <f>IF(SUMPRODUCT(--(NOT(ISERR(SEARCH({"T","Br"},'CDR Project Planner'!$C49))))),'CDR Project Planner'!F49,"")</f>
        <v>55</v>
      </c>
      <c r="G36" s="37">
        <f>IF(SUMPRODUCT(--(NOT(ISERR(SEARCH({"T","Br"},'CDR Project Planner'!$C49))))),'CDR Project Planner'!G49,"")</f>
        <v>1</v>
      </c>
      <c r="H36" s="38">
        <f>IF(SUMPRODUCT(--(NOT(ISERR(SEARCH({"T","Br"},'CDR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2" t="str">
        <f>IF(SUMPRODUCT(--(NOT(ISERR(SEARCH({"T","Br"},'CDR Project Planner'!$C50))))),'CDR Project Planner'!B50,"")</f>
        <v/>
      </c>
      <c r="C37" s="33" t="str">
        <f>IF(SUMPRODUCT(--(NOT(ISERR(SEARCH({"T","Br"},'CDR Project Planner'!$C50))))),'CDR Project Planner'!C50,"")</f>
        <v/>
      </c>
      <c r="D37" s="33" t="str">
        <f>IF(SUMPRODUCT(--(NOT(ISERR(SEARCH({"T","Br"},'CDR Project Planner'!$C50))))),'CDR Project Planner'!D50,"")</f>
        <v/>
      </c>
      <c r="E37" s="33" t="str">
        <f>IF(SUMPRODUCT(--(NOT(ISERR(SEARCH({"T","Br"},'CDR Project Planner'!$C50))))),'CDR Project Planner'!E50,"")</f>
        <v/>
      </c>
      <c r="F37" s="33" t="str">
        <f>IF(SUMPRODUCT(--(NOT(ISERR(SEARCH({"T","Br"},'CDR Project Planner'!$C50))))),'CDR Project Planner'!F50,"")</f>
        <v/>
      </c>
      <c r="G37" s="33" t="str">
        <f>IF(SUMPRODUCT(--(NOT(ISERR(SEARCH({"T","Br"},'CDR Project Planner'!$C50))))),'CDR Project Planner'!G50,"")</f>
        <v/>
      </c>
      <c r="H37" s="38" t="str">
        <f>IF(SUMPRODUCT(--(NOT(ISERR(SEARCH({"T","Br"},'CDR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2" t="str">
        <f>IF(SUMPRODUCT(--(NOT(ISERR(SEARCH({"T","Br"},'CDR Project Planner'!$C51))))),'CDR Project Planner'!B51,"")</f>
        <v/>
      </c>
      <c r="C38" s="33" t="str">
        <f>IF(SUMPRODUCT(--(NOT(ISERR(SEARCH({"T","Br"},'CDR Project Planner'!$C51))))),'CDR Project Planner'!C51,"")</f>
        <v/>
      </c>
      <c r="D38" s="33" t="str">
        <f>IF(SUMPRODUCT(--(NOT(ISERR(SEARCH({"T","Br"},'CDR Project Planner'!$C51))))),'CDR Project Planner'!D51,"")</f>
        <v/>
      </c>
      <c r="E38" s="33" t="str">
        <f>IF(SUMPRODUCT(--(NOT(ISERR(SEARCH({"T","Br"},'CDR Project Planner'!$C51))))),'CDR Project Planner'!E51,"")</f>
        <v/>
      </c>
      <c r="F38" s="33" t="str">
        <f>IF(SUMPRODUCT(--(NOT(ISERR(SEARCH({"T","Br"},'CDR Project Planner'!$C51))))),'CDR Project Planner'!F51,"")</f>
        <v/>
      </c>
      <c r="G38" s="33" t="str">
        <f>IF(SUMPRODUCT(--(NOT(ISERR(SEARCH({"T","Br"},'CDR Project Planner'!$C51))))),'CDR Project Planner'!G51,"")</f>
        <v/>
      </c>
      <c r="H38" s="38" t="str">
        <f>IF(SUMPRODUCT(--(NOT(ISERR(SEARCH({"T","Br"},'CDR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IF(SUMPRODUCT(--(NOT(ISERR(SEARCH({"T","Br"},'CDR Project Planner'!$C52))))),'CDR Project Planner'!B52,"")</f>
        <v/>
      </c>
      <c r="C39" s="33" t="str">
        <f>IF(SUMPRODUCT(--(NOT(ISERR(SEARCH({"T","Br"},'CDR Project Planner'!$C52))))),'CDR Project Planner'!C52,"")</f>
        <v/>
      </c>
      <c r="D39" s="33" t="str">
        <f>IF(SUMPRODUCT(--(NOT(ISERR(SEARCH({"T","Br"},'CDR Project Planner'!$C52))))),'CDR Project Planner'!D52,"")</f>
        <v/>
      </c>
      <c r="E39" s="33" t="str">
        <f>IF(SUMPRODUCT(--(NOT(ISERR(SEARCH({"T","Br"},'CDR Project Planner'!$C52))))),'CDR Project Planner'!E52,"")</f>
        <v/>
      </c>
      <c r="F39" s="33" t="str">
        <f>IF(SUMPRODUCT(--(NOT(ISERR(SEARCH({"T","Br"},'CDR Project Planner'!$C52))))),'CDR Project Planner'!F52,"")</f>
        <v/>
      </c>
      <c r="G39" s="33" t="str">
        <f>IF(SUMPRODUCT(--(NOT(ISERR(SEARCH({"T","Br"},'CDR Project Planner'!$C52))))),'CDR Project Planner'!G52,"")</f>
        <v/>
      </c>
      <c r="H39" s="38" t="str">
        <f>IF(SUMPRODUCT(--(NOT(ISERR(SEARCH({"T","Br"},'CDR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IF(SUMPRODUCT(--(NOT(ISERR(SEARCH({"T","Br"},'CDR Project Planner'!$C53))))),'CDR Project Planner'!B53,"")</f>
        <v/>
      </c>
      <c r="C40" s="33" t="str">
        <f>IF(SUMPRODUCT(--(NOT(ISERR(SEARCH({"T","Br"},'CDR Project Planner'!$C53))))),'CDR Project Planner'!C53,"")</f>
        <v/>
      </c>
      <c r="D40" s="33" t="str">
        <f>IF(SUMPRODUCT(--(NOT(ISERR(SEARCH({"T","Br"},'CDR Project Planner'!$C53))))),'CDR Project Planner'!D53,"")</f>
        <v/>
      </c>
      <c r="E40" s="33" t="str">
        <f>IF(SUMPRODUCT(--(NOT(ISERR(SEARCH({"T","Br"},'CDR Project Planner'!$C53))))),'CDR Project Planner'!E53,"")</f>
        <v/>
      </c>
      <c r="F40" s="33" t="str">
        <f>IF(SUMPRODUCT(--(NOT(ISERR(SEARCH({"T","Br"},'CDR Project Planner'!$C53))))),'CDR Project Planner'!F53,"")</f>
        <v/>
      </c>
      <c r="G40" s="33" t="str">
        <f>IF(SUMPRODUCT(--(NOT(ISERR(SEARCH({"T","Br"},'CDR Project Planner'!$C53))))),'CDR Project Planner'!G53,"")</f>
        <v/>
      </c>
      <c r="H40" s="38" t="str">
        <f>IF(SUMPRODUCT(--(NOT(ISERR(SEARCH({"T","Br"},'CDR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IF(SUMPRODUCT(--(NOT(ISERR(SEARCH({"T","Br"},'CDR Project Planner'!$C54))))),'CDR Project Planner'!B54,"")</f>
        <v/>
      </c>
      <c r="C41" s="33" t="str">
        <f>IF(SUMPRODUCT(--(NOT(ISERR(SEARCH({"T","Br"},'CDR Project Planner'!$C54))))),'CDR Project Planner'!C54,"")</f>
        <v/>
      </c>
      <c r="D41" s="33" t="str">
        <f>IF(SUMPRODUCT(--(NOT(ISERR(SEARCH({"T","Br"},'CDR Project Planner'!$C54))))),'CDR Project Planner'!D54,"")</f>
        <v/>
      </c>
      <c r="E41" s="33" t="str">
        <f>IF(SUMPRODUCT(--(NOT(ISERR(SEARCH({"T","Br"},'CDR Project Planner'!$C54))))),'CDR Project Planner'!E54,"")</f>
        <v/>
      </c>
      <c r="F41" s="33" t="str">
        <f>IF(SUMPRODUCT(--(NOT(ISERR(SEARCH({"T","Br"},'CDR Project Planner'!$C54))))),'CDR Project Planner'!F54,"")</f>
        <v/>
      </c>
      <c r="G41" s="33" t="str">
        <f>IF(SUMPRODUCT(--(NOT(ISERR(SEARCH({"T","Br"},'CDR Project Planner'!$C54))))),'CDR Project Planner'!G54,"")</f>
        <v/>
      </c>
      <c r="H41" s="38" t="str">
        <f>IF(SUMPRODUCT(--(NOT(ISERR(SEARCH({"T","Br"},'CDR Project Planner'!$C54))))),'CDR Project Planner'!H53,"")</f>
        <v/>
      </c>
    </row>
    <row r="42" spans="1:68" ht="30" customHeight="1" x14ac:dyDescent="0.25">
      <c r="B42" s="32" t="str">
        <f>IF(SUMPRODUCT(--(NOT(ISERR(SEARCH({"T","Br"},'CDR Project Planner'!$C55))))),'CDR Project Planner'!B55,"")</f>
        <v/>
      </c>
      <c r="C42" s="33" t="str">
        <f>IF(SUMPRODUCT(--(NOT(ISERR(SEARCH({"T","Br"},'CDR Project Planner'!$C55))))),'CDR Project Planner'!C55,"")</f>
        <v/>
      </c>
      <c r="D42" s="33" t="str">
        <f>IF(SUMPRODUCT(--(NOT(ISERR(SEARCH({"T","Br"},'CDR Project Planner'!$C55))))),'CDR Project Planner'!D55,"")</f>
        <v/>
      </c>
      <c r="E42" s="33" t="str">
        <f>IF(SUMPRODUCT(--(NOT(ISERR(SEARCH({"T","Br"},'CDR Project Planner'!$C55))))),'CDR Project Planner'!E55,"")</f>
        <v/>
      </c>
      <c r="F42" s="33" t="str">
        <f>IF(SUMPRODUCT(--(NOT(ISERR(SEARCH({"T","Br"},'CDR Project Planner'!$C55))))),'CDR Project Planner'!F55,"")</f>
        <v/>
      </c>
      <c r="G42" s="33" t="str">
        <f>IF(SUMPRODUCT(--(NOT(ISERR(SEARCH({"T","Br"},'CDR Project Planner'!$C55))))),'CDR Project Planner'!G55,"")</f>
        <v/>
      </c>
      <c r="H42" s="38" t="str">
        <f>IF(SUMPRODUCT(--(NOT(ISERR(SEARCH({"T","Br"},'CDR Project Planner'!$C55))))),'CDR Project Planner'!H54,"")</f>
        <v/>
      </c>
    </row>
    <row r="43" spans="1:68" ht="30" customHeight="1" x14ac:dyDescent="0.25">
      <c r="B43" s="32" t="str">
        <f>IF(SUMPRODUCT(--(NOT(ISERR(SEARCH({"T","Br"},'CDR Project Planner'!$C56))))),'CDR Project Planner'!B56,"")</f>
        <v/>
      </c>
      <c r="C43" s="33" t="str">
        <f>IF(SUMPRODUCT(--(NOT(ISERR(SEARCH({"T","Br"},'CDR Project Planner'!$C56))))),'CDR Project Planner'!C56,"")</f>
        <v/>
      </c>
      <c r="D43" s="33" t="str">
        <f>IF(SUMPRODUCT(--(NOT(ISERR(SEARCH({"T","Br"},'CDR Project Planner'!$C56))))),'CDR Project Planner'!D56,"")</f>
        <v/>
      </c>
      <c r="E43" s="33" t="str">
        <f>IF(SUMPRODUCT(--(NOT(ISERR(SEARCH({"T","Br"},'CDR Project Planner'!$C56))))),'CDR Project Planner'!E56,"")</f>
        <v/>
      </c>
      <c r="F43" s="33" t="str">
        <f>IF(SUMPRODUCT(--(NOT(ISERR(SEARCH({"T","Br"},'CDR Project Planner'!$C56))))),'CDR Project Planner'!F56,"")</f>
        <v/>
      </c>
      <c r="G43" s="33" t="str">
        <f>IF(SUMPRODUCT(--(NOT(ISERR(SEARCH({"T","Br"},'CDR Project Planner'!$C56))))),'CDR Project Planner'!G56,"")</f>
        <v/>
      </c>
      <c r="H43" s="38" t="str">
        <f>IF(SUMPRODUCT(--(NOT(ISERR(SEARCH({"T","Br"},'CDR Project Planner'!$C56))))),'CDR Project Planner'!H55,"")</f>
        <v/>
      </c>
    </row>
    <row r="44" spans="1:68" s="4" customFormat="1" ht="30" customHeight="1" x14ac:dyDescent="0.25">
      <c r="A44" s="1"/>
      <c r="B44" s="32" t="str">
        <f>IF(SUMPRODUCT(--(NOT(ISERR(SEARCH({"T","Br"},'CDR Project Planner'!$C57))))),'CDR Project Planner'!B57,"")</f>
        <v/>
      </c>
      <c r="C44" s="33" t="str">
        <f>IF(SUMPRODUCT(--(NOT(ISERR(SEARCH({"T","Br"},'CDR Project Planner'!$C57))))),'CDR Project Planner'!C57,"")</f>
        <v/>
      </c>
      <c r="D44" s="33" t="str">
        <f>IF(SUMPRODUCT(--(NOT(ISERR(SEARCH({"T","Br"},'CDR Project Planner'!$C57))))),'CDR Project Planner'!D57,"")</f>
        <v/>
      </c>
      <c r="E44" s="33" t="str">
        <f>IF(SUMPRODUCT(--(NOT(ISERR(SEARCH({"T","Br"},'CDR Project Planner'!$C57))))),'CDR Project Planner'!E57,"")</f>
        <v/>
      </c>
      <c r="F44" s="33" t="str">
        <f>IF(SUMPRODUCT(--(NOT(ISERR(SEARCH({"T","Br"},'CDR Project Planner'!$C57))))),'CDR Project Planner'!F57,"")</f>
        <v/>
      </c>
      <c r="G44" s="33" t="str">
        <f>IF(SUMPRODUCT(--(NOT(ISERR(SEARCH({"T","Br"},'CDR Project Planner'!$C57))))),'CDR Project Planner'!G57,"")</f>
        <v/>
      </c>
      <c r="H44" s="38" t="str">
        <f>IF(SUMPRODUCT(--(NOT(ISERR(SEARCH({"T","Br"},'CDR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IF(SUMPRODUCT(--(NOT(ISERR(SEARCH({"T","Br"},'CDR Project Planner'!$C58))))),'CDR Project Planner'!B58,"")</f>
        <v/>
      </c>
      <c r="C45" s="33" t="str">
        <f>IF(SUMPRODUCT(--(NOT(ISERR(SEARCH({"T","Br"},'CDR Project Planner'!$C58))))),'CDR Project Planner'!C58,"")</f>
        <v/>
      </c>
      <c r="D45" s="33" t="str">
        <f>IF(SUMPRODUCT(--(NOT(ISERR(SEARCH({"T","Br"},'CDR Project Planner'!$C58))))),'CDR Project Planner'!D58,"")</f>
        <v/>
      </c>
      <c r="E45" s="33" t="str">
        <f>IF(SUMPRODUCT(--(NOT(ISERR(SEARCH({"T","Br"},'CDR Project Planner'!$C58))))),'CDR Project Planner'!E58,"")</f>
        <v/>
      </c>
      <c r="F45" s="33" t="str">
        <f>IF(SUMPRODUCT(--(NOT(ISERR(SEARCH({"T","Br"},'CDR Project Planner'!$C58))))),'CDR Project Planner'!F58,"")</f>
        <v/>
      </c>
      <c r="G45" s="33" t="str">
        <f>IF(SUMPRODUCT(--(NOT(ISERR(SEARCH({"T","Br"},'CDR Project Planner'!$C58))))),'CDR Project Planner'!G58,"")</f>
        <v/>
      </c>
      <c r="H45" s="38" t="str">
        <f>IF(SUMPRODUCT(--(NOT(ISERR(SEARCH({"T","Br"},'CDR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IF(SUMPRODUCT(--(NOT(ISERR(SEARCH({"T","Br"},'CDR Project Planner'!$C59))))),'CDR Project Planner'!B59,"")</f>
        <v/>
      </c>
      <c r="C46" s="33" t="str">
        <f>IF(SUMPRODUCT(--(NOT(ISERR(SEARCH({"T","Br"},'CDR Project Planner'!$C59))))),'CDR Project Planner'!C59,"")</f>
        <v/>
      </c>
      <c r="D46" s="33" t="str">
        <f>IF(SUMPRODUCT(--(NOT(ISERR(SEARCH({"T","Br"},'CDR Project Planner'!$C59))))),'CDR Project Planner'!D59,"")</f>
        <v/>
      </c>
      <c r="E46" s="33" t="str">
        <f>IF(SUMPRODUCT(--(NOT(ISERR(SEARCH({"T","Br"},'CDR Project Planner'!$C59))))),'CDR Project Planner'!E59,"")</f>
        <v/>
      </c>
      <c r="F46" s="33" t="str">
        <f>IF(SUMPRODUCT(--(NOT(ISERR(SEARCH({"T","Br"},'CDR Project Planner'!$C59))))),'CDR Project Planner'!F59,"")</f>
        <v/>
      </c>
      <c r="G46" s="33" t="str">
        <f>IF(SUMPRODUCT(--(NOT(ISERR(SEARCH({"T","Br"},'CDR Project Planner'!$C59))))),'CDR Project Planner'!G59,"")</f>
        <v/>
      </c>
      <c r="H46" s="38" t="str">
        <f>IF(SUMPRODUCT(--(NOT(ISERR(SEARCH({"T","Br"},'CDR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IF(SUMPRODUCT(--(NOT(ISERR(SEARCH({"T","Br"},'CDR Project Planner'!$C60))))),'CDR Project Planner'!B60,"")</f>
        <v/>
      </c>
      <c r="C47" s="33" t="str">
        <f>IF(SUMPRODUCT(--(NOT(ISERR(SEARCH({"T","Br"},'CDR Project Planner'!$C60))))),'CDR Project Planner'!C60,"")</f>
        <v/>
      </c>
      <c r="D47" s="33" t="str">
        <f>IF(SUMPRODUCT(--(NOT(ISERR(SEARCH({"T","Br"},'CDR Project Planner'!$C60))))),'CDR Project Planner'!D60,"")</f>
        <v/>
      </c>
      <c r="E47" s="33" t="str">
        <f>IF(SUMPRODUCT(--(NOT(ISERR(SEARCH({"T","Br"},'CDR Project Planner'!$C60))))),'CDR Project Planner'!E60,"")</f>
        <v/>
      </c>
      <c r="F47" s="33" t="str">
        <f>IF(SUMPRODUCT(--(NOT(ISERR(SEARCH({"T","Br"},'CDR Project Planner'!$C60))))),'CDR Project Planner'!F60,"")</f>
        <v/>
      </c>
      <c r="G47" s="33" t="str">
        <f>IF(SUMPRODUCT(--(NOT(ISERR(SEARCH({"T","Br"},'CDR Project Planner'!$C60))))),'CDR Project Planner'!G60,"")</f>
        <v/>
      </c>
      <c r="H47" s="38" t="str">
        <f>IF(SUMPRODUCT(--(NOT(ISERR(SEARCH({"T","Br"},'CDR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IF(SUMPRODUCT(--(NOT(ISERR(SEARCH({"T","Br"},'CDR Project Planner'!$C61))))),'CDR Project Planner'!B61,"")</f>
        <v/>
      </c>
      <c r="C48" s="33" t="str">
        <f>IF(SUMPRODUCT(--(NOT(ISERR(SEARCH({"T","Br"},'CDR Project Planner'!$C61))))),'CDR Project Planner'!C61,"")</f>
        <v/>
      </c>
      <c r="D48" s="33" t="str">
        <f>IF(SUMPRODUCT(--(NOT(ISERR(SEARCH({"T","Br"},'CDR Project Planner'!$C61))))),'CDR Project Planner'!D61,"")</f>
        <v/>
      </c>
      <c r="E48" s="33" t="str">
        <f>IF(SUMPRODUCT(--(NOT(ISERR(SEARCH({"T","Br"},'CDR Project Planner'!$C61))))),'CDR Project Planner'!E61,"")</f>
        <v/>
      </c>
      <c r="F48" s="33" t="str">
        <f>IF(SUMPRODUCT(--(NOT(ISERR(SEARCH({"T","Br"},'CDR Project Planner'!$C61))))),'CDR Project Planner'!F61,"")</f>
        <v/>
      </c>
      <c r="G48" s="33" t="str">
        <f>IF(SUMPRODUCT(--(NOT(ISERR(SEARCH({"T","Br"},'CDR Project Planner'!$C61))))),'CDR Project Planner'!G61,"")</f>
        <v/>
      </c>
      <c r="H48" s="38" t="str">
        <f>IF(SUMPRODUCT(--(NOT(ISERR(SEARCH({"T","Br"},'CDR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IF(SUMPRODUCT(--(NOT(ISERR(SEARCH({"T","Br"},'CDR Project Planner'!$C62))))),'CDR Project Planner'!B62,"")</f>
        <v/>
      </c>
      <c r="C49" s="33" t="str">
        <f>IF(SUMPRODUCT(--(NOT(ISERR(SEARCH({"T","Br"},'CDR Project Planner'!$C62))))),'CDR Project Planner'!C62,"")</f>
        <v/>
      </c>
      <c r="D49" s="33" t="str">
        <f>IF(SUMPRODUCT(--(NOT(ISERR(SEARCH({"T","Br"},'CDR Project Planner'!$C62))))),'CDR Project Planner'!D62,"")</f>
        <v/>
      </c>
      <c r="E49" s="33" t="str">
        <f>IF(SUMPRODUCT(--(NOT(ISERR(SEARCH({"T","Br"},'CDR Project Planner'!$C62))))),'CDR Project Planner'!E62,"")</f>
        <v/>
      </c>
      <c r="F49" s="33" t="str">
        <f>IF(SUMPRODUCT(--(NOT(ISERR(SEARCH({"T","Br"},'CDR Project Planner'!$C62))))),'CDR Project Planner'!F62,"")</f>
        <v/>
      </c>
      <c r="G49" s="33" t="str">
        <f>IF(SUMPRODUCT(--(NOT(ISERR(SEARCH({"T","Br"},'CDR Project Planner'!$C62))))),'CDR Project Planner'!G62,"")</f>
        <v/>
      </c>
      <c r="H49" s="38" t="str">
        <f>IF(SUMPRODUCT(--(NOT(ISERR(SEARCH({"T","Br"},'CDR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24" priority="2">
      <formula>PercentComplete</formula>
    </cfRule>
    <cfRule type="expression" dxfId="223" priority="3">
      <formula>PercentCompleteBeyond</formula>
    </cfRule>
    <cfRule type="expression" dxfId="222" priority="4">
      <formula>Actual</formula>
    </cfRule>
    <cfRule type="expression" dxfId="221" priority="5">
      <formula>ActualBeyond</formula>
    </cfRule>
    <cfRule type="expression" dxfId="220" priority="6">
      <formula>Plan</formula>
    </cfRule>
    <cfRule type="expression" dxfId="219" priority="7">
      <formula>I$4=period_selected</formula>
    </cfRule>
    <cfRule type="expression" dxfId="218" priority="8">
      <formula>MOD(COLUMN(),2)</formula>
    </cfRule>
    <cfRule type="expression" dxfId="217" priority="9">
      <formula>MOD(COLUMN(),2)=0</formula>
    </cfRule>
  </conditionalFormatting>
  <conditionalFormatting sqref="I4:BP4">
    <cfRule type="expression" dxfId="216" priority="10">
      <formula>I$4=period_selected</formula>
    </cfRule>
  </conditionalFormatting>
  <conditionalFormatting sqref="I5:BP6 I39:BP39 I21:BP28 I42:BP42 I45:BP45 I48:BP48">
    <cfRule type="expression" dxfId="215" priority="11">
      <formula>PercentComplete</formula>
    </cfRule>
    <cfRule type="expression" dxfId="214" priority="12">
      <formula>PercentCompleteBeyond</formula>
    </cfRule>
    <cfRule type="expression" dxfId="213" priority="13">
      <formula>Actual</formula>
    </cfRule>
    <cfRule type="expression" dxfId="212" priority="14">
      <formula>ActualBeyond</formula>
    </cfRule>
    <cfRule type="expression" dxfId="211" priority="15">
      <formula>Plan</formula>
    </cfRule>
    <cfRule type="expression" dxfId="210" priority="16">
      <formula>I$4=period_selected</formula>
    </cfRule>
    <cfRule type="expression" dxfId="209" priority="17">
      <formula>MOD(COLUMN(),2)</formula>
    </cfRule>
    <cfRule type="expression" dxfId="208" priority="18">
      <formula>MOD(COLUMN(),2)=0</formula>
    </cfRule>
  </conditionalFormatting>
  <conditionalFormatting sqref="I38:BP38 I41:BP41 I44:BP44 I47:BP47">
    <cfRule type="expression" dxfId="207" priority="19">
      <formula>PercentComplete</formula>
    </cfRule>
    <cfRule type="expression" dxfId="206" priority="20">
      <formula>PercentCompleteBeyond</formula>
    </cfRule>
    <cfRule type="expression" dxfId="205" priority="21">
      <formula>Actual</formula>
    </cfRule>
    <cfRule type="expression" dxfId="204" priority="22">
      <formula>ActualBeyond</formula>
    </cfRule>
    <cfRule type="expression" dxfId="203" priority="23">
      <formula>Plan</formula>
    </cfRule>
    <cfRule type="expression" dxfId="202" priority="24">
      <formula>I$4=period_selected</formula>
    </cfRule>
    <cfRule type="expression" dxfId="201" priority="25">
      <formula>MOD(COLUMN(),2)</formula>
    </cfRule>
    <cfRule type="expression" dxfId="200" priority="26">
      <formula>MOD(COLUMN(),2)=0</formula>
    </cfRule>
  </conditionalFormatting>
  <conditionalFormatting sqref="I20:BP20">
    <cfRule type="expression" dxfId="199" priority="27">
      <formula>PercentComplete</formula>
    </cfRule>
    <cfRule type="expression" dxfId="198" priority="28">
      <formula>PercentCompleteBeyond</formula>
    </cfRule>
    <cfRule type="expression" dxfId="197" priority="29">
      <formula>Actual</formula>
    </cfRule>
    <cfRule type="expression" dxfId="196" priority="30">
      <formula>ActualBeyond</formula>
    </cfRule>
    <cfRule type="expression" dxfId="195" priority="31">
      <formula>Plan</formula>
    </cfRule>
    <cfRule type="expression" dxfId="194" priority="32">
      <formula>I$4=period_selected</formula>
    </cfRule>
    <cfRule type="expression" dxfId="193" priority="33">
      <formula>MOD(COLUMN(),2)</formula>
    </cfRule>
    <cfRule type="expression" dxfId="192" priority="34">
      <formula>MOD(COLUMN(),2)=0</formula>
    </cfRule>
  </conditionalFormatting>
  <conditionalFormatting sqref="I16:BP16 I18:BP19">
    <cfRule type="expression" dxfId="191" priority="35">
      <formula>PercentComplete</formula>
    </cfRule>
    <cfRule type="expression" dxfId="190" priority="36">
      <formula>PercentCompleteBeyond</formula>
    </cfRule>
    <cfRule type="expression" dxfId="189" priority="37">
      <formula>Actual</formula>
    </cfRule>
    <cfRule type="expression" dxfId="188" priority="38">
      <formula>ActualBeyond</formula>
    </cfRule>
    <cfRule type="expression" dxfId="187" priority="39">
      <formula>Plan</formula>
    </cfRule>
    <cfRule type="expression" dxfId="186" priority="40">
      <formula>I$4=period_selected</formula>
    </cfRule>
    <cfRule type="expression" dxfId="185" priority="41">
      <formula>MOD(COLUMN(),2)</formula>
    </cfRule>
    <cfRule type="expression" dxfId="184" priority="42">
      <formula>MOD(COLUMN(),2)=0</formula>
    </cfRule>
  </conditionalFormatting>
  <conditionalFormatting sqref="I17:BP17">
    <cfRule type="expression" dxfId="183" priority="43">
      <formula>PercentComplete</formula>
    </cfRule>
    <cfRule type="expression" dxfId="182" priority="44">
      <formula>PercentCompleteBeyond</formula>
    </cfRule>
    <cfRule type="expression" dxfId="181" priority="45">
      <formula>Actual</formula>
    </cfRule>
    <cfRule type="expression" dxfId="180" priority="46">
      <formula>ActualBeyond</formula>
    </cfRule>
    <cfRule type="expression" dxfId="179" priority="47">
      <formula>Plan</formula>
    </cfRule>
    <cfRule type="expression" dxfId="178" priority="48">
      <formula>I$4=period_selected</formula>
    </cfRule>
    <cfRule type="expression" dxfId="177" priority="49">
      <formula>MOD(COLUMN(),2)</formula>
    </cfRule>
    <cfRule type="expression" dxfId="176" priority="50">
      <formula>MOD(COLUMN(),2)=0</formula>
    </cfRule>
  </conditionalFormatting>
  <conditionalFormatting sqref="H53:H56">
    <cfRule type="cellIs" dxfId="17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7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5361" r:id="rId3" name="Overview_but">
          <controlPr defaultSize="0" autoLine="0" autoPict="0" r:id="rId4">
            <anchor moveWithCells="1">
              <from>
                <xdr:col>7</xdr:col>
                <xdr:colOff>57150</xdr:colOff>
                <xdr:row>0</xdr:row>
                <xdr:rowOff>104775</xdr:rowOff>
              </from>
              <to>
                <xdr:col>7</xdr:col>
                <xdr:colOff>1095375</xdr:colOff>
                <xdr:row>0</xdr:row>
                <xdr:rowOff>504825</xdr:rowOff>
              </to>
            </anchor>
          </controlPr>
        </control>
      </mc:Choice>
      <mc:Fallback>
        <control shapeId="15361" r:id="rId3" name="Overview_bu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F29" sqref="F29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25">
      <c r="B2" s="287">
        <f ca="1">NOW()</f>
        <v>43209.749337037036</v>
      </c>
      <c r="C2" s="287"/>
      <c r="D2" s="287"/>
      <c r="E2" s="287"/>
      <c r="F2" s="287"/>
      <c r="G2" s="287"/>
      <c r="H2" s="9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IF(SUMPRODUCT(--(NOT(ISERR(SEARCH({"T","C"},'CDR Project Planner'!$C5))))),'CDR Project Planner'!B5,"")</f>
        <v>PDR</v>
      </c>
      <c r="C5" s="37" t="str">
        <f>IF(SUMPRODUCT(--(NOT(ISERR(SEARCH({"T","C"},'CDR Project Planner'!$C5))))),'CDR Project Planner'!C5,"")</f>
        <v>T</v>
      </c>
      <c r="D5" s="37">
        <f>IF(SUMPRODUCT(--(NOT(ISERR(SEARCH({"T","C"},'CDR Project Planner'!$C5))))),'CDR Project Planner'!D5,"")</f>
        <v>22</v>
      </c>
      <c r="E5" s="37">
        <f>IF(SUMPRODUCT(--(NOT(ISERR(SEARCH({"T","C"},'CDR Project Planner'!$C5))))),'CDR Project Planner'!E5,"")</f>
        <v>1</v>
      </c>
      <c r="F5" s="37">
        <f>IF(SUMPRODUCT(--(NOT(ISERR(SEARCH({"T","C"},'CDR Project Planner'!$C5))))),'CDR Project Planner'!F5,"")</f>
        <v>22</v>
      </c>
      <c r="G5" s="37">
        <f>IF(SUMPRODUCT(--(NOT(ISERR(SEARCH({"T","C"},'CDR Project Planner'!$C5))))),'CDR Project Planner'!G5,"")</f>
        <v>1</v>
      </c>
      <c r="H5" s="38">
        <f>IF(SUMPRODUCT(--(NOT(ISERR(SEARCH({"T","C"},'CDR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IF(SUMPRODUCT(--(NOT(ISERR(SEARCH({"T","C"},'CDR Project Planner'!$C6))))),'CDR Project Planner'!B6,"")</f>
        <v>System</v>
      </c>
      <c r="C6" s="33" t="str">
        <f>IF(SUMPRODUCT(--(NOT(ISERR(SEARCH({"T","C"},'CDR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IF(SUMPRODUCT(--(NOT(ISERR(SEARCH({"T","C"},'CDR Project Planner'!$C6))))),'CDR Project Planner'!H6,"")</f>
        <v>0</v>
      </c>
    </row>
    <row r="7" spans="1:68" s="4" customFormat="1" ht="15" outlineLevel="1" x14ac:dyDescent="0.25">
      <c r="A7" s="1"/>
      <c r="B7" s="32" t="str">
        <f>IF(SUMPRODUCT(--(NOT(ISERR(SEARCH({"T","C"},'CDR Project Planner'!$C7))))),'CDR Project Planner'!B7,"")</f>
        <v/>
      </c>
      <c r="C7" s="33" t="str">
        <f>IF(SUMPRODUCT(--(NOT(ISERR(SEARCH({"T","C"},'CDR Project Planner'!$C7))))),'CDR Project Planner'!C7,"")</f>
        <v/>
      </c>
      <c r="D7" s="33" t="str">
        <f>IF(SUMPRODUCT(--(NOT(ISERR(SEARCH({"T","C"},'CDR Project Planner'!$C7))))),'CDR Project Planner'!D7,"")</f>
        <v/>
      </c>
      <c r="E7" s="33" t="str">
        <f>IF(SUMPRODUCT(--(NOT(ISERR(SEARCH({"T","C"},'CDR Project Planner'!$C7))))),'CDR Project Planner'!E7,"")</f>
        <v/>
      </c>
      <c r="F7" s="33" t="str">
        <f>IF(SUMPRODUCT(--(NOT(ISERR(SEARCH({"T","C"},'CDR Project Planner'!$C7))))),'CDR Project Planner'!F7,"")</f>
        <v/>
      </c>
      <c r="G7" s="33" t="str">
        <f>IF(SUMPRODUCT(--(NOT(ISERR(SEARCH({"T","C"},'CDR Project Planner'!$C7))))),'CDR Project Planner'!G7,"")</f>
        <v/>
      </c>
      <c r="H7" s="38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0" t="str">
        <f>IF(SUMPRODUCT(--(NOT(ISERR(SEARCH({"T","C"},'CDR Project Planner'!$C8))))),'CDR Project Planner'!B8,"")</f>
        <v>Unit Tests - Python - Encoders</v>
      </c>
      <c r="C8" s="33" t="str">
        <f>IF(SUMPRODUCT(--(NOT(ISERR(SEARCH({"T","C"},'CDR Project Planner'!$C8))))),'CDR Project Planner'!C8,"")</f>
        <v>C</v>
      </c>
      <c r="D8" s="33">
        <f>IF(SUMPRODUCT(--(NOT(ISERR(SEARCH({"T","C"},'CDR Project Planner'!$C8))))),'CDR Project Planner'!D8,"")</f>
        <v>23</v>
      </c>
      <c r="E8" s="33">
        <f>IF(SUMPRODUCT(--(NOT(ISERR(SEARCH({"T","C"},'CDR Project Planner'!$C8))))),'CDR Project Planner'!E8,"")</f>
        <v>1</v>
      </c>
      <c r="F8" s="33">
        <f>IF(SUMPRODUCT(--(NOT(ISERR(SEARCH({"T","C"},'CDR Project Planner'!$C8))))),'CDR Project Planner'!F8,"")</f>
        <v>41</v>
      </c>
      <c r="G8" s="33">
        <f>IF(SUMPRODUCT(--(NOT(ISERR(SEARCH({"T","C"},'CDR Project Planner'!$C8))))),'CDR Project Planner'!G8,"")</f>
        <v>0</v>
      </c>
      <c r="H8" s="38">
        <f>IF(SUMPRODUCT(--(NOT(ISERR(SEARCH({"T","C"},'CDR Project Planner'!$C8))))),'CDR Project Planner'!H8,"")</f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2" t="str">
        <f>IF(SUMPRODUCT(--(NOT(ISERR(SEARCH({"T","C"},'CDR Project Planner'!$C9))))),'CDR Project Planner'!B9,"")</f>
        <v/>
      </c>
      <c r="C9" s="33" t="str">
        <f>IF(SUMPRODUCT(--(NOT(ISERR(SEARCH({"T","C"},'CDR Project Planner'!$C9))))),'CDR Project Planner'!C9,"")</f>
        <v/>
      </c>
      <c r="D9" s="33" t="str">
        <f>IF(SUMPRODUCT(--(NOT(ISERR(SEARCH({"T","C"},'CDR Project Planner'!$C9))))),'CDR Project Planner'!D9,"")</f>
        <v/>
      </c>
      <c r="E9" s="33" t="str">
        <f>IF(SUMPRODUCT(--(NOT(ISERR(SEARCH({"T","C"},'CDR Project Planner'!$C9))))),'CDR Project Planner'!E9,"")</f>
        <v/>
      </c>
      <c r="F9" s="33" t="str">
        <f>IF(SUMPRODUCT(--(NOT(ISERR(SEARCH({"T","C"},'CDR Project Planner'!$C9))))),'CDR Project Planner'!F9,"")</f>
        <v/>
      </c>
      <c r="G9" s="33" t="str">
        <f>IF(SUMPRODUCT(--(NOT(ISERR(SEARCH({"T","C"},'CDR Project Planner'!$C9))))),'CDR Project Planner'!G9,"")</f>
        <v/>
      </c>
      <c r="H9" s="38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IF(SUMPRODUCT(--(NOT(ISERR(SEARCH({"T","C"},'CDR Project Planner'!$C10))))),'CDR Project Planner'!B10,"")</f>
        <v>Unit Tests - GUI mapping</v>
      </c>
      <c r="C10" s="33" t="str">
        <f>IF(SUMPRODUCT(--(NOT(ISERR(SEARCH({"T","C"},'CDR Project Planner'!$C10))))),'CDR Project Planner'!C10,"")</f>
        <v>Z or C</v>
      </c>
      <c r="D10" s="33">
        <f>IF(SUMPRODUCT(--(NOT(ISERR(SEARCH({"T","C"},'CDR Project Planner'!$C10))))),'CDR Project Planner'!D10,"")</f>
        <v>23</v>
      </c>
      <c r="E10" s="33">
        <f>IF(SUMPRODUCT(--(NOT(ISERR(SEARCH({"T","C"},'CDR Project Planner'!$C10))))),'CDR Project Planner'!E10,"")</f>
        <v>5</v>
      </c>
      <c r="F10" s="33">
        <f>IF(SUMPRODUCT(--(NOT(ISERR(SEARCH({"T","C"},'CDR Project Planner'!$C10))))),'CDR Project Planner'!F10,"")</f>
        <v>31</v>
      </c>
      <c r="G10" s="33">
        <f>IF(SUMPRODUCT(--(NOT(ISERR(SEARCH({"T","C"},'CDR Project Planner'!$C10))))),'CDR Project Planner'!G10,"")</f>
        <v>1</v>
      </c>
      <c r="H10" s="38">
        <f>IF(SUMPRODUCT(--(NOT(ISERR(SEARCH({"T","C"},'CDR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IF(SUMPRODUCT(--(NOT(ISERR(SEARCH({"T","C"},'CDR Project Planner'!#REF!))))),'CDR Project Planner'!#REF!,"")</f>
        <v/>
      </c>
      <c r="C11" s="33" t="str">
        <f>IF(SUMPRODUCT(--(NOT(ISERR(SEARCH({"T","C"},'CDR Project Planner'!#REF!))))),'CDR Project Planner'!#REF!,"")</f>
        <v/>
      </c>
      <c r="D11" s="33" t="str">
        <f>IF(SUMPRODUCT(--(NOT(ISERR(SEARCH({"T","C"},'CDR Project Planner'!#REF!))))),'CDR Project Planner'!#REF!,"")</f>
        <v/>
      </c>
      <c r="E11" s="33" t="str">
        <f>IF(SUMPRODUCT(--(NOT(ISERR(SEARCH({"T","C"},'CDR Project Planner'!#REF!))))),'CDR Project Planner'!#REF!,"")</f>
        <v/>
      </c>
      <c r="F11" s="33" t="str">
        <f>IF(SUMPRODUCT(--(NOT(ISERR(SEARCH({"T","C"},'CDR Project Planner'!#REF!))))),'CDR Project Planner'!#REF!,"")</f>
        <v/>
      </c>
      <c r="G11" s="33" t="str">
        <f>IF(SUMPRODUCT(--(NOT(ISERR(SEARCH({"T","C"},'CDR Project Planner'!#REF!))))),'CDR Project Planner'!#REF!,"")</f>
        <v/>
      </c>
      <c r="H11" s="38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IF(SUMPRODUCT(--(NOT(ISERR(SEARCH({"T","C"},'CDR Project Planner'!$C11))))),'CDR Project Planner'!B11,"")</f>
        <v/>
      </c>
      <c r="C12" s="33" t="str">
        <f>IF(SUMPRODUCT(--(NOT(ISERR(SEARCH({"T","C"},'CDR Project Planner'!$C11))))),'CDR Project Planner'!C11,"")</f>
        <v/>
      </c>
      <c r="D12" s="33" t="str">
        <f>IF(SUMPRODUCT(--(NOT(ISERR(SEARCH({"T","C"},'CDR Project Planner'!$C11))))),'CDR Project Planner'!D11,"")</f>
        <v/>
      </c>
      <c r="E12" s="33" t="str">
        <f>IF(SUMPRODUCT(--(NOT(ISERR(SEARCH({"T","C"},'CDR Project Planner'!$C11))))),'CDR Project Planner'!E11,"")</f>
        <v/>
      </c>
      <c r="F12" s="33" t="str">
        <f>IF(SUMPRODUCT(--(NOT(ISERR(SEARCH({"T","C"},'CDR Project Planner'!$C11))))),'CDR Project Planner'!F11,"")</f>
        <v/>
      </c>
      <c r="G12" s="33" t="str">
        <f>IF(SUMPRODUCT(--(NOT(ISERR(SEARCH({"T","C"},'CDR Project Planner'!$C11))))),'CDR Project Planner'!G11,"")</f>
        <v/>
      </c>
      <c r="H12" s="38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IF(SUMPRODUCT(--(NOT(ISERR(SEARCH({"T","C"},'CDR Project Planner'!#REF!))))),'CDR Project Planner'!#REF!,"")</f>
        <v/>
      </c>
      <c r="C13" s="33" t="str">
        <f>IF(SUMPRODUCT(--(NOT(ISERR(SEARCH({"T","C"},'CDR Project Planner'!#REF!))))),'CDR Project Planner'!#REF!,"")</f>
        <v/>
      </c>
      <c r="D13" s="33" t="str">
        <f>IF(SUMPRODUCT(--(NOT(ISERR(SEARCH({"T","C"},'CDR Project Planner'!#REF!))))),'CDR Project Planner'!#REF!,"")</f>
        <v/>
      </c>
      <c r="E13" s="33" t="str">
        <f>IF(SUMPRODUCT(--(NOT(ISERR(SEARCH({"T","C"},'CDR Project Planner'!#REF!))))),'CDR Project Planner'!#REF!,"")</f>
        <v/>
      </c>
      <c r="F13" s="33" t="str">
        <f>IF(SUMPRODUCT(--(NOT(ISERR(SEARCH({"T","C"},'CDR Project Planner'!#REF!))))),'CDR Project Planner'!#REF!,"")</f>
        <v/>
      </c>
      <c r="G13" s="33" t="str">
        <f>IF(SUMPRODUCT(--(NOT(ISERR(SEARCH({"T","C"},'CDR Project Planner'!#REF!))))),'CDR Project Planner'!#REF!,"")</f>
        <v/>
      </c>
      <c r="H13" s="38" t="str">
        <f>IF(SUMPRODUCT(--(NOT(ISERR(SEARCH({"T","C"},'CDR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2" t="str">
        <f>IF(SUMPRODUCT(--(NOT(ISERR(SEARCH({"T","C"},'CDR Project Planner'!#REF!))))),'CDR Project Planner'!#REF!,"")</f>
        <v/>
      </c>
      <c r="C14" s="33" t="str">
        <f>IF(SUMPRODUCT(--(NOT(ISERR(SEARCH({"T","C"},'CDR Project Planner'!#REF!))))),'CDR Project Planner'!#REF!,"")</f>
        <v/>
      </c>
      <c r="D14" s="33" t="str">
        <f>IF(SUMPRODUCT(--(NOT(ISERR(SEARCH({"T","C"},'CDR Project Planner'!#REF!))))),'CDR Project Planner'!#REF!,"")</f>
        <v/>
      </c>
      <c r="E14" s="33" t="str">
        <f>IF(SUMPRODUCT(--(NOT(ISERR(SEARCH({"T","C"},'CDR Project Planner'!#REF!))))),'CDR Project Planner'!#REF!,"")</f>
        <v/>
      </c>
      <c r="F14" s="33" t="str">
        <f>IF(SUMPRODUCT(--(NOT(ISERR(SEARCH({"T","C"},'CDR Project Planner'!#REF!))))),'CDR Project Planner'!#REF!,"")</f>
        <v/>
      </c>
      <c r="G14" s="33" t="str">
        <f>IF(SUMPRODUCT(--(NOT(ISERR(SEARCH({"T","C"},'CDR Project Planner'!#REF!))))),'CDR Project Planner'!#REF!,"")</f>
        <v/>
      </c>
      <c r="H14" s="33" t="str">
        <f>IF(SUMPRODUCT(--(NOT(ISERR(SEARCH({"T","C"},'CDR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IF(SUMPRODUCT(--(NOT(ISERR(SEARCH({"T","C"},'CDR Project Planner'!#REF!))))),'CDR Project Planner'!#REF!,"")</f>
        <v/>
      </c>
      <c r="C15" s="33" t="str">
        <f>IF(SUMPRODUCT(--(NOT(ISERR(SEARCH({"T","C"},'CDR Project Planner'!#REF!))))),'CDR Project Planner'!#REF!,"")</f>
        <v/>
      </c>
      <c r="D15" s="33" t="str">
        <f>IF(SUMPRODUCT(--(NOT(ISERR(SEARCH({"T","C"},'CDR Project Planner'!#REF!))))),'CDR Project Planner'!#REF!,"")</f>
        <v/>
      </c>
      <c r="E15" s="33" t="str">
        <f>IF(SUMPRODUCT(--(NOT(ISERR(SEARCH({"T","C"},'CDR Project Planner'!#REF!))))),'CDR Project Planner'!#REF!,"")</f>
        <v/>
      </c>
      <c r="F15" s="33" t="str">
        <f>IF(SUMPRODUCT(--(NOT(ISERR(SEARCH({"T","C"},'CDR Project Planner'!#REF!))))),'CDR Project Planner'!#REF!,"")</f>
        <v/>
      </c>
      <c r="G15" s="33" t="str">
        <f>IF(SUMPRODUCT(--(NOT(ISERR(SEARCH({"T","C"},'CDR Project Planner'!#REF!))))),'CDR Project Planner'!#REF!,"")</f>
        <v/>
      </c>
      <c r="H15" s="33" t="str">
        <f>IF(SUMPRODUCT(--(NOT(ISERR(SEARCH({"T","C"},'CDR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IF(SUMPRODUCT(--(NOT(ISERR(SEARCH({"T","C"},'CDR Project Planner'!$C16))))),'CDR Project Planner'!B16,"")</f>
        <v/>
      </c>
      <c r="C16" s="33" t="str">
        <f>IF(SUMPRODUCT(--(NOT(ISERR(SEARCH({"T","C"},'CDR Project Planner'!$C16))))),'CDR Project Planner'!C16,"")</f>
        <v/>
      </c>
      <c r="D16" s="33" t="str">
        <f>IF(SUMPRODUCT(--(NOT(ISERR(SEARCH({"T","C"},'CDR Project Planner'!$C16))))),'CDR Project Planner'!D16,"")</f>
        <v/>
      </c>
      <c r="E16" s="33" t="str">
        <f>IF(SUMPRODUCT(--(NOT(ISERR(SEARCH({"T","C"},'CDR Project Planner'!$C16))))),'CDR Project Planner'!E16,"")</f>
        <v/>
      </c>
      <c r="F16" s="33" t="str">
        <f>IF(SUMPRODUCT(--(NOT(ISERR(SEARCH({"T","C"},'CDR Project Planner'!$C16))))),'CDR Project Planner'!F16,"")</f>
        <v/>
      </c>
      <c r="G16" s="33" t="str">
        <f>IF(SUMPRODUCT(--(NOT(ISERR(SEARCH({"T","C"},'CDR Project Planner'!$C16))))),'CDR Project Planner'!G16,"")</f>
        <v/>
      </c>
      <c r="H16" s="33" t="str">
        <f>IF(SUMPRODUCT(--(NOT(ISERR(SEARCH({"T","C"},'CDR Project Planner'!$C16))))),'CDR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IF(SUMPRODUCT(--(NOT(ISERR(SEARCH({"T","C"},'CDR Project Planner'!$C17))))),'CDR Project Planner'!B17,"")</f>
        <v/>
      </c>
      <c r="C17" s="33" t="str">
        <f>IF(SUMPRODUCT(--(NOT(ISERR(SEARCH({"T","C"},'CDR Project Planner'!$C17))))),'CDR Project Planner'!C17,"")</f>
        <v/>
      </c>
      <c r="D17" s="33" t="str">
        <f>IF(SUMPRODUCT(--(NOT(ISERR(SEARCH({"T","C"},'CDR Project Planner'!$C17))))),'CDR Project Planner'!D17,"")</f>
        <v/>
      </c>
      <c r="E17" s="33" t="str">
        <f>IF(SUMPRODUCT(--(NOT(ISERR(SEARCH({"T","C"},'CDR Project Planner'!$C17))))),'CDR Project Planner'!E17,"")</f>
        <v/>
      </c>
      <c r="F17" s="33" t="str">
        <f>IF(SUMPRODUCT(--(NOT(ISERR(SEARCH({"T","C"},'CDR Project Planner'!$C17))))),'CDR Project Planner'!F17,"")</f>
        <v/>
      </c>
      <c r="G17" s="33" t="str">
        <f>IF(SUMPRODUCT(--(NOT(ISERR(SEARCH({"T","C"},'CDR Project Planner'!$C17))))),'CDR Project Planner'!G17,"")</f>
        <v/>
      </c>
      <c r="H17" s="33" t="str">
        <f>IF(SUMPRODUCT(--(NOT(ISERR(SEARCH({"T","C"},'CDR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IF(SUMPRODUCT(--(NOT(ISERR(SEARCH({"T","C"},'CDR Project Planner'!$C18))))),'CDR Project Planner'!B18,"")</f>
        <v/>
      </c>
      <c r="C18" s="33" t="str">
        <f>IF(SUMPRODUCT(--(NOT(ISERR(SEARCH({"T","C"},'CDR Project Planner'!$C18))))),'CDR Project Planner'!C18,"")</f>
        <v/>
      </c>
      <c r="D18" s="33" t="str">
        <f>IF(SUMPRODUCT(--(NOT(ISERR(SEARCH({"T","C"},'CDR Project Planner'!$C18))))),'CDR Project Planner'!D18,"")</f>
        <v/>
      </c>
      <c r="E18" s="33" t="str">
        <f>IF(SUMPRODUCT(--(NOT(ISERR(SEARCH({"T","C"},'CDR Project Planner'!$C18))))),'CDR Project Planner'!E18,"")</f>
        <v/>
      </c>
      <c r="F18" s="33" t="str">
        <f>IF(SUMPRODUCT(--(NOT(ISERR(SEARCH({"T","C"},'CDR Project Planner'!$C18))))),'CDR Project Planner'!F18,"")</f>
        <v/>
      </c>
      <c r="G18" s="33" t="str">
        <f>IF(SUMPRODUCT(--(NOT(ISERR(SEARCH({"T","C"},'CDR Project Planner'!$C18))))),'CDR Project Planner'!G18,"")</f>
        <v/>
      </c>
      <c r="H18" s="33" t="str">
        <f>IF(SUMPRODUCT(--(NOT(ISERR(SEARCH({"T","C"},'CDR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IF(SUMPRODUCT(--(NOT(ISERR(SEARCH({"T","C"},'CDR Project Planner'!#REF!))))),'CDR Project Planner'!#REF!,"")</f>
        <v/>
      </c>
      <c r="C19" s="33" t="str">
        <f>IF(SUMPRODUCT(--(NOT(ISERR(SEARCH({"T","C"},'CDR Project Planner'!#REF!))))),'CDR Project Planner'!#REF!,"")</f>
        <v/>
      </c>
      <c r="D19" s="33" t="str">
        <f>IF(SUMPRODUCT(--(NOT(ISERR(SEARCH({"T","C"},'CDR Project Planner'!#REF!))))),'CDR Project Planner'!#REF!,"")</f>
        <v/>
      </c>
      <c r="E19" s="33" t="str">
        <f>IF(SUMPRODUCT(--(NOT(ISERR(SEARCH({"T","C"},'CDR Project Planner'!#REF!))))),'CDR Project Planner'!#REF!,"")</f>
        <v/>
      </c>
      <c r="F19" s="33" t="str">
        <f>IF(SUMPRODUCT(--(NOT(ISERR(SEARCH({"T","C"},'CDR Project Planner'!#REF!))))),'CDR Project Planner'!#REF!,"")</f>
        <v/>
      </c>
      <c r="G19" s="33" t="str">
        <f>IF(SUMPRODUCT(--(NOT(ISERR(SEARCH({"T","C"},'CDR Project Planner'!#REF!))))),'CDR Project Planner'!#REF!,"")</f>
        <v/>
      </c>
      <c r="H19" s="33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IF(SUMPRODUCT(--(NOT(ISERR(SEARCH({"T","C"},'CDR Project Planner'!#REF!))))),'CDR Project Planner'!#REF!,"")</f>
        <v/>
      </c>
      <c r="C20" s="33" t="str">
        <f>IF(SUMPRODUCT(--(NOT(ISERR(SEARCH({"T","C"},'CDR Project Planner'!#REF!))))),'CDR Project Planner'!#REF!,"")</f>
        <v/>
      </c>
      <c r="D20" s="33" t="str">
        <f>IF(SUMPRODUCT(--(NOT(ISERR(SEARCH({"T","C"},'CDR Project Planner'!#REF!))))),'CDR Project Planner'!#REF!,"")</f>
        <v/>
      </c>
      <c r="E20" s="33" t="str">
        <f>IF(SUMPRODUCT(--(NOT(ISERR(SEARCH({"T","C"},'CDR Project Planner'!#REF!))))),'CDR Project Planner'!#REF!,"")</f>
        <v/>
      </c>
      <c r="F20" s="33" t="str">
        <f>IF(SUMPRODUCT(--(NOT(ISERR(SEARCH({"T","C"},'CDR Project Planner'!#REF!))))),'CDR Project Planner'!#REF!,"")</f>
        <v/>
      </c>
      <c r="G20" s="33" t="str">
        <f>IF(SUMPRODUCT(--(NOT(ISERR(SEARCH({"T","C"},'CDR Project Planner'!#REF!))))),'CDR Project Planner'!#REF!,"")</f>
        <v/>
      </c>
      <c r="H20" s="33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39" t="str">
        <f>IF(SUMPRODUCT(--(NOT(ISERR(SEARCH({"T","C"},'CDR Project Planner'!$C21))))),'CDR Project Planner'!B21,"")</f>
        <v>Python</v>
      </c>
      <c r="C21" s="33" t="str">
        <f>IF(SUMPRODUCT(--(NOT(ISERR(SEARCH({"T","C"},'CDR Project Planner'!$C21))))),'CDR Project Planner'!C21,"")</f>
        <v>C &amp; Z</v>
      </c>
      <c r="D21" s="33"/>
      <c r="E21" s="33"/>
      <c r="F21" s="33"/>
      <c r="G21" s="33"/>
      <c r="H21" s="38">
        <f>IF(SUMPRODUCT(--(NOT(ISERR(SEARCH({"T","C"},'CDR Project Planner'!$C21))))),'CDR Project Planner'!H20,"")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0" t="str">
        <f>IF(SUMPRODUCT(--(NOT(ISERR(SEARCH({"T","C"},'CDR Project Planner'!$C22))))),'CDR Project Planner'!B22,"")</f>
        <v/>
      </c>
      <c r="C22" s="33" t="str">
        <f>IF(SUMPRODUCT(--(NOT(ISERR(SEARCH({"T","C"},'CDR Project Planner'!$C22))))),'CDR Project Planner'!C22,"")</f>
        <v/>
      </c>
      <c r="D22" s="33" t="str">
        <f>IF(SUMPRODUCT(--(NOT(ISERR(SEARCH({"T","C"},'CDR Project Planner'!$C22))))),'CDR Project Planner'!D22,"")</f>
        <v/>
      </c>
      <c r="E22" s="33" t="str">
        <f>IF(SUMPRODUCT(--(NOT(ISERR(SEARCH({"T","C"},'CDR Project Planner'!$C22))))),'CDR Project Planner'!E22,"")</f>
        <v/>
      </c>
      <c r="F22" s="33" t="str">
        <f>IF(SUMPRODUCT(--(NOT(ISERR(SEARCH({"T","C"},'CDR Project Planner'!$C22))))),'CDR Project Planner'!F22,"")</f>
        <v/>
      </c>
      <c r="G22" s="33" t="str">
        <f>IF(SUMPRODUCT(--(NOT(ISERR(SEARCH({"T","C"},'CDR Project Planner'!$C22))))),'CDR Project Planner'!G22,"")</f>
        <v/>
      </c>
      <c r="H22" s="38" t="str">
        <f>IF(SUMPRODUCT(--(NOT(ISERR(SEARCH({"T","C"},'CDR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0" t="str">
        <f>IF(SUMPRODUCT(--(NOT(ISERR(SEARCH({"T","C"},'CDR Project Planner'!$C23))))),'CDR Project Planner'!B23,"")</f>
        <v>GUI - Create unknown map</v>
      </c>
      <c r="C23" s="33" t="str">
        <f>IF(SUMPRODUCT(--(NOT(ISERR(SEARCH({"T","C"},'CDR Project Planner'!$C23))))),'CDR Project Planner'!C23,"")</f>
        <v>C</v>
      </c>
      <c r="D23" s="33">
        <f>IF(SUMPRODUCT(--(NOT(ISERR(SEARCH({"T","C"},'CDR Project Planner'!$C23))))),'CDR Project Planner'!D23,"")</f>
        <v>41</v>
      </c>
      <c r="E23" s="33">
        <f>IF(SUMPRODUCT(--(NOT(ISERR(SEARCH({"T","C"},'CDR Project Planner'!$C23))))),'CDR Project Planner'!E23,"")</f>
        <v>15</v>
      </c>
      <c r="F23" s="33">
        <f>IF(SUMPRODUCT(--(NOT(ISERR(SEARCH({"T","C"},'CDR Project Planner'!$C23))))),'CDR Project Planner'!F23,"")</f>
        <v>32</v>
      </c>
      <c r="G23" s="33">
        <f>IF(SUMPRODUCT(--(NOT(ISERR(SEARCH({"T","C"},'CDR Project Planner'!$C23))))),'CDR Project Planner'!G23,"")</f>
        <v>0</v>
      </c>
      <c r="H23" s="38">
        <f>IF(SUMPRODUCT(--(NOT(ISERR(SEARCH({"T","C"},'CDR Project Planner'!$C23))))),'CDR Project Planner'!H22,"")</f>
        <v>0.25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0" t="str">
        <f>IF(SUMPRODUCT(--(NOT(ISERR(SEARCH({"T","C"},'CDR Project Planner'!$C25))))),'CDR Project Planner'!B25,"")</f>
        <v>Create Movement Functions</v>
      </c>
      <c r="C24" s="33" t="str">
        <f>IF(SUMPRODUCT(--(NOT(ISERR(SEARCH({"T","C"},'CDR Project Planner'!$C25))))),'CDR Project Planner'!C25,"")</f>
        <v>C</v>
      </c>
      <c r="D24" s="33">
        <f>IF(SUMPRODUCT(--(NOT(ISERR(SEARCH({"T","C"},'CDR Project Planner'!$C25))))),'CDR Project Planner'!D25,"")</f>
        <v>41</v>
      </c>
      <c r="E24" s="33">
        <f>IF(SUMPRODUCT(--(NOT(ISERR(SEARCH({"T","C"},'CDR Project Planner'!$C25))))),'CDR Project Planner'!E25,"")</f>
        <v>5</v>
      </c>
      <c r="F24" s="33">
        <f>IF(SUMPRODUCT(--(NOT(ISERR(SEARCH({"T","C"},'CDR Project Planner'!$C25))))),'CDR Project Planner'!F25,"")</f>
        <v>41</v>
      </c>
      <c r="G24" s="33">
        <f>IF(SUMPRODUCT(--(NOT(ISERR(SEARCH({"T","C"},'CDR Project Planner'!$C25))))),'CDR Project Planner'!G25,"")</f>
        <v>0</v>
      </c>
      <c r="H24" s="38">
        <f>IF(SUMPRODUCT(--(NOT(ISERR(SEARCH({"T","C"},'CDR Project Planner'!$C25))))),'CDR Project Planner'!H23,"")</f>
        <v>0.5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0" t="str">
        <f>IF(SUMPRODUCT(--(NOT(ISERR(SEARCH({"T","C"},'CDR Project Planner'!#REF!))))),'CDR Project Planner'!#REF!,"")</f>
        <v/>
      </c>
      <c r="C25" s="33" t="str">
        <f>IF(SUMPRODUCT(--(NOT(ISERR(SEARCH({"T","C"},'CDR Project Planner'!#REF!))))),'CDR Project Planner'!#REF!,"")</f>
        <v/>
      </c>
      <c r="D25" s="33" t="str">
        <f>IF(SUMPRODUCT(--(NOT(ISERR(SEARCH({"T","C"},'CDR Project Planner'!#REF!))))),'CDR Project Planner'!#REF!,"")</f>
        <v/>
      </c>
      <c r="E25" s="33" t="str">
        <f>IF(SUMPRODUCT(--(NOT(ISERR(SEARCH({"T","C"},'CDR Project Planner'!#REF!))))),'CDR Project Planner'!#REF!,"")</f>
        <v/>
      </c>
      <c r="F25" s="33" t="str">
        <f>IF(SUMPRODUCT(--(NOT(ISERR(SEARCH({"T","C"},'CDR Project Planner'!#REF!))))),'CDR Project Planner'!#REF!,"")</f>
        <v/>
      </c>
      <c r="G25" s="33" t="str">
        <f>IF(SUMPRODUCT(--(NOT(ISERR(SEARCH({"T","C"},'CDR Project Planner'!#REF!))))),'CDR Project Planner'!#REF!,"")</f>
        <v/>
      </c>
      <c r="H25" s="38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40" t="str">
        <f>IF(SUMPRODUCT(--(NOT(ISERR(SEARCH({"T","C"},'CDR Project Planner'!#REF!))))),'CDR Project Planner'!#REF!,"")</f>
        <v/>
      </c>
      <c r="C26" s="33" t="str">
        <f>IF(SUMPRODUCT(--(NOT(ISERR(SEARCH({"T","C"},'CDR Project Planner'!#REF!))))),'CDR Project Planner'!#REF!,"")</f>
        <v/>
      </c>
      <c r="D26" s="33" t="str">
        <f>IF(SUMPRODUCT(--(NOT(ISERR(SEARCH({"T","C"},'CDR Project Planner'!#REF!))))),'CDR Project Planner'!#REF!,"")</f>
        <v/>
      </c>
      <c r="E26" s="33" t="str">
        <f>IF(SUMPRODUCT(--(NOT(ISERR(SEARCH({"T","C"},'CDR Project Planner'!#REF!))))),'CDR Project Planner'!#REF!,"")</f>
        <v/>
      </c>
      <c r="F26" s="33" t="str">
        <f>IF(SUMPRODUCT(--(NOT(ISERR(SEARCH({"T","C"},'CDR Project Planner'!#REF!))))),'CDR Project Planner'!#REF!,"")</f>
        <v/>
      </c>
      <c r="G26" s="33" t="str">
        <f>IF(SUMPRODUCT(--(NOT(ISERR(SEARCH({"T","C"},'CDR Project Planner'!#REF!))))),'CDR Project Planner'!#REF!,"")</f>
        <v/>
      </c>
      <c r="H26" s="38" t="str">
        <f>IF(SUMPRODUCT(--(NOT(ISERR(SEARCH({"T","C"},'CDR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32" t="str">
        <f>IF(SUMPRODUCT(--(NOT(ISERR(SEARCH({"T","C"},'CDR Project Planner'!$C34))))),'CDR Project Planner'!B34,"")</f>
        <v/>
      </c>
      <c r="C27" s="33" t="str">
        <f>IF(SUMPRODUCT(--(NOT(ISERR(SEARCH({"T","C"},'CDR Project Planner'!$C34))))),'CDR Project Planner'!C34,"")</f>
        <v/>
      </c>
      <c r="D27" s="33" t="str">
        <f>IF(SUMPRODUCT(--(NOT(ISERR(SEARCH({"T","C"},'CDR Project Planner'!$C34))))),'CDR Project Planner'!D34,"")</f>
        <v/>
      </c>
      <c r="E27" s="33" t="str">
        <f>IF(SUMPRODUCT(--(NOT(ISERR(SEARCH({"T","C"},'CDR Project Planner'!$C34))))),'CDR Project Planner'!E34,"")</f>
        <v/>
      </c>
      <c r="F27" s="33" t="str">
        <f>IF(SUMPRODUCT(--(NOT(ISERR(SEARCH({"T","C"},'CDR Project Planner'!$C34))))),'CDR Project Planner'!F34,"")</f>
        <v/>
      </c>
      <c r="G27" s="33" t="str">
        <f>IF(SUMPRODUCT(--(NOT(ISERR(SEARCH({"T","C"},'CDR Project Planner'!$C34))))),'CDR Project Planner'!G34,"")</f>
        <v/>
      </c>
      <c r="H27" s="38" t="str">
        <f>IF(SUMPRODUCT(--(NOT(ISERR(SEARCH({"T","C"},'CDR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2" t="str">
        <f>IF(SUMPRODUCT(--(NOT(ISERR(SEARCH({"T","C"},'CDR Project Planner'!#REF!))))),'CDR Project Planner'!#REF!,"")</f>
        <v/>
      </c>
      <c r="C28" s="33" t="str">
        <f>IF(SUMPRODUCT(--(NOT(ISERR(SEARCH({"T","C"},'CDR Project Planner'!#REF!))))),'CDR Project Planner'!#REF!,"")</f>
        <v/>
      </c>
      <c r="D28" s="33" t="str">
        <f>IF(SUMPRODUCT(--(NOT(ISERR(SEARCH({"T","C"},'CDR Project Planner'!#REF!))))),'CDR Project Planner'!#REF!,"")</f>
        <v/>
      </c>
      <c r="E28" s="33" t="str">
        <f>IF(SUMPRODUCT(--(NOT(ISERR(SEARCH({"T","C"},'CDR Project Planner'!#REF!))))),'CDR Project Planner'!#REF!,"")</f>
        <v/>
      </c>
      <c r="F28" s="33" t="str">
        <f>IF(SUMPRODUCT(--(NOT(ISERR(SEARCH({"T","C"},'CDR Project Planner'!#REF!))))),'CDR Project Planner'!#REF!,"")</f>
        <v/>
      </c>
      <c r="G28" s="33" t="str">
        <f>IF(SUMPRODUCT(--(NOT(ISERR(SEARCH({"T","C"},'CDR Project Planner'!#REF!))))),'CDR Project Planner'!#REF!,"")</f>
        <v/>
      </c>
      <c r="H28" s="38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32" t="str">
        <f>IF(SUMPRODUCT(--(NOT(ISERR(SEARCH({"T","C"},'CDR Project Planner'!$C35))))),'CDR Project Planner'!B35,"")</f>
        <v/>
      </c>
      <c r="C29" s="33" t="str">
        <f>IF(SUMPRODUCT(--(NOT(ISERR(SEARCH({"T","C"},'CDR Project Planner'!$C35))))),'CDR Project Planner'!C35,"")</f>
        <v/>
      </c>
      <c r="D29" s="33" t="str">
        <f>IF(SUMPRODUCT(--(NOT(ISERR(SEARCH({"T","C"},'CDR Project Planner'!$C35))))),'CDR Project Planner'!D35,"")</f>
        <v/>
      </c>
      <c r="E29" s="33" t="str">
        <f>IF(SUMPRODUCT(--(NOT(ISERR(SEARCH({"T","C"},'CDR Project Planner'!$C35))))),'CDR Project Planner'!E35,"")</f>
        <v/>
      </c>
      <c r="F29" s="33" t="str">
        <f>IF(SUMPRODUCT(--(NOT(ISERR(SEARCH({"T","C"},'CDR Project Planner'!$C35))))),'CDR Project Planner'!F35,"")</f>
        <v/>
      </c>
      <c r="G29" s="33" t="str">
        <f>IF(SUMPRODUCT(--(NOT(ISERR(SEARCH({"T","C"},'CDR Project Planner'!$C35))))),'CDR Project Planner'!G35,"")</f>
        <v/>
      </c>
      <c r="H29" s="38" t="str">
        <f>IF(SUMPRODUCT(--(NOT(ISERR(SEARCH({"T","C"},'CDR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IF(SUMPRODUCT(--(NOT(ISERR(SEARCH({"T","C"},'CDR Project Planner'!$C40))))),'CDR Project Planner'!B40,"")</f>
        <v>Project Management</v>
      </c>
      <c r="C30" s="33" t="str">
        <f>IF(SUMPRODUCT(--(NOT(ISERR(SEARCH({"T","C"},'CDR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IF(SUMPRODUCT(--(NOT(ISERR(SEARCH({"T","C"},'CDR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IF(SUMPRODUCT(--(NOT(ISERR(SEARCH({"T","C"},'CDR Project Planner'!$C41))))),'CDR Project Planner'!B41,"")</f>
        <v/>
      </c>
      <c r="C31" s="33" t="str">
        <f>IF(SUMPRODUCT(--(NOT(ISERR(SEARCH({"T","C"},'CDR Project Planner'!$C41))))),'CDR Project Planner'!C41,"")</f>
        <v/>
      </c>
      <c r="D31" s="33" t="str">
        <f>IF(SUMPRODUCT(--(NOT(ISERR(SEARCH({"T","C"},'CDR Project Planner'!$C41))))),'CDR Project Planner'!D41,"")</f>
        <v/>
      </c>
      <c r="E31" s="33" t="str">
        <f>IF(SUMPRODUCT(--(NOT(ISERR(SEARCH({"T","C"},'CDR Project Planner'!$C41))))),'CDR Project Planner'!E41,"")</f>
        <v/>
      </c>
      <c r="F31" s="33" t="str">
        <f>IF(SUMPRODUCT(--(NOT(ISERR(SEARCH({"T","C"},'CDR Project Planner'!$C41))))),'CDR Project Planner'!F41,"")</f>
        <v/>
      </c>
      <c r="G31" s="33" t="str">
        <f>IF(SUMPRODUCT(--(NOT(ISERR(SEARCH({"T","C"},'CDR Project Planner'!$C41))))),'CDR Project Planner'!G41,"")</f>
        <v/>
      </c>
      <c r="H31" s="38" t="str">
        <f>IF(SUMPRODUCT(--(NOT(ISERR(SEARCH({"T","C"},'CDR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IF(SUMPRODUCT(--(NOT(ISERR(SEARCH({"T","C"},'CDR Project Planner'!$C42))))),'CDR Project Planner'!B42,"")</f>
        <v/>
      </c>
      <c r="C32" s="33" t="str">
        <f>IF(SUMPRODUCT(--(NOT(ISERR(SEARCH({"T","C"},'CDR Project Planner'!$C42))))),'CDR Project Planner'!C42,"")</f>
        <v/>
      </c>
      <c r="D32" s="33" t="str">
        <f>IF(SUMPRODUCT(--(NOT(ISERR(SEARCH({"T","C"},'CDR Project Planner'!$C42))))),'CDR Project Planner'!D42,"")</f>
        <v/>
      </c>
      <c r="E32" s="33" t="str">
        <f>IF(SUMPRODUCT(--(NOT(ISERR(SEARCH({"T","C"},'CDR Project Planner'!$C42))))),'CDR Project Planner'!E42,"")</f>
        <v/>
      </c>
      <c r="F32" s="33" t="str">
        <f>IF(SUMPRODUCT(--(NOT(ISERR(SEARCH({"T","C"},'CDR Project Planner'!$C42))))),'CDR Project Planner'!F42,"")</f>
        <v/>
      </c>
      <c r="G32" s="33" t="str">
        <f>IF(SUMPRODUCT(--(NOT(ISERR(SEARCH({"T","C"},'CDR Project Planner'!$C42))))),'CDR Project Planner'!G42,"")</f>
        <v/>
      </c>
      <c r="H32" s="38" t="str">
        <f>IF(SUMPRODUCT(--(NOT(ISERR(SEARCH({"T","C"},'CDR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IF(SUMPRODUCT(--(NOT(ISERR(SEARCH({"T","C"},'CDR Project Planner'!$C45))))),'CDR Project Planner'!B45,"")</f>
        <v/>
      </c>
      <c r="C33" s="33" t="str">
        <f>IF(SUMPRODUCT(--(NOT(ISERR(SEARCH({"T","C"},'CDR Project Planner'!$C45))))),'CDR Project Planner'!C45,"")</f>
        <v/>
      </c>
      <c r="D33" s="33" t="str">
        <f>IF(SUMPRODUCT(--(NOT(ISERR(SEARCH({"T","C"},'CDR Project Planner'!$C45))))),'CDR Project Planner'!D45,"")</f>
        <v/>
      </c>
      <c r="E33" s="33" t="str">
        <f>IF(SUMPRODUCT(--(NOT(ISERR(SEARCH({"T","C"},'CDR Project Planner'!$C45))))),'CDR Project Planner'!E45,"")</f>
        <v/>
      </c>
      <c r="F33" s="33" t="str">
        <f>IF(SUMPRODUCT(--(NOT(ISERR(SEARCH({"T","C"},'CDR Project Planner'!$C45))))),'CDR Project Planner'!F45,"")</f>
        <v/>
      </c>
      <c r="G33" s="33" t="str">
        <f>IF(SUMPRODUCT(--(NOT(ISERR(SEARCH({"T","C"},'CDR Project Planner'!$C45))))),'CDR Project Planner'!G45,"")</f>
        <v/>
      </c>
      <c r="H33" s="38" t="str">
        <f>IF(SUMPRODUCT(--(NOT(ISERR(SEARCH({"T","C"},'CDR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IF(SUMPRODUCT(--(NOT(ISERR(SEARCH({"T","C"},'CDR Project Planner'!$C46))))),'CDR Project Planner'!B46,"")</f>
        <v/>
      </c>
      <c r="C34" s="33" t="str">
        <f>IF(SUMPRODUCT(--(NOT(ISERR(SEARCH({"T","C"},'CDR Project Planner'!$C46))))),'CDR Project Planner'!C46,"")</f>
        <v/>
      </c>
      <c r="D34" s="33" t="str">
        <f>IF(SUMPRODUCT(--(NOT(ISERR(SEARCH({"T","C"},'CDR Project Planner'!$C46))))),'CDR Project Planner'!D46,"")</f>
        <v/>
      </c>
      <c r="E34" s="33" t="str">
        <f>IF(SUMPRODUCT(--(NOT(ISERR(SEARCH({"T","C"},'CDR Project Planner'!$C46))))),'CDR Project Planner'!E46,"")</f>
        <v/>
      </c>
      <c r="F34" s="33" t="str">
        <f>IF(SUMPRODUCT(--(NOT(ISERR(SEARCH({"T","C"},'CDR Project Planner'!$C46))))),'CDR Project Planner'!F46,"")</f>
        <v/>
      </c>
      <c r="G34" s="33" t="str">
        <f>IF(SUMPRODUCT(--(NOT(ISERR(SEARCH({"T","C"},'CDR Project Planner'!$C46))))),'CDR Project Planner'!G46,"")</f>
        <v/>
      </c>
      <c r="H34" s="38" t="str">
        <f>IF(SUMPRODUCT(--(NOT(ISERR(SEARCH({"T","C"},'CDR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IF(SUMPRODUCT(--(NOT(ISERR(SEARCH({"T","C"},'CDR Project Planner'!$C48))))),'CDR Project Planner'!B48,"")</f>
        <v>CDR PowerPoint</v>
      </c>
      <c r="C35" s="33" t="str">
        <f>IF(SUMPRODUCT(--(NOT(ISERR(SEARCH({"T","C"},'CDR Project Planner'!$C48))))),'CDR Project Planner'!C48,"")</f>
        <v>T</v>
      </c>
      <c r="D35" s="33">
        <f>IF(SUMPRODUCT(--(NOT(ISERR(SEARCH({"T","C"},'CDR Project Planner'!$C48))))),'CDR Project Planner'!D48,"")</f>
        <v>55</v>
      </c>
      <c r="E35" s="33">
        <f>IF(SUMPRODUCT(--(NOT(ISERR(SEARCH({"T","C"},'CDR Project Planner'!$C48))))),'CDR Project Planner'!E48,"")</f>
        <v>10</v>
      </c>
      <c r="F35" s="33">
        <f>IF(SUMPRODUCT(--(NOT(ISERR(SEARCH({"T","C"},'CDR Project Planner'!$C48))))),'CDR Project Planner'!F48,"")</f>
        <v>0</v>
      </c>
      <c r="G35" s="33">
        <f>IF(SUMPRODUCT(--(NOT(ISERR(SEARCH({"T","C"},'CDR Project Planner'!$C48))))),'CDR Project Planner'!G48,"")</f>
        <v>0</v>
      </c>
      <c r="H35" s="38">
        <f>IF(SUMPRODUCT(--(NOT(ISERR(SEARCH({"T","C"},'CDR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IF(SUMPRODUCT(--(NOT(ISERR(SEARCH({"T","C"},'CDR Project Planner'!$C49))))),'CDR Project Planner'!B49,"")</f>
        <v>CDR</v>
      </c>
      <c r="C36" s="37" t="str">
        <f>IF(SUMPRODUCT(--(NOT(ISERR(SEARCH({"T","C"},'CDR Project Planner'!$C49))))),'CDR Project Planner'!C49,"")</f>
        <v>T</v>
      </c>
      <c r="D36" s="37">
        <f>IF(SUMPRODUCT(--(NOT(ISERR(SEARCH({"T","C"},'CDR Project Planner'!$C49))))),'CDR Project Planner'!D49,"")</f>
        <v>69</v>
      </c>
      <c r="E36" s="37">
        <f>IF(SUMPRODUCT(--(NOT(ISERR(SEARCH({"T","C"},'CDR Project Planner'!$C49))))),'CDR Project Planner'!E49,"")</f>
        <v>1</v>
      </c>
      <c r="F36" s="37">
        <f>IF(SUMPRODUCT(--(NOT(ISERR(SEARCH({"T","C"},'CDR Project Planner'!$C49))))),'CDR Project Planner'!F49,"")</f>
        <v>55</v>
      </c>
      <c r="G36" s="37">
        <f>IF(SUMPRODUCT(--(NOT(ISERR(SEARCH({"T","C"},'CDR Project Planner'!$C49))))),'CDR Project Planner'!G49,"")</f>
        <v>1</v>
      </c>
      <c r="H36" s="38">
        <f>IF(SUMPRODUCT(--(NOT(ISERR(SEARCH({"T","C"},'CDR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9" t="str">
        <f>IF(SUMPRODUCT(--(NOT(ISERR(SEARCH({"T","C"},'CDR Project Planner'!$C50))))),'CDR Project Planner'!B50,"")</f>
        <v>After We Finish</v>
      </c>
      <c r="C37" s="33" t="str">
        <f>IF(SUMPRODUCT(--(NOT(ISERR(SEARCH({"T","C"},'CDR Project Planner'!$C50))))),'CDR Project Planner'!C50,"")</f>
        <v>C &amp; An</v>
      </c>
      <c r="D37" s="33"/>
      <c r="E37" s="33"/>
      <c r="F37" s="33"/>
      <c r="G37" s="33"/>
      <c r="H37" s="38">
        <f>IF(SUMPRODUCT(--(NOT(ISERR(SEARCH({"T","C"},'CDR Project Planner'!$C50))))),'CDR Project Planner'!H49,"")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0" t="str">
        <f>IF(SUMPRODUCT(--(NOT(ISERR(SEARCH({"T","C"},'CDR Project Planner'!$C51))))),'CDR Project Planner'!B51,"")</f>
        <v>Create sound board*</v>
      </c>
      <c r="C38" s="33" t="str">
        <f>IF(SUMPRODUCT(--(NOT(ISERR(SEARCH({"T","C"},'CDR Project Planner'!$C51))))),'CDR Project Planner'!C51,"")</f>
        <v>C &amp; An</v>
      </c>
      <c r="D38" s="33" t="str">
        <f>IF(SUMPRODUCT(--(NOT(ISERR(SEARCH({"T","C"},'CDR Project Planner'!$C51))))),'CDR Project Planner'!D51,"")</f>
        <v>TBA</v>
      </c>
      <c r="E38" s="33" t="str">
        <f>IF(SUMPRODUCT(--(NOT(ISERR(SEARCH({"T","C"},'CDR Project Planner'!$C51))))),'CDR Project Planner'!E51,"")</f>
        <v>TBA</v>
      </c>
      <c r="F38" s="33">
        <f>IF(SUMPRODUCT(--(NOT(ISERR(SEARCH({"T","C"},'CDR Project Planner'!$C51))))),'CDR Project Planner'!F51,"")</f>
        <v>0</v>
      </c>
      <c r="G38" s="33">
        <f>IF(SUMPRODUCT(--(NOT(ISERR(SEARCH({"T","C"},'CDR Project Planner'!$C51))))),'CDR Project Planner'!G51,"")</f>
        <v>0</v>
      </c>
      <c r="H38" s="38">
        <f>IF(SUMPRODUCT(--(NOT(ISERR(SEARCH({"T","C"},'CDR Project Planner'!$C51))))),'CDR Project Planner'!H50,"")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IF(SUMPRODUCT(--(NOT(ISERR(SEARCH({"T","C"},'CDR Project Planner'!$C52))))),'CDR Project Planner'!B52,"")</f>
        <v/>
      </c>
      <c r="C39" s="33" t="str">
        <f>IF(SUMPRODUCT(--(NOT(ISERR(SEARCH({"T","C"},'CDR Project Planner'!$C52))))),'CDR Project Planner'!C52,"")</f>
        <v/>
      </c>
      <c r="D39" s="33" t="str">
        <f>IF(SUMPRODUCT(--(NOT(ISERR(SEARCH({"T","C"},'CDR Project Planner'!$C52))))),'CDR Project Planner'!D52,"")</f>
        <v/>
      </c>
      <c r="E39" s="33" t="str">
        <f>IF(SUMPRODUCT(--(NOT(ISERR(SEARCH({"T","C"},'CDR Project Planner'!$C52))))),'CDR Project Planner'!E52,"")</f>
        <v/>
      </c>
      <c r="F39" s="33" t="str">
        <f>IF(SUMPRODUCT(--(NOT(ISERR(SEARCH({"T","C"},'CDR Project Planner'!$C52))))),'CDR Project Planner'!F52,"")</f>
        <v/>
      </c>
      <c r="G39" s="33" t="str">
        <f>IF(SUMPRODUCT(--(NOT(ISERR(SEARCH({"T","C"},'CDR Project Planner'!$C52))))),'CDR Project Planner'!G52,"")</f>
        <v/>
      </c>
      <c r="H39" s="38" t="str">
        <f>IF(SUMPRODUCT(--(NOT(ISERR(SEARCH({"T","C"},'CDR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IF(SUMPRODUCT(--(NOT(ISERR(SEARCH({"T","C"},'CDR Project Planner'!$C53))))),'CDR Project Planner'!B53,"")</f>
        <v/>
      </c>
      <c r="C40" s="33" t="str">
        <f>IF(SUMPRODUCT(--(NOT(ISERR(SEARCH({"T","C"},'CDR Project Planner'!$C53))))),'CDR Project Planner'!C53,"")</f>
        <v/>
      </c>
      <c r="D40" s="33" t="str">
        <f>IF(SUMPRODUCT(--(NOT(ISERR(SEARCH({"T","C"},'CDR Project Planner'!$C53))))),'CDR Project Planner'!D53,"")</f>
        <v/>
      </c>
      <c r="E40" s="33" t="str">
        <f>IF(SUMPRODUCT(--(NOT(ISERR(SEARCH({"T","C"},'CDR Project Planner'!$C53))))),'CDR Project Planner'!E53,"")</f>
        <v/>
      </c>
      <c r="F40" s="33" t="str">
        <f>IF(SUMPRODUCT(--(NOT(ISERR(SEARCH({"T","C"},'CDR Project Planner'!$C53))))),'CDR Project Planner'!F53,"")</f>
        <v/>
      </c>
      <c r="G40" s="33" t="str">
        <f>IF(SUMPRODUCT(--(NOT(ISERR(SEARCH({"T","C"},'CDR Project Planner'!$C53))))),'CDR Project Planner'!G53,"")</f>
        <v/>
      </c>
      <c r="H40" s="38" t="str">
        <f>IF(SUMPRODUCT(--(NOT(ISERR(SEARCH({"T","C"},'CDR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IF(SUMPRODUCT(--(NOT(ISERR(SEARCH({"T","C"},'CDR Project Planner'!$C54))))),'CDR Project Planner'!B54,"")</f>
        <v/>
      </c>
      <c r="C41" s="33" t="str">
        <f>IF(SUMPRODUCT(--(NOT(ISERR(SEARCH({"T","C"},'CDR Project Planner'!$C54))))),'CDR Project Planner'!C54,"")</f>
        <v/>
      </c>
      <c r="D41" s="33" t="str">
        <f>IF(SUMPRODUCT(--(NOT(ISERR(SEARCH({"T","C"},'CDR Project Planner'!$C54))))),'CDR Project Planner'!D54,"")</f>
        <v/>
      </c>
      <c r="E41" s="33" t="str">
        <f>IF(SUMPRODUCT(--(NOT(ISERR(SEARCH({"T","C"},'CDR Project Planner'!$C54))))),'CDR Project Planner'!E54,"")</f>
        <v/>
      </c>
      <c r="F41" s="33" t="str">
        <f>IF(SUMPRODUCT(--(NOT(ISERR(SEARCH({"T","C"},'CDR Project Planner'!$C54))))),'CDR Project Planner'!F54,"")</f>
        <v/>
      </c>
      <c r="G41" s="33" t="str">
        <f>IF(SUMPRODUCT(--(NOT(ISERR(SEARCH({"T","C"},'CDR Project Planner'!$C54))))),'CDR Project Planner'!G54,"")</f>
        <v/>
      </c>
      <c r="H41" s="38" t="str">
        <f>IF(SUMPRODUCT(--(NOT(ISERR(SEARCH({"T","C"},'CDR Project Planner'!$C54))))),'CDR Project Planner'!H53,"")</f>
        <v/>
      </c>
    </row>
    <row r="42" spans="1:68" ht="30" customHeight="1" x14ac:dyDescent="0.25">
      <c r="B42" s="32" t="str">
        <f>IF(SUMPRODUCT(--(NOT(ISERR(SEARCH({"T","C"},'CDR Project Planner'!$C55))))),'CDR Project Planner'!B55,"")</f>
        <v/>
      </c>
      <c r="C42" s="33" t="str">
        <f>IF(SUMPRODUCT(--(NOT(ISERR(SEARCH({"T","C"},'CDR Project Planner'!$C55))))),'CDR Project Planner'!C55,"")</f>
        <v/>
      </c>
      <c r="D42" s="33" t="str">
        <f>IF(SUMPRODUCT(--(NOT(ISERR(SEARCH({"T","C"},'CDR Project Planner'!$C55))))),'CDR Project Planner'!D55,"")</f>
        <v/>
      </c>
      <c r="E42" s="33" t="str">
        <f>IF(SUMPRODUCT(--(NOT(ISERR(SEARCH({"T","C"},'CDR Project Planner'!$C55))))),'CDR Project Planner'!E55,"")</f>
        <v/>
      </c>
      <c r="F42" s="33" t="str">
        <f>IF(SUMPRODUCT(--(NOT(ISERR(SEARCH({"T","C"},'CDR Project Planner'!$C55))))),'CDR Project Planner'!F55,"")</f>
        <v/>
      </c>
      <c r="G42" s="33" t="str">
        <f>IF(SUMPRODUCT(--(NOT(ISERR(SEARCH({"T","C"},'CDR Project Planner'!$C55))))),'CDR Project Planner'!G55,"")</f>
        <v/>
      </c>
      <c r="H42" s="38" t="str">
        <f>IF(SUMPRODUCT(--(NOT(ISERR(SEARCH({"T","C"},'CDR Project Planner'!$C55))))),'CDR Project Planner'!H54,"")</f>
        <v/>
      </c>
    </row>
    <row r="43" spans="1:68" ht="30" customHeight="1" x14ac:dyDescent="0.25">
      <c r="B43" s="32" t="str">
        <f>IF(SUMPRODUCT(--(NOT(ISERR(SEARCH({"T","C"},'CDR Project Planner'!$C56))))),'CDR Project Planner'!B56,"")</f>
        <v/>
      </c>
      <c r="C43" s="33" t="str">
        <f>IF(SUMPRODUCT(--(NOT(ISERR(SEARCH({"T","C"},'CDR Project Planner'!$C56))))),'CDR Project Planner'!C56,"")</f>
        <v/>
      </c>
      <c r="D43" s="33" t="str">
        <f>IF(SUMPRODUCT(--(NOT(ISERR(SEARCH({"T","C"},'CDR Project Planner'!$C56))))),'CDR Project Planner'!D56,"")</f>
        <v/>
      </c>
      <c r="E43" s="33" t="str">
        <f>IF(SUMPRODUCT(--(NOT(ISERR(SEARCH({"T","C"},'CDR Project Planner'!$C56))))),'CDR Project Planner'!E56,"")</f>
        <v/>
      </c>
      <c r="F43" s="33" t="str">
        <f>IF(SUMPRODUCT(--(NOT(ISERR(SEARCH({"T","C"},'CDR Project Planner'!$C56))))),'CDR Project Planner'!F56,"")</f>
        <v/>
      </c>
      <c r="G43" s="33" t="str">
        <f>IF(SUMPRODUCT(--(NOT(ISERR(SEARCH({"T","C"},'CDR Project Planner'!$C56))))),'CDR Project Planner'!G56,"")</f>
        <v/>
      </c>
      <c r="H43" s="38" t="str">
        <f>IF(SUMPRODUCT(--(NOT(ISERR(SEARCH({"T","C"},'CDR Project Planner'!$C56))))),'CDR Project Planner'!H55,"")</f>
        <v/>
      </c>
    </row>
    <row r="44" spans="1:68" s="4" customFormat="1" ht="30" customHeight="1" x14ac:dyDescent="0.25">
      <c r="A44" s="1"/>
      <c r="B44" s="32" t="str">
        <f>IF(SUMPRODUCT(--(NOT(ISERR(SEARCH({"T","C"},'CDR Project Planner'!$C57))))),'CDR Project Planner'!B57,"")</f>
        <v/>
      </c>
      <c r="C44" s="33" t="str">
        <f>IF(SUMPRODUCT(--(NOT(ISERR(SEARCH({"T","C"},'CDR Project Planner'!$C57))))),'CDR Project Planner'!C57,"")</f>
        <v/>
      </c>
      <c r="D44" s="33" t="str">
        <f>IF(SUMPRODUCT(--(NOT(ISERR(SEARCH({"T","C"},'CDR Project Planner'!$C57))))),'CDR Project Planner'!D57,"")</f>
        <v/>
      </c>
      <c r="E44" s="33" t="str">
        <f>IF(SUMPRODUCT(--(NOT(ISERR(SEARCH({"T","C"},'CDR Project Planner'!$C57))))),'CDR Project Planner'!E57,"")</f>
        <v/>
      </c>
      <c r="F44" s="33" t="str">
        <f>IF(SUMPRODUCT(--(NOT(ISERR(SEARCH({"T","C"},'CDR Project Planner'!$C57))))),'CDR Project Planner'!F57,"")</f>
        <v/>
      </c>
      <c r="G44" s="33" t="str">
        <f>IF(SUMPRODUCT(--(NOT(ISERR(SEARCH({"T","C"},'CDR Project Planner'!$C57))))),'CDR Project Planner'!G57,"")</f>
        <v/>
      </c>
      <c r="H44" s="38" t="str">
        <f>IF(SUMPRODUCT(--(NOT(ISERR(SEARCH({"T","C"},'CDR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IF(SUMPRODUCT(--(NOT(ISERR(SEARCH({"T","C"},'CDR Project Planner'!$C58))))),'CDR Project Planner'!B58,"")</f>
        <v/>
      </c>
      <c r="C45" s="33" t="str">
        <f>IF(SUMPRODUCT(--(NOT(ISERR(SEARCH({"T","C"},'CDR Project Planner'!$C58))))),'CDR Project Planner'!C58,"")</f>
        <v/>
      </c>
      <c r="D45" s="33" t="str">
        <f>IF(SUMPRODUCT(--(NOT(ISERR(SEARCH({"T","C"},'CDR Project Planner'!$C58))))),'CDR Project Planner'!D58,"")</f>
        <v/>
      </c>
      <c r="E45" s="33" t="str">
        <f>IF(SUMPRODUCT(--(NOT(ISERR(SEARCH({"T","C"},'CDR Project Planner'!$C58))))),'CDR Project Planner'!E58,"")</f>
        <v/>
      </c>
      <c r="F45" s="33" t="str">
        <f>IF(SUMPRODUCT(--(NOT(ISERR(SEARCH({"T","C"},'CDR Project Planner'!$C58))))),'CDR Project Planner'!F58,"")</f>
        <v/>
      </c>
      <c r="G45" s="33" t="str">
        <f>IF(SUMPRODUCT(--(NOT(ISERR(SEARCH({"T","C"},'CDR Project Planner'!$C58))))),'CDR Project Planner'!G58,"")</f>
        <v/>
      </c>
      <c r="H45" s="38" t="str">
        <f>IF(SUMPRODUCT(--(NOT(ISERR(SEARCH({"T","C"},'CDR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IF(SUMPRODUCT(--(NOT(ISERR(SEARCH({"T","C"},'CDR Project Planner'!$C59))))),'CDR Project Planner'!B59,"")</f>
        <v/>
      </c>
      <c r="C46" s="33" t="str">
        <f>IF(SUMPRODUCT(--(NOT(ISERR(SEARCH({"T","C"},'CDR Project Planner'!$C59))))),'CDR Project Planner'!C59,"")</f>
        <v/>
      </c>
      <c r="D46" s="33" t="str">
        <f>IF(SUMPRODUCT(--(NOT(ISERR(SEARCH({"T","C"},'CDR Project Planner'!$C59))))),'CDR Project Planner'!D59,"")</f>
        <v/>
      </c>
      <c r="E46" s="33" t="str">
        <f>IF(SUMPRODUCT(--(NOT(ISERR(SEARCH({"T","C"},'CDR Project Planner'!$C59))))),'CDR Project Planner'!E59,"")</f>
        <v/>
      </c>
      <c r="F46" s="33" t="str">
        <f>IF(SUMPRODUCT(--(NOT(ISERR(SEARCH({"T","C"},'CDR Project Planner'!$C59))))),'CDR Project Planner'!F59,"")</f>
        <v/>
      </c>
      <c r="G46" s="33" t="str">
        <f>IF(SUMPRODUCT(--(NOT(ISERR(SEARCH({"T","C"},'CDR Project Planner'!$C59))))),'CDR Project Planner'!G59,"")</f>
        <v/>
      </c>
      <c r="H46" s="38" t="str">
        <f>IF(SUMPRODUCT(--(NOT(ISERR(SEARCH({"T","C"},'CDR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IF(SUMPRODUCT(--(NOT(ISERR(SEARCH({"T","C"},'CDR Project Planner'!$C60))))),'CDR Project Planner'!B60,"")</f>
        <v/>
      </c>
      <c r="C47" s="33" t="str">
        <f>IF(SUMPRODUCT(--(NOT(ISERR(SEARCH({"T","C"},'CDR Project Planner'!$C60))))),'CDR Project Planner'!C60,"")</f>
        <v/>
      </c>
      <c r="D47" s="33" t="str">
        <f>IF(SUMPRODUCT(--(NOT(ISERR(SEARCH({"T","C"},'CDR Project Planner'!$C60))))),'CDR Project Planner'!D60,"")</f>
        <v/>
      </c>
      <c r="E47" s="33" t="str">
        <f>IF(SUMPRODUCT(--(NOT(ISERR(SEARCH({"T","C"},'CDR Project Planner'!$C60))))),'CDR Project Planner'!E60,"")</f>
        <v/>
      </c>
      <c r="F47" s="33" t="str">
        <f>IF(SUMPRODUCT(--(NOT(ISERR(SEARCH({"T","C"},'CDR Project Planner'!$C60))))),'CDR Project Planner'!F60,"")</f>
        <v/>
      </c>
      <c r="G47" s="33" t="str">
        <f>IF(SUMPRODUCT(--(NOT(ISERR(SEARCH({"T","C"},'CDR Project Planner'!$C60))))),'CDR Project Planner'!G60,"")</f>
        <v/>
      </c>
      <c r="H47" s="38" t="str">
        <f>IF(SUMPRODUCT(--(NOT(ISERR(SEARCH({"T","C"},'CDR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IF(SUMPRODUCT(--(NOT(ISERR(SEARCH({"T","C"},'CDR Project Planner'!$C61))))),'CDR Project Planner'!B61,"")</f>
        <v/>
      </c>
      <c r="C48" s="33" t="str">
        <f>IF(SUMPRODUCT(--(NOT(ISERR(SEARCH({"T","C"},'CDR Project Planner'!$C61))))),'CDR Project Planner'!C61,"")</f>
        <v/>
      </c>
      <c r="D48" s="33" t="str">
        <f>IF(SUMPRODUCT(--(NOT(ISERR(SEARCH({"T","C"},'CDR Project Planner'!$C61))))),'CDR Project Planner'!D61,"")</f>
        <v/>
      </c>
      <c r="E48" s="33" t="str">
        <f>IF(SUMPRODUCT(--(NOT(ISERR(SEARCH({"T","C"},'CDR Project Planner'!$C61))))),'CDR Project Planner'!E61,"")</f>
        <v/>
      </c>
      <c r="F48" s="33" t="str">
        <f>IF(SUMPRODUCT(--(NOT(ISERR(SEARCH({"T","C"},'CDR Project Planner'!$C61))))),'CDR Project Planner'!F61,"")</f>
        <v/>
      </c>
      <c r="G48" s="33" t="str">
        <f>IF(SUMPRODUCT(--(NOT(ISERR(SEARCH({"T","C"},'CDR Project Planner'!$C61))))),'CDR Project Planner'!G61,"")</f>
        <v/>
      </c>
      <c r="H48" s="38" t="str">
        <f>IF(SUMPRODUCT(--(NOT(ISERR(SEARCH({"T","C"},'CDR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IF(SUMPRODUCT(--(NOT(ISERR(SEARCH({"T","C"},'CDR Project Planner'!$C62))))),'CDR Project Planner'!B62,"")</f>
        <v/>
      </c>
      <c r="C49" s="33" t="str">
        <f>IF(SUMPRODUCT(--(NOT(ISERR(SEARCH({"T","C"},'CDR Project Planner'!$C62))))),'CDR Project Planner'!C62,"")</f>
        <v/>
      </c>
      <c r="D49" s="33" t="str">
        <f>IF(SUMPRODUCT(--(NOT(ISERR(SEARCH({"T","C"},'CDR Project Planner'!$C62))))),'CDR Project Planner'!D62,"")</f>
        <v/>
      </c>
      <c r="E49" s="33" t="str">
        <f>IF(SUMPRODUCT(--(NOT(ISERR(SEARCH({"T","C"},'CDR Project Planner'!$C62))))),'CDR Project Planner'!E62,"")</f>
        <v/>
      </c>
      <c r="F49" s="33" t="str">
        <f>IF(SUMPRODUCT(--(NOT(ISERR(SEARCH({"T","C"},'CDR Project Planner'!$C62))))),'CDR Project Planner'!F62,"")</f>
        <v/>
      </c>
      <c r="G49" s="33" t="str">
        <f>IF(SUMPRODUCT(--(NOT(ISERR(SEARCH({"T","C"},'CDR Project Planner'!$C62))))),'CDR Project Planner'!G62,"")</f>
        <v/>
      </c>
      <c r="H49" s="38" t="str">
        <f>IF(SUMPRODUCT(--(NOT(ISERR(SEARCH({"T","C"},'CDR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H53:H56">
    <cfRule type="cellIs" dxfId="173" priority="51" operator="equal">
      <formula>isblank</formula>
    </cfRule>
  </conditionalFormatting>
  <conditionalFormatting sqref="H5:H13 H21:H49">
    <cfRule type="expression" dxfId="17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conditionalFormatting sqref="I5:BP60">
    <cfRule type="expression" dxfId="171" priority="7">
      <formula>I$4=period_selected</formula>
    </cfRule>
    <cfRule type="expression" dxfId="170" priority="8">
      <formula>MOD(COLUMN(),2)</formula>
    </cfRule>
    <cfRule type="expression" dxfId="169" priority="9">
      <formula>MOD(COLUMN(),2)=0</formula>
    </cfRule>
  </conditionalFormatting>
  <conditionalFormatting sqref="I5:BP49">
    <cfRule type="expression" dxfId="168" priority="2">
      <formula>PercentComplete</formula>
    </cfRule>
    <cfRule type="expression" dxfId="167" priority="3">
      <formula>PercentCompleteBeyond</formula>
    </cfRule>
    <cfRule type="expression" dxfId="166" priority="4">
      <formula>Actual</formula>
    </cfRule>
    <cfRule type="expression" dxfId="165" priority="5">
      <formula>ActualBeyond</formula>
    </cfRule>
    <cfRule type="expression" dxfId="164" priority="6">
      <formula>Plan</formula>
    </cfRule>
  </conditionalFormatting>
  <dataValidations disablePrompts="1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6385" r:id="rId3" name="Overview_but">
          <controlPr defaultSize="0" autoLine="0" autoPict="0" r:id="rId4">
            <anchor moveWithCells="1">
              <from>
                <xdr:col>7</xdr:col>
                <xdr:colOff>57150</xdr:colOff>
                <xdr:row>0</xdr:row>
                <xdr:rowOff>104775</xdr:rowOff>
              </from>
              <to>
                <xdr:col>7</xdr:col>
                <xdr:colOff>1095375</xdr:colOff>
                <xdr:row>0</xdr:row>
                <xdr:rowOff>504825</xdr:rowOff>
              </to>
            </anchor>
          </controlPr>
        </control>
      </mc:Choice>
      <mc:Fallback>
        <control shapeId="16385" r:id="rId3" name="Overview_bu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C30" sqref="C30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25">
      <c r="B2" s="287">
        <f ca="1">NOW()</f>
        <v>43209.749337037036</v>
      </c>
      <c r="C2" s="287"/>
      <c r="D2" s="287"/>
      <c r="E2" s="287"/>
      <c r="F2" s="287"/>
      <c r="G2" s="287"/>
      <c r="H2" s="9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IF(SUMPRODUCT(--(NOT(ISERR(SEARCH({"T","P"},'CDR Project Planner'!$C5))))),'CDR Project Planner'!B5,"")</f>
        <v>PDR</v>
      </c>
      <c r="C5" s="44" t="str">
        <f>IF(SUMPRODUCT(--(NOT(ISERR(SEARCH({"T","P"},'CDR Project Planner'!$C5))))),'CDR Project Planner'!C5,"")</f>
        <v>T</v>
      </c>
      <c r="D5" s="44">
        <f>IF(SUMPRODUCT(--(NOT(ISERR(SEARCH({"T","P"},'CDR Project Planner'!$C5))))),'CDR Project Planner'!D5,"")</f>
        <v>22</v>
      </c>
      <c r="E5" s="44">
        <f>IF(SUMPRODUCT(--(NOT(ISERR(SEARCH({"T","P"},'CDR Project Planner'!$C5))))),'CDR Project Planner'!E5,"")</f>
        <v>1</v>
      </c>
      <c r="F5" s="44">
        <f>IF(SUMPRODUCT(--(NOT(ISERR(SEARCH({"T","P"},'CDR Project Planner'!$C5))))),'CDR Project Planner'!F5,"")</f>
        <v>22</v>
      </c>
      <c r="G5" s="44">
        <f>IF(SUMPRODUCT(--(NOT(ISERR(SEARCH({"T","P"},'CDR Project Planner'!$C5))))),'CDR Project Planner'!G5,"")</f>
        <v>1</v>
      </c>
      <c r="H5" s="38">
        <f>IF(SUMPRODUCT(--(NOT(ISERR(SEARCH({"T","P"},'CDR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9" t="str">
        <f>IF(SUMPRODUCT(--(NOT(ISERR(SEARCH({"T","P"},'CDR Project Planner'!$C6))))),'CDR Project Planner'!B6,"")</f>
        <v>System</v>
      </c>
      <c r="C6" s="33" t="str">
        <f>IF(SUMPRODUCT(--(NOT(ISERR(SEARCH({"T","P"},'CDR Project Planner'!$C6))))),'CDR Project Planner'!C6,"")</f>
        <v>P &amp; Br &amp; C &amp; Ba</v>
      </c>
      <c r="D6" s="33"/>
      <c r="E6" s="33"/>
      <c r="F6" s="33"/>
      <c r="G6" s="33"/>
      <c r="H6" s="45"/>
    </row>
    <row r="7" spans="1:68" s="4" customFormat="1" ht="15" outlineLevel="1" x14ac:dyDescent="0.25">
      <c r="A7" s="1"/>
      <c r="B7" s="40" t="str">
        <f>IF(SUMPRODUCT(--(NOT(ISERR(SEARCH({"T","P"},'CDR Project Planner'!$C7))))),'CDR Project Planner'!B7,"")</f>
        <v/>
      </c>
      <c r="C7" s="33" t="str">
        <f>IF(SUMPRODUCT(--(NOT(ISERR(SEARCH({"T","P"},'CDR Project Planner'!$C7))))),'CDR Project Planner'!C7,"")</f>
        <v/>
      </c>
      <c r="D7" s="33" t="str">
        <f>IF(SUMPRODUCT(--(NOT(ISERR(SEARCH({"T","P"},'CDR Project Planner'!$C7))))),'CDR Project Planner'!D7,"")</f>
        <v/>
      </c>
      <c r="E7" s="33" t="str">
        <f>IF(SUMPRODUCT(--(NOT(ISERR(SEARCH({"T","P"},'CDR Project Planner'!$C7))))),'CDR Project Planner'!E7,"")</f>
        <v/>
      </c>
      <c r="F7" s="33" t="str">
        <f>IF(SUMPRODUCT(--(NOT(ISERR(SEARCH({"T","P"},'CDR Project Planner'!$C7))))),'CDR Project Planner'!F7,"")</f>
        <v/>
      </c>
      <c r="G7" s="33" t="str">
        <f>IF(SUMPRODUCT(--(NOT(ISERR(SEARCH({"T","P"},'CDR Project Planner'!$C7))))),'CDR Project Planner'!G7,"")</f>
        <v/>
      </c>
      <c r="H7" s="45" t="str">
        <f>IF(SUMPRODUCT(--(NOT(ISERR(SEARCH({"T","P"},'CDR Project Planner'!$C7))))),'CDR Project Planner'!H7*100,"")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0" t="str">
        <f>IF(SUMPRODUCT(--(NOT(ISERR(SEARCH({"T","P"},'CDR Project Planner'!$C8))))),'CDR Project Planner'!B8,"")</f>
        <v/>
      </c>
      <c r="C8" s="33" t="str">
        <f>IF(SUMPRODUCT(--(NOT(ISERR(SEARCH({"T","P"},'CDR Project Planner'!$C8))))),'CDR Project Planner'!C8,"")</f>
        <v/>
      </c>
      <c r="D8" s="33" t="str">
        <f>IF(SUMPRODUCT(--(NOT(ISERR(SEARCH({"T","P"},'CDR Project Planner'!$C8))))),'CDR Project Planner'!D8,"")</f>
        <v/>
      </c>
      <c r="E8" s="33" t="str">
        <f>IF(SUMPRODUCT(--(NOT(ISERR(SEARCH({"T","P"},'CDR Project Planner'!$C8))))),'CDR Project Planner'!E8,"")</f>
        <v/>
      </c>
      <c r="F8" s="33" t="str">
        <f>IF(SUMPRODUCT(--(NOT(ISERR(SEARCH({"T","P"},'CDR Project Planner'!$C8))))),'CDR Project Planner'!F8,"")</f>
        <v/>
      </c>
      <c r="G8" s="33" t="str">
        <f>IF(SUMPRODUCT(--(NOT(ISERR(SEARCH({"T","P"},'CDR Project Planner'!$C8))))),'CDR Project Planner'!G8,"")</f>
        <v/>
      </c>
      <c r="H8" s="45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0" t="str">
        <f>IF(SUMPRODUCT(--(NOT(ISERR(SEARCH({"T","P"},'CDR Project Planner'!$C9))))),'CDR Project Planner'!B9,"")</f>
        <v/>
      </c>
      <c r="C9" s="33" t="str">
        <f>IF(SUMPRODUCT(--(NOT(ISERR(SEARCH({"T","P"},'CDR Project Planner'!$C9))))),'CDR Project Planner'!C9,"")</f>
        <v/>
      </c>
      <c r="D9" s="33" t="str">
        <f>IF(SUMPRODUCT(--(NOT(ISERR(SEARCH({"T","P"},'CDR Project Planner'!$C9))))),'CDR Project Planner'!D9,"")</f>
        <v/>
      </c>
      <c r="E9" s="33" t="str">
        <f>IF(SUMPRODUCT(--(NOT(ISERR(SEARCH({"T","P"},'CDR Project Planner'!$C9))))),'CDR Project Planner'!E9,"")</f>
        <v/>
      </c>
      <c r="F9" s="33" t="str">
        <f>IF(SUMPRODUCT(--(NOT(ISERR(SEARCH({"T","P"},'CDR Project Planner'!$C9))))),'CDR Project Planner'!F9,"")</f>
        <v/>
      </c>
      <c r="G9" s="33" t="str">
        <f>IF(SUMPRODUCT(--(NOT(ISERR(SEARCH({"T","P"},'CDR Project Planner'!$C9))))),'CDR Project Planner'!G9,"")</f>
        <v/>
      </c>
      <c r="H9" s="45" t="str">
        <f>IF(SUMPRODUCT(--(NOT(ISERR(SEARCH({"T","P"},'CDR Project Planner'!$C9))))),'CDR Project Planner'!H9*100,"")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IF(SUMPRODUCT(--(NOT(ISERR(SEARCH({"T","P"},'CDR Project Planner'!$C10))))),'CDR Project Planner'!B10,"")</f>
        <v/>
      </c>
      <c r="C10" s="33" t="str">
        <f>IF(SUMPRODUCT(--(NOT(ISERR(SEARCH({"T","P"},'CDR Project Planner'!$C10))))),'CDR Project Planner'!C10,"")</f>
        <v/>
      </c>
      <c r="D10" s="33" t="str">
        <f>IF(SUMPRODUCT(--(NOT(ISERR(SEARCH({"T","P"},'CDR Project Planner'!$C10))))),'CDR Project Planner'!D10,"")</f>
        <v/>
      </c>
      <c r="E10" s="33" t="str">
        <f>IF(SUMPRODUCT(--(NOT(ISERR(SEARCH({"T","P"},'CDR Project Planner'!$C10))))),'CDR Project Planner'!E10,"")</f>
        <v/>
      </c>
      <c r="F10" s="33" t="str">
        <f>IF(SUMPRODUCT(--(NOT(ISERR(SEARCH({"T","P"},'CDR Project Planner'!$C10))))),'CDR Project Planner'!F10,"")</f>
        <v/>
      </c>
      <c r="G10" s="33" t="str">
        <f>IF(SUMPRODUCT(--(NOT(ISERR(SEARCH({"T","P"},'CDR Project Planner'!$C10))))),'CDR Project Planner'!G10,"")</f>
        <v/>
      </c>
      <c r="H10" s="45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IF(SUMPRODUCT(--(NOT(ISERR(SEARCH({"T","P"},'CDR Project Planner'!#REF!))))),'CDR Project Planner'!#REF!,"")</f>
        <v/>
      </c>
      <c r="C11" s="33" t="str">
        <f>IF(SUMPRODUCT(--(NOT(ISERR(SEARCH({"T","P"},'CDR Project Planner'!#REF!))))),'CDR Project Planner'!#REF!,"")</f>
        <v/>
      </c>
      <c r="D11" s="33" t="str">
        <f>IF(SUMPRODUCT(--(NOT(ISERR(SEARCH({"T","P"},'CDR Project Planner'!#REF!))))),'CDR Project Planner'!#REF!,"")</f>
        <v/>
      </c>
      <c r="E11" s="33" t="str">
        <f>IF(SUMPRODUCT(--(NOT(ISERR(SEARCH({"T","P"},'CDR Project Planner'!#REF!))))),'CDR Project Planner'!#REF!,"")</f>
        <v/>
      </c>
      <c r="F11" s="33" t="str">
        <f>IF(SUMPRODUCT(--(NOT(ISERR(SEARCH({"T","P"},'CDR Project Planner'!#REF!))))),'CDR Project Planner'!#REF!,"")</f>
        <v/>
      </c>
      <c r="G11" s="33" t="str">
        <f>IF(SUMPRODUCT(--(NOT(ISERR(SEARCH({"T","P"},'CDR Project Planner'!#REF!))))),'CDR Project Planner'!#REF!,"")</f>
        <v/>
      </c>
      <c r="H11" s="45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IF(SUMPRODUCT(--(NOT(ISERR(SEARCH({"T","P"},'CDR Project Planner'!$C11))))),'CDR Project Planner'!B11,"")</f>
        <v/>
      </c>
      <c r="C12" s="33" t="str">
        <f>IF(SUMPRODUCT(--(NOT(ISERR(SEARCH({"T","P"},'CDR Project Planner'!$C11))))),'CDR Project Planner'!C11,"")</f>
        <v/>
      </c>
      <c r="D12" s="33" t="str">
        <f>IF(SUMPRODUCT(--(NOT(ISERR(SEARCH({"T","P"},'CDR Project Planner'!$C11))))),'CDR Project Planner'!D11,"")</f>
        <v/>
      </c>
      <c r="E12" s="33" t="str">
        <f>IF(SUMPRODUCT(--(NOT(ISERR(SEARCH({"T","P"},'CDR Project Planner'!$C11))))),'CDR Project Planner'!E11,"")</f>
        <v/>
      </c>
      <c r="F12" s="33" t="str">
        <f>IF(SUMPRODUCT(--(NOT(ISERR(SEARCH({"T","P"},'CDR Project Planner'!$C11))))),'CDR Project Planner'!F11,"")</f>
        <v/>
      </c>
      <c r="G12" s="33" t="str">
        <f>IF(SUMPRODUCT(--(NOT(ISERR(SEARCH({"T","P"},'CDR Project Planner'!$C11))))),'CDR Project Planner'!G11,"")</f>
        <v/>
      </c>
      <c r="H12" s="45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IF(SUMPRODUCT(--(NOT(ISERR(SEARCH({"T","P"},'CDR Project Planner'!#REF!))))),'CDR Project Planner'!#REF!,"")</f>
        <v/>
      </c>
      <c r="C13" s="33" t="str">
        <f>IF(SUMPRODUCT(--(NOT(ISERR(SEARCH({"T","P"},'CDR Project Planner'!#REF!))))),'CDR Project Planner'!#REF!,"")</f>
        <v/>
      </c>
      <c r="D13" s="33" t="str">
        <f>IF(SUMPRODUCT(--(NOT(ISERR(SEARCH({"T","P"},'CDR Project Planner'!#REF!))))),'CDR Project Planner'!#REF!,"")</f>
        <v/>
      </c>
      <c r="E13" s="33" t="str">
        <f>IF(SUMPRODUCT(--(NOT(ISERR(SEARCH({"T","P"},'CDR Project Planner'!#REF!))))),'CDR Project Planner'!#REF!,"")</f>
        <v/>
      </c>
      <c r="F13" s="33" t="str">
        <f>IF(SUMPRODUCT(--(NOT(ISERR(SEARCH({"T","P"},'CDR Project Planner'!#REF!))))),'CDR Project Planner'!#REF!,"")</f>
        <v/>
      </c>
      <c r="G13" s="33" t="str">
        <f>IF(SUMPRODUCT(--(NOT(ISERR(SEARCH({"T","P"},'CDR Project Planner'!#REF!))))),'CDR Project Planner'!#REF!,"")</f>
        <v/>
      </c>
      <c r="H13" s="45" t="str">
        <f>IF(SUMPRODUCT(--(NOT(ISERR(SEARCH({"T","P"},'CDR Project Planner'!#REF!))))),'CDR Project Planner'!#REF!*100,"")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0" t="str">
        <f>IF(SUMPRODUCT(--(NOT(ISERR(SEARCH({"T","P"},'CDR Project Planner'!#REF!))))),'CDR Project Planner'!#REF!,"")</f>
        <v/>
      </c>
      <c r="C14" s="33" t="str">
        <f>IF(SUMPRODUCT(--(NOT(ISERR(SEARCH({"T","P"},'CDR Project Planner'!#REF!))))),'CDR Project Planner'!#REF!,"")</f>
        <v/>
      </c>
      <c r="D14" s="33" t="str">
        <f>IF(SUMPRODUCT(--(NOT(ISERR(SEARCH({"T","P"},'CDR Project Planner'!#REF!))))),'CDR Project Planner'!#REF!,"")</f>
        <v/>
      </c>
      <c r="E14" s="33" t="str">
        <f>IF(SUMPRODUCT(--(NOT(ISERR(SEARCH({"T","P"},'CDR Project Planner'!#REF!))))),'CDR Project Planner'!#REF!,"")</f>
        <v/>
      </c>
      <c r="F14" s="33" t="str">
        <f>IF(SUMPRODUCT(--(NOT(ISERR(SEARCH({"T","P"},'CDR Project Planner'!#REF!))))),'CDR Project Planner'!#REF!,"")</f>
        <v/>
      </c>
      <c r="G14" s="33" t="str">
        <f>IF(SUMPRODUCT(--(NOT(ISERR(SEARCH({"T","P"},'CDR Project Planner'!#REF!))))),'CDR Project Planner'!#REF!,"")</f>
        <v/>
      </c>
      <c r="H14" s="45" t="str">
        <f>IF(SUMPRODUCT(--(NOT(ISERR(SEARCH({"T","P"},'CDR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IF(SUMPRODUCT(--(NOT(ISERR(SEARCH({"T","P"},'CDR Project Planner'!#REF!))))),'CDR Project Planner'!#REF!,"")</f>
        <v/>
      </c>
      <c r="C15" s="33" t="str">
        <f>IF(SUMPRODUCT(--(NOT(ISERR(SEARCH({"T","P"},'CDR Project Planner'!#REF!))))),'CDR Project Planner'!#REF!,"")</f>
        <v/>
      </c>
      <c r="D15" s="33" t="str">
        <f>IF(SUMPRODUCT(--(NOT(ISERR(SEARCH({"T","P"},'CDR Project Planner'!#REF!))))),'CDR Project Planner'!#REF!,"")</f>
        <v/>
      </c>
      <c r="E15" s="33" t="str">
        <f>IF(SUMPRODUCT(--(NOT(ISERR(SEARCH({"T","P"},'CDR Project Planner'!#REF!))))),'CDR Project Planner'!#REF!,"")</f>
        <v/>
      </c>
      <c r="F15" s="33" t="str">
        <f>IF(SUMPRODUCT(--(NOT(ISERR(SEARCH({"T","P"},'CDR Project Planner'!#REF!))))),'CDR Project Planner'!#REF!,"")</f>
        <v/>
      </c>
      <c r="G15" s="33" t="str">
        <f>IF(SUMPRODUCT(--(NOT(ISERR(SEARCH({"T","P"},'CDR Project Planner'!#REF!))))),'CDR Project Planner'!#REF!,"")</f>
        <v/>
      </c>
      <c r="H15" s="45" t="str">
        <f>IF(SUMPRODUCT(--(NOT(ISERR(SEARCH({"T","P"},'CDR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39" t="str">
        <f>IF(SUMPRODUCT(--(NOT(ISERR(SEARCH({"T","P"},'CDR Project Planner'!$C16))))),'CDR Project Planner'!B16,"")</f>
        <v>VHDL</v>
      </c>
      <c r="C16" s="33" t="str">
        <f>IF(SUMPRODUCT(--(NOT(ISERR(SEARCH({"T","P"},'CDR Project Planner'!$C16))))),'CDR Project Planner'!C16,"")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0" t="str">
        <f>IF(SUMPRODUCT(--(NOT(ISERR(SEARCH({"T","P"},'CDR Project Planner'!$C17))))),'CDR Project Planner'!B17,"")</f>
        <v/>
      </c>
      <c r="C17" s="33" t="str">
        <f>IF(SUMPRODUCT(--(NOT(ISERR(SEARCH({"T","P"},'CDR Project Planner'!$C17))))),'CDR Project Planner'!C17,"")</f>
        <v/>
      </c>
      <c r="D17" s="33" t="str">
        <f>IF(SUMPRODUCT(--(NOT(ISERR(SEARCH({"T","P"},'CDR Project Planner'!$C17))))),'CDR Project Planner'!D17,"")</f>
        <v/>
      </c>
      <c r="E17" s="33" t="str">
        <f>IF(SUMPRODUCT(--(NOT(ISERR(SEARCH({"T","P"},'CDR Project Planner'!$C17))))),'CDR Project Planner'!E17,"")</f>
        <v/>
      </c>
      <c r="F17" s="33" t="str">
        <f>IF(SUMPRODUCT(--(NOT(ISERR(SEARCH({"T","P"},'CDR Project Planner'!$C17))))),'CDR Project Planner'!F17,"")</f>
        <v/>
      </c>
      <c r="G17" s="33" t="str">
        <f>IF(SUMPRODUCT(--(NOT(ISERR(SEARCH({"T","P"},'CDR Project Planner'!$C17))))),'CDR Project Planner'!G17,"")</f>
        <v/>
      </c>
      <c r="H17" s="45" t="str">
        <f>IF(SUMPRODUCT(--(NOT(ISERR(SEARCH({"T","P"},'CDR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0" t="str">
        <f>IF(SUMPRODUCT(--(NOT(ISERR(SEARCH({"T","P"},'CDR Project Planner'!$C18))))),'CDR Project Planner'!B18,"")</f>
        <v>Create Ultrasonic sensor Module</v>
      </c>
      <c r="C18" s="33" t="str">
        <f>IF(SUMPRODUCT(--(NOT(ISERR(SEARCH({"T","P"},'CDR Project Planner'!$C18))))),'CDR Project Planner'!C18,"")</f>
        <v>P</v>
      </c>
      <c r="D18" s="33">
        <f>IF(SUMPRODUCT(--(NOT(ISERR(SEARCH({"T","P"},'CDR Project Planner'!$C18))))),'CDR Project Planner'!D18,"")</f>
        <v>25</v>
      </c>
      <c r="E18" s="33">
        <f>IF(SUMPRODUCT(--(NOT(ISERR(SEARCH({"T","P"},'CDR Project Planner'!$C18))))),'CDR Project Planner'!E18,"")</f>
        <v>7</v>
      </c>
      <c r="F18" s="33">
        <f>IF(SUMPRODUCT(--(NOT(ISERR(SEARCH({"T","P"},'CDR Project Planner'!$C18))))),'CDR Project Planner'!F18,"")</f>
        <v>34</v>
      </c>
      <c r="G18" s="33">
        <f>IF(SUMPRODUCT(--(NOT(ISERR(SEARCH({"T","P"},'CDR Project Planner'!$C18))))),'CDR Project Planner'!G18,"")</f>
        <v>2</v>
      </c>
      <c r="H18" s="45">
        <f>IF(SUMPRODUCT(--(NOT(ISERR(SEARCH({"T","P"},'CDR Project Planner'!$C18))))),'CDR Project Planner'!H17,"")</f>
        <v>0.5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0" t="str">
        <f>IF(SUMPRODUCT(--(NOT(ISERR(SEARCH({"T","P"},'CDR Project Planner'!#REF!))))),'CDR Project Planner'!#REF!,"")</f>
        <v/>
      </c>
      <c r="C19" s="33" t="str">
        <f>IF(SUMPRODUCT(--(NOT(ISERR(SEARCH({"T","P"},'CDR Project Planner'!#REF!))))),'CDR Project Planner'!#REF!,"")</f>
        <v/>
      </c>
      <c r="D19" s="33" t="str">
        <f>IF(SUMPRODUCT(--(NOT(ISERR(SEARCH({"T","P"},'CDR Project Planner'!#REF!))))),'CDR Project Planner'!#REF!,"")</f>
        <v/>
      </c>
      <c r="E19" s="33" t="str">
        <f>IF(SUMPRODUCT(--(NOT(ISERR(SEARCH({"T","P"},'CDR Project Planner'!#REF!))))),'CDR Project Planner'!#REF!,"")</f>
        <v/>
      </c>
      <c r="F19" s="33" t="str">
        <f>IF(SUMPRODUCT(--(NOT(ISERR(SEARCH({"T","P"},'CDR Project Planner'!#REF!))))),'CDR Project Planner'!#REF!,"")</f>
        <v/>
      </c>
      <c r="G19" s="33" t="str">
        <f>IF(SUMPRODUCT(--(NOT(ISERR(SEARCH({"T","P"},'CDR Project Planner'!#REF!))))),'CDR Project Planner'!#REF!,"")</f>
        <v/>
      </c>
      <c r="H19" s="45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0" t="str">
        <f>IF(SUMPRODUCT(--(NOT(ISERR(SEARCH({"T","P"},'CDR Project Planner'!#REF!))))),'CDR Project Planner'!#REF!,"")</f>
        <v/>
      </c>
      <c r="C20" s="33" t="str">
        <f>IF(SUMPRODUCT(--(NOT(ISERR(SEARCH({"T","P"},'CDR Project Planner'!#REF!))))),'CDR Project Planner'!#REF!,"")</f>
        <v/>
      </c>
      <c r="D20" s="33" t="str">
        <f>IF(SUMPRODUCT(--(NOT(ISERR(SEARCH({"T","P"},'CDR Project Planner'!#REF!))))),'CDR Project Planner'!#REF!,"")</f>
        <v/>
      </c>
      <c r="E20" s="33" t="str">
        <f>IF(SUMPRODUCT(--(NOT(ISERR(SEARCH({"T","P"},'CDR Project Planner'!#REF!))))),'CDR Project Planner'!#REF!,"")</f>
        <v/>
      </c>
      <c r="F20" s="33" t="str">
        <f>IF(SUMPRODUCT(--(NOT(ISERR(SEARCH({"T","P"},'CDR Project Planner'!#REF!))))),'CDR Project Planner'!#REF!,"")</f>
        <v/>
      </c>
      <c r="G20" s="33" t="str">
        <f>IF(SUMPRODUCT(--(NOT(ISERR(SEARCH({"T","P"},'CDR Project Planner'!#REF!))))),'CDR Project Planner'!#REF!,"")</f>
        <v/>
      </c>
      <c r="H20" s="45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2" t="str">
        <f>IF(SUMPRODUCT(--(NOT(ISERR(SEARCH({"T","P"},'CDR Project Planner'!$C21))))),'CDR Project Planner'!B21,"")</f>
        <v/>
      </c>
      <c r="C21" s="33" t="str">
        <f>IF(SUMPRODUCT(--(NOT(ISERR(SEARCH({"T","P"},'CDR Project Planner'!$C21))))),'CDR Project Planner'!C21,"")</f>
        <v/>
      </c>
      <c r="D21" s="33" t="str">
        <f>IF(SUMPRODUCT(--(NOT(ISERR(SEARCH({"T","P"},'CDR Project Planner'!$C21))))),'CDR Project Planner'!D21,"")</f>
        <v/>
      </c>
      <c r="E21" s="33" t="str">
        <f>IF(SUMPRODUCT(--(NOT(ISERR(SEARCH({"T","P"},'CDR Project Planner'!$C21))))),'CDR Project Planner'!E21,"")</f>
        <v/>
      </c>
      <c r="F21" s="33" t="str">
        <f>IF(SUMPRODUCT(--(NOT(ISERR(SEARCH({"T","P"},'CDR Project Planner'!$C21))))),'CDR Project Planner'!F21,"")</f>
        <v/>
      </c>
      <c r="G21" s="33" t="str">
        <f>IF(SUMPRODUCT(--(NOT(ISERR(SEARCH({"T","P"},'CDR Project Planner'!$C21))))),'CDR Project Planner'!G21,"")</f>
        <v/>
      </c>
      <c r="H21" s="45" t="str">
        <f>IF(SUMPRODUCT(--(NOT(ISERR(SEARCH({"T","P"},'CDR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2" t="str">
        <f>IF(SUMPRODUCT(--(NOT(ISERR(SEARCH({"T","P"},'CDR Project Planner'!$C22))))),'CDR Project Planner'!B22,"")</f>
        <v/>
      </c>
      <c r="C22" s="33" t="str">
        <f>IF(SUMPRODUCT(--(NOT(ISERR(SEARCH({"T","P"},'CDR Project Planner'!$C22))))),'CDR Project Planner'!C22,"")</f>
        <v/>
      </c>
      <c r="D22" s="33" t="str">
        <f>IF(SUMPRODUCT(--(NOT(ISERR(SEARCH({"T","P"},'CDR Project Planner'!$C22))))),'CDR Project Planner'!D22,"")</f>
        <v/>
      </c>
      <c r="E22" s="33" t="str">
        <f>IF(SUMPRODUCT(--(NOT(ISERR(SEARCH({"T","P"},'CDR Project Planner'!$C22))))),'CDR Project Planner'!E22,"")</f>
        <v/>
      </c>
      <c r="F22" s="33" t="str">
        <f>IF(SUMPRODUCT(--(NOT(ISERR(SEARCH({"T","P"},'CDR Project Planner'!$C22))))),'CDR Project Planner'!F22,"")</f>
        <v/>
      </c>
      <c r="G22" s="33" t="str">
        <f>IF(SUMPRODUCT(--(NOT(ISERR(SEARCH({"T","P"},'CDR Project Planner'!$C22))))),'CDR Project Planner'!G22,"")</f>
        <v/>
      </c>
      <c r="H22" s="45" t="str">
        <f>IF(SUMPRODUCT(--(NOT(ISERR(SEARCH({"T","P"},'CDR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2" t="str">
        <f>IF(SUMPRODUCT(--(NOT(ISERR(SEARCH({"T","P"},'CDR Project Planner'!$C23))))),'CDR Project Planner'!B23,"")</f>
        <v/>
      </c>
      <c r="C23" s="33" t="str">
        <f>IF(SUMPRODUCT(--(NOT(ISERR(SEARCH({"T","P"},'CDR Project Planner'!$C23))))),'CDR Project Planner'!C23,"")</f>
        <v/>
      </c>
      <c r="D23" s="33" t="str">
        <f>IF(SUMPRODUCT(--(NOT(ISERR(SEARCH({"T","P"},'CDR Project Planner'!$C23))))),'CDR Project Planner'!D23,"")</f>
        <v/>
      </c>
      <c r="E23" s="33" t="str">
        <f>IF(SUMPRODUCT(--(NOT(ISERR(SEARCH({"T","P"},'CDR Project Planner'!$C23))))),'CDR Project Planner'!E23,"")</f>
        <v/>
      </c>
      <c r="F23" s="33" t="str">
        <f>IF(SUMPRODUCT(--(NOT(ISERR(SEARCH({"T","P"},'CDR Project Planner'!$C23))))),'CDR Project Planner'!F23,"")</f>
        <v/>
      </c>
      <c r="G23" s="33" t="str">
        <f>IF(SUMPRODUCT(--(NOT(ISERR(SEARCH({"T","P"},'CDR Project Planner'!$C23))))),'CDR Project Planner'!G23,"")</f>
        <v/>
      </c>
      <c r="H23" s="45" t="str">
        <f>IF(SUMPRODUCT(--(NOT(ISERR(SEARCH({"T","P"},'CDR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2" t="str">
        <f>IF(SUMPRODUCT(--(NOT(ISERR(SEARCH({"T","P"},'CDR Project Planner'!$C25))))),'CDR Project Planner'!B25,"")</f>
        <v/>
      </c>
      <c r="C24" s="33" t="str">
        <f>IF(SUMPRODUCT(--(NOT(ISERR(SEARCH({"T","P"},'CDR Project Planner'!$C25))))),'CDR Project Planner'!C25,"")</f>
        <v/>
      </c>
      <c r="D24" s="33" t="str">
        <f>IF(SUMPRODUCT(--(NOT(ISERR(SEARCH({"T","P"},'CDR Project Planner'!$C25))))),'CDR Project Planner'!D25,"")</f>
        <v/>
      </c>
      <c r="E24" s="33" t="str">
        <f>IF(SUMPRODUCT(--(NOT(ISERR(SEARCH({"T","P"},'CDR Project Planner'!$C25))))),'CDR Project Planner'!E25,"")</f>
        <v/>
      </c>
      <c r="F24" s="33" t="str">
        <f>IF(SUMPRODUCT(--(NOT(ISERR(SEARCH({"T","P"},'CDR Project Planner'!$C25))))),'CDR Project Planner'!F25,"")</f>
        <v/>
      </c>
      <c r="G24" s="33" t="str">
        <f>IF(SUMPRODUCT(--(NOT(ISERR(SEARCH({"T","P"},'CDR Project Planner'!$C25))))),'CDR Project Planner'!G25,"")</f>
        <v/>
      </c>
      <c r="H24" s="45" t="str">
        <f>IF(SUMPRODUCT(--(NOT(ISERR(SEARCH({"T","P"},'CDR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2" t="str">
        <f>IF(SUMPRODUCT(--(NOT(ISERR(SEARCH({"T","P"},'CDR Project Planner'!#REF!))))),'CDR Project Planner'!#REF!,"")</f>
        <v/>
      </c>
      <c r="C25" s="33" t="str">
        <f>IF(SUMPRODUCT(--(NOT(ISERR(SEARCH({"T","P"},'CDR Project Planner'!#REF!))))),'CDR Project Planner'!#REF!,"")</f>
        <v/>
      </c>
      <c r="D25" s="33" t="str">
        <f>IF(SUMPRODUCT(--(NOT(ISERR(SEARCH({"T","P"},'CDR Project Planner'!#REF!))))),'CDR Project Planner'!#REF!,"")</f>
        <v/>
      </c>
      <c r="E25" s="33" t="str">
        <f>IF(SUMPRODUCT(--(NOT(ISERR(SEARCH({"T","P"},'CDR Project Planner'!#REF!))))),'CDR Project Planner'!#REF!,"")</f>
        <v/>
      </c>
      <c r="F25" s="33" t="str">
        <f>IF(SUMPRODUCT(--(NOT(ISERR(SEARCH({"T","P"},'CDR Project Planner'!#REF!))))),'CDR Project Planner'!#REF!,"")</f>
        <v/>
      </c>
      <c r="G25" s="33" t="str">
        <f>IF(SUMPRODUCT(--(NOT(ISERR(SEARCH({"T","P"},'CDR Project Planner'!#REF!))))),'CDR Project Planner'!#REF!,"")</f>
        <v/>
      </c>
      <c r="H25" s="45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32" t="str">
        <f>IF(SUMPRODUCT(--(NOT(ISERR(SEARCH({"T","P"},'CDR Project Planner'!#REF!))))),'CDR Project Planner'!#REF!,"")</f>
        <v/>
      </c>
      <c r="C26" s="33" t="str">
        <f>IF(SUMPRODUCT(--(NOT(ISERR(SEARCH({"T","P"},'CDR Project Planner'!#REF!))))),'CDR Project Planner'!#REF!,"")</f>
        <v/>
      </c>
      <c r="D26" s="33" t="str">
        <f>IF(SUMPRODUCT(--(NOT(ISERR(SEARCH({"T","P"},'CDR Project Planner'!#REF!))))),'CDR Project Planner'!#REF!,"")</f>
        <v/>
      </c>
      <c r="E26" s="33" t="str">
        <f>IF(SUMPRODUCT(--(NOT(ISERR(SEARCH({"T","P"},'CDR Project Planner'!#REF!))))),'CDR Project Planner'!#REF!,"")</f>
        <v/>
      </c>
      <c r="F26" s="33" t="str">
        <f>IF(SUMPRODUCT(--(NOT(ISERR(SEARCH({"T","P"},'CDR Project Planner'!#REF!))))),'CDR Project Planner'!#REF!,"")</f>
        <v/>
      </c>
      <c r="G26" s="33" t="str">
        <f>IF(SUMPRODUCT(--(NOT(ISERR(SEARCH({"T","P"},'CDR Project Planner'!#REF!))))),'CDR Project Planner'!#REF!,"")</f>
        <v/>
      </c>
      <c r="H26" s="45" t="str">
        <f>IF(SUMPRODUCT(--(NOT(ISERR(SEARCH({"T","P"},'CDR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9" t="str">
        <f>IF(SUMPRODUCT(--(NOT(ISERR(SEARCH({"T","P"},'CDR Project Planner'!$C34))))),'CDR Project Planner'!B34,"")</f>
        <v/>
      </c>
      <c r="C27" s="33" t="str">
        <f>IF(SUMPRODUCT(--(NOT(ISERR(SEARCH({"T","P"},'CDR Project Planner'!$C34))))),'CDR Project Planner'!C34,"")</f>
        <v/>
      </c>
      <c r="D27" s="33"/>
      <c r="E27" s="33"/>
      <c r="F27" s="33"/>
      <c r="G27" s="33"/>
      <c r="H27" s="45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0" t="str">
        <f>IF(SUMPRODUCT(--(NOT(ISERR(SEARCH({"T","P"},'CDR Project Planner'!#REF!))))),'CDR Project Planner'!#REF!,"")</f>
        <v/>
      </c>
      <c r="C28" s="33" t="str">
        <f>IF(SUMPRODUCT(--(NOT(ISERR(SEARCH({"T","P"},'CDR Project Planner'!#REF!))))),'CDR Project Planner'!#REF!,"")</f>
        <v/>
      </c>
      <c r="D28" s="33" t="str">
        <f>IF(SUMPRODUCT(--(NOT(ISERR(SEARCH({"T","P"},'CDR Project Planner'!#REF!))))),'CDR Project Planner'!#REF!,"")</f>
        <v/>
      </c>
      <c r="E28" s="33" t="str">
        <f>IF(SUMPRODUCT(--(NOT(ISERR(SEARCH({"T","P"},'CDR Project Planner'!#REF!))))),'CDR Project Planner'!#REF!,"")</f>
        <v/>
      </c>
      <c r="F28" s="33" t="str">
        <f>IF(SUMPRODUCT(--(NOT(ISERR(SEARCH({"T","P"},'CDR Project Planner'!#REF!))))),'CDR Project Planner'!#REF!,"")</f>
        <v/>
      </c>
      <c r="G28" s="33" t="str">
        <f>IF(SUMPRODUCT(--(NOT(ISERR(SEARCH({"T","P"},'CDR Project Planner'!#REF!))))),'CDR Project Planner'!#REF!,"")</f>
        <v/>
      </c>
      <c r="H28" s="45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0" t="str">
        <f>IF(SUMPRODUCT(--(NOT(ISERR(SEARCH({"T","P"},'CDR Project Planner'!$C35))))),'CDR Project Planner'!B35,"")</f>
        <v/>
      </c>
      <c r="C29" s="33" t="str">
        <f>IF(SUMPRODUCT(--(NOT(ISERR(SEARCH({"T","P"},'CDR Project Planner'!$C35))))),'CDR Project Planner'!C35,"")</f>
        <v/>
      </c>
      <c r="D29" s="33" t="str">
        <f>IF(SUMPRODUCT(--(NOT(ISERR(SEARCH({"T","P"},'CDR Project Planner'!$C35))))),'CDR Project Planner'!D35,"")</f>
        <v/>
      </c>
      <c r="E29" s="33" t="str">
        <f>IF(SUMPRODUCT(--(NOT(ISERR(SEARCH({"T","P"},'CDR Project Planner'!$C35))))),'CDR Project Planner'!E35,"")</f>
        <v/>
      </c>
      <c r="F29" s="33" t="str">
        <f>IF(SUMPRODUCT(--(NOT(ISERR(SEARCH({"T","P"},'CDR Project Planner'!$C35))))),'CDR Project Planner'!F35,"")</f>
        <v/>
      </c>
      <c r="G29" s="33" t="str">
        <f>IF(SUMPRODUCT(--(NOT(ISERR(SEARCH({"T","P"},'CDR Project Planner'!$C35))))),'CDR Project Planner'!G35,"")</f>
        <v/>
      </c>
      <c r="H29" s="45" t="str">
        <f>IF(SUMPRODUCT(--(NOT(ISERR(SEARCH({"T","P"},'CDR Project Planner'!$C35))))),'CDR Project Planner'!H34*100,"")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IF(SUMPRODUCT(--(NOT(ISERR(SEARCH({"T","P"},'CDR Project Planner'!$C40))))),'CDR Project Planner'!B40,"")</f>
        <v>Project Management</v>
      </c>
      <c r="C30" s="33" t="str">
        <f>IF(SUMPRODUCT(--(NOT(ISERR(SEARCH({"T","P"},'CDR Project Planner'!$C40))))),'CDR Project Planner'!C40,"")</f>
        <v>An &amp; T &amp; ?</v>
      </c>
      <c r="D30" s="33"/>
      <c r="E30" s="33"/>
      <c r="F30" s="33"/>
      <c r="G30" s="33"/>
      <c r="H30" s="45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32" t="str">
        <f>IF(SUMPRODUCT(--(NOT(ISERR(SEARCH({"T","P"},'CDR Project Planner'!$C41))))),'CDR Project Planner'!B41,"")</f>
        <v/>
      </c>
      <c r="C31" s="33" t="str">
        <f>IF(SUMPRODUCT(--(NOT(ISERR(SEARCH({"T","P"},'CDR Project Planner'!$C41))))),'CDR Project Planner'!C41,"")</f>
        <v/>
      </c>
      <c r="D31" s="33" t="str">
        <f>IF(SUMPRODUCT(--(NOT(ISERR(SEARCH({"T","P"},'CDR Project Planner'!$C41))))),'CDR Project Planner'!D41,"")</f>
        <v/>
      </c>
      <c r="E31" s="33" t="str">
        <f>IF(SUMPRODUCT(--(NOT(ISERR(SEARCH({"T","P"},'CDR Project Planner'!$C41))))),'CDR Project Planner'!E41,"")</f>
        <v/>
      </c>
      <c r="F31" s="33" t="str">
        <f>IF(SUMPRODUCT(--(NOT(ISERR(SEARCH({"T","P"},'CDR Project Planner'!$C41))))),'CDR Project Planner'!F41,"")</f>
        <v/>
      </c>
      <c r="G31" s="33" t="str">
        <f>IF(SUMPRODUCT(--(NOT(ISERR(SEARCH({"T","P"},'CDR Project Planner'!$C41))))),'CDR Project Planner'!G41,"")</f>
        <v/>
      </c>
      <c r="H31" s="45" t="str">
        <f>IF(SUMPRODUCT(--(NOT(ISERR(SEARCH({"T","P"},'CDR Project Planner'!$C41))))),'CDR Project Planner'!H40*100,"")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IF(SUMPRODUCT(--(NOT(ISERR(SEARCH({"T","P"},'CDR Project Planner'!$C42))))),'CDR Project Planner'!B42,"")</f>
        <v/>
      </c>
      <c r="C32" s="33" t="str">
        <f>IF(SUMPRODUCT(--(NOT(ISERR(SEARCH({"T","P"},'CDR Project Planner'!$C42))))),'CDR Project Planner'!C42,"")</f>
        <v/>
      </c>
      <c r="D32" s="33" t="str">
        <f>IF(SUMPRODUCT(--(NOT(ISERR(SEARCH({"T","P"},'CDR Project Planner'!$C42))))),'CDR Project Planner'!D42,"")</f>
        <v/>
      </c>
      <c r="E32" s="33" t="str">
        <f>IF(SUMPRODUCT(--(NOT(ISERR(SEARCH({"T","P"},'CDR Project Planner'!$C42))))),'CDR Project Planner'!E42,"")</f>
        <v/>
      </c>
      <c r="F32" s="33" t="str">
        <f>IF(SUMPRODUCT(--(NOT(ISERR(SEARCH({"T","P"},'CDR Project Planner'!$C42))))),'CDR Project Planner'!F42,"")</f>
        <v/>
      </c>
      <c r="G32" s="33" t="str">
        <f>IF(SUMPRODUCT(--(NOT(ISERR(SEARCH({"T","P"},'CDR Project Planner'!$C42))))),'CDR Project Planner'!G42,"")</f>
        <v/>
      </c>
      <c r="H32" s="45" t="str">
        <f>IF(SUMPRODUCT(--(NOT(ISERR(SEARCH({"T","P"},'CDR Project Planner'!$C42))))),'CDR Project Planner'!H41*100,"")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IF(SUMPRODUCT(--(NOT(ISERR(SEARCH({"T","P"},'CDR Project Planner'!$C45))))),'CDR Project Planner'!B45,"")</f>
        <v/>
      </c>
      <c r="C33" s="33" t="str">
        <f>IF(SUMPRODUCT(--(NOT(ISERR(SEARCH({"T","P"},'CDR Project Planner'!$C45))))),'CDR Project Planner'!C45,"")</f>
        <v/>
      </c>
      <c r="D33" s="33" t="str">
        <f>IF(SUMPRODUCT(--(NOT(ISERR(SEARCH({"T","P"},'CDR Project Planner'!$C45))))),'CDR Project Planner'!D45,"")</f>
        <v/>
      </c>
      <c r="E33" s="33" t="str">
        <f>IF(SUMPRODUCT(--(NOT(ISERR(SEARCH({"T","P"},'CDR Project Planner'!$C45))))),'CDR Project Planner'!E45,"")</f>
        <v/>
      </c>
      <c r="F33" s="33" t="str">
        <f>IF(SUMPRODUCT(--(NOT(ISERR(SEARCH({"T","P"},'CDR Project Planner'!$C45))))),'CDR Project Planner'!F45,"")</f>
        <v/>
      </c>
      <c r="G33" s="33" t="str">
        <f>IF(SUMPRODUCT(--(NOT(ISERR(SEARCH({"T","P"},'CDR Project Planner'!$C45))))),'CDR Project Planner'!G45,"")</f>
        <v/>
      </c>
      <c r="H33" s="45" t="str">
        <f>IF(SUMPRODUCT(--(NOT(ISERR(SEARCH({"T","P"},'CDR Project Planner'!$C45))))),'CDR Project Planner'!H44*100,"")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32" t="str">
        <f>IF(SUMPRODUCT(--(NOT(ISERR(SEARCH({"T","P"},'CDR Project Planner'!$C46))))),'CDR Project Planner'!B46,"")</f>
        <v/>
      </c>
      <c r="C34" s="33" t="str">
        <f>IF(SUMPRODUCT(--(NOT(ISERR(SEARCH({"T","P"},'CDR Project Planner'!$C46))))),'CDR Project Planner'!C46,"")</f>
        <v/>
      </c>
      <c r="D34" s="33" t="str">
        <f>IF(SUMPRODUCT(--(NOT(ISERR(SEARCH({"T","P"},'CDR Project Planner'!$C46))))),'CDR Project Planner'!D46,"")</f>
        <v/>
      </c>
      <c r="E34" s="33" t="str">
        <f>IF(SUMPRODUCT(--(NOT(ISERR(SEARCH({"T","P"},'CDR Project Planner'!$C46))))),'CDR Project Planner'!E46,"")</f>
        <v/>
      </c>
      <c r="F34" s="33" t="str">
        <f>IF(SUMPRODUCT(--(NOT(ISERR(SEARCH({"T","P"},'CDR Project Planner'!$C46))))),'CDR Project Planner'!F46,"")</f>
        <v/>
      </c>
      <c r="G34" s="33" t="str">
        <f>IF(SUMPRODUCT(--(NOT(ISERR(SEARCH({"T","P"},'CDR Project Planner'!$C46))))),'CDR Project Planner'!G46,"")</f>
        <v/>
      </c>
      <c r="H34" s="45" t="str">
        <f>IF(SUMPRODUCT(--(NOT(ISERR(SEARCH({"T","P"},'CDR Project Planner'!$C46))))),'CDR Project Planner'!H45*100,"")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IF(SUMPRODUCT(--(NOT(ISERR(SEARCH({"T","P"},'CDR Project Planner'!$C48))))),'CDR Project Planner'!B48,"")</f>
        <v>CDR PowerPoint</v>
      </c>
      <c r="C35" s="33" t="str">
        <f>IF(SUMPRODUCT(--(NOT(ISERR(SEARCH({"T","P"},'CDR Project Planner'!$C48))))),'CDR Project Planner'!C48,"")</f>
        <v>T</v>
      </c>
      <c r="D35" s="33">
        <f>IF(SUMPRODUCT(--(NOT(ISERR(SEARCH({"T","P"},'CDR Project Planner'!$C48))))),'CDR Project Planner'!D48,"")</f>
        <v>55</v>
      </c>
      <c r="E35" s="33">
        <f>IF(SUMPRODUCT(--(NOT(ISERR(SEARCH({"T","P"},'CDR Project Planner'!$C48))))),'CDR Project Planner'!E48,"")</f>
        <v>10</v>
      </c>
      <c r="F35" s="33">
        <f>IF(SUMPRODUCT(--(NOT(ISERR(SEARCH({"T","P"},'CDR Project Planner'!$C48))))),'CDR Project Planner'!F48,"")</f>
        <v>0</v>
      </c>
      <c r="G35" s="33">
        <f>IF(SUMPRODUCT(--(NOT(ISERR(SEARCH({"T","P"},'CDR Project Planner'!$C48))))),'CDR Project Planner'!G48,"")</f>
        <v>0</v>
      </c>
      <c r="H35" s="45">
        <f>IF(SUMPRODUCT(--(NOT(ISERR(SEARCH({"T","P"},'CDR Project Planner'!$C48))))),'CDR Project Planner'!H46*100,"")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IF(SUMPRODUCT(--(NOT(ISERR(SEARCH({"T","P"},'CDR Project Planner'!$C49))))),'CDR Project Planner'!B49,"")</f>
        <v>CDR</v>
      </c>
      <c r="C36" s="37" t="str">
        <f>IF(SUMPRODUCT(--(NOT(ISERR(SEARCH({"T","P"},'CDR Project Planner'!$C49))))),'CDR Project Planner'!C49,"")</f>
        <v>T</v>
      </c>
      <c r="D36" s="37">
        <f>IF(SUMPRODUCT(--(NOT(ISERR(SEARCH({"T","P"},'CDR Project Planner'!$C49))))),'CDR Project Planner'!D49,"")</f>
        <v>69</v>
      </c>
      <c r="E36" s="37">
        <f>IF(SUMPRODUCT(--(NOT(ISERR(SEARCH({"T","P"},'CDR Project Planner'!$C49))))),'CDR Project Planner'!E49,"")</f>
        <v>1</v>
      </c>
      <c r="F36" s="37">
        <f>IF(SUMPRODUCT(--(NOT(ISERR(SEARCH({"T","P"},'CDR Project Planner'!$C49))))),'CDR Project Planner'!F49,"")</f>
        <v>55</v>
      </c>
      <c r="G36" s="37">
        <f>IF(SUMPRODUCT(--(NOT(ISERR(SEARCH({"T","P"},'CDR Project Planner'!$C49))))),'CDR Project Planner'!G49,"")</f>
        <v>1</v>
      </c>
      <c r="H36" s="38">
        <f>IF(SUMPRODUCT(--(NOT(ISERR(SEARCH({"T","P"},'CDR Project Planner'!$C49))))),'CDR Project Planner'!H48*100,"")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32" t="str">
        <f>IF(SUMPRODUCT(--(NOT(ISERR(SEARCH({"T","P"},'CDR Project Planner'!$C50))))),'CDR Project Planner'!B50,"")</f>
        <v/>
      </c>
      <c r="C37" s="33" t="str">
        <f>IF(SUMPRODUCT(--(NOT(ISERR(SEARCH({"T","P"},'CDR Project Planner'!$C50))))),'CDR Project Planner'!C50,"")</f>
        <v/>
      </c>
      <c r="D37" s="33" t="str">
        <f>IF(SUMPRODUCT(--(NOT(ISERR(SEARCH({"T","P"},'CDR Project Planner'!$C50))))),'CDR Project Planner'!D50,"")</f>
        <v/>
      </c>
      <c r="E37" s="33" t="str">
        <f>IF(SUMPRODUCT(--(NOT(ISERR(SEARCH({"T","P"},'CDR Project Planner'!$C50))))),'CDR Project Planner'!E50,"")</f>
        <v/>
      </c>
      <c r="F37" s="33" t="str">
        <f>IF(SUMPRODUCT(--(NOT(ISERR(SEARCH({"T","P"},'CDR Project Planner'!$C50))))),'CDR Project Planner'!F50,"")</f>
        <v/>
      </c>
      <c r="G37" s="33" t="str">
        <f>IF(SUMPRODUCT(--(NOT(ISERR(SEARCH({"T","P"},'CDR Project Planner'!$C50))))),'CDR Project Planner'!G50,"")</f>
        <v/>
      </c>
      <c r="H37" s="45" t="str">
        <f>IF(SUMPRODUCT(--(NOT(ISERR(SEARCH({"T","P"},'CDR Project Planner'!$C50))))),'CDR Project Planner'!H49*100,"")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32" t="str">
        <f>IF(SUMPRODUCT(--(NOT(ISERR(SEARCH({"T","P"},'CDR Project Planner'!$C51))))),'CDR Project Planner'!B51,"")</f>
        <v/>
      </c>
      <c r="C38" s="33" t="str">
        <f>IF(SUMPRODUCT(--(NOT(ISERR(SEARCH({"T","P"},'CDR Project Planner'!$C51))))),'CDR Project Planner'!C51,"")</f>
        <v/>
      </c>
      <c r="D38" s="33" t="str">
        <f>IF(SUMPRODUCT(--(NOT(ISERR(SEARCH({"T","P"},'CDR Project Planner'!$C51))))),'CDR Project Planner'!D51,"")</f>
        <v/>
      </c>
      <c r="E38" s="33" t="str">
        <f>IF(SUMPRODUCT(--(NOT(ISERR(SEARCH({"T","P"},'CDR Project Planner'!$C51))))),'CDR Project Planner'!E51,"")</f>
        <v/>
      </c>
      <c r="F38" s="33" t="str">
        <f>IF(SUMPRODUCT(--(NOT(ISERR(SEARCH({"T","P"},'CDR Project Planner'!$C51))))),'CDR Project Planner'!F51,"")</f>
        <v/>
      </c>
      <c r="G38" s="33" t="str">
        <f>IF(SUMPRODUCT(--(NOT(ISERR(SEARCH({"T","P"},'CDR Project Planner'!$C51))))),'CDR Project Planner'!G51,"")</f>
        <v/>
      </c>
      <c r="H38" s="45" t="str">
        <f>IF(SUMPRODUCT(--(NOT(ISERR(SEARCH({"T","P"},'CDR Project Planner'!$C51))))),'CDR Project Planner'!H50*100,"")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32" t="str">
        <f>IF(SUMPRODUCT(--(NOT(ISERR(SEARCH({"T","P"},'CDR Project Planner'!$C52))))),'CDR Project Planner'!B52,"")</f>
        <v/>
      </c>
      <c r="C39" s="33" t="str">
        <f>IF(SUMPRODUCT(--(NOT(ISERR(SEARCH({"T","P"},'CDR Project Planner'!$C52))))),'CDR Project Planner'!C52,"")</f>
        <v/>
      </c>
      <c r="D39" s="33" t="str">
        <f>IF(SUMPRODUCT(--(NOT(ISERR(SEARCH({"T","P"},'CDR Project Planner'!$C52))))),'CDR Project Planner'!D52,"")</f>
        <v/>
      </c>
      <c r="E39" s="33" t="str">
        <f>IF(SUMPRODUCT(--(NOT(ISERR(SEARCH({"T","P"},'CDR Project Planner'!$C52))))),'CDR Project Planner'!E52,"")</f>
        <v/>
      </c>
      <c r="F39" s="33" t="str">
        <f>IF(SUMPRODUCT(--(NOT(ISERR(SEARCH({"T","P"},'CDR Project Planner'!$C52))))),'CDR Project Planner'!F52,"")</f>
        <v/>
      </c>
      <c r="G39" s="33" t="str">
        <f>IF(SUMPRODUCT(--(NOT(ISERR(SEARCH({"T","P"},'CDR Project Planner'!$C52))))),'CDR Project Planner'!G52,"")</f>
        <v/>
      </c>
      <c r="H39" s="45" t="str">
        <f>IF(SUMPRODUCT(--(NOT(ISERR(SEARCH({"T","P"},'CDR Project Planner'!$C52))))),'CDR Project Planner'!H51*100,"")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IF(SUMPRODUCT(--(NOT(ISERR(SEARCH({"T","P"},'CDR Project Planner'!$C53))))),'CDR Project Planner'!B53,"")</f>
        <v/>
      </c>
      <c r="C40" s="33" t="str">
        <f>IF(SUMPRODUCT(--(NOT(ISERR(SEARCH({"T","P"},'CDR Project Planner'!$C53))))),'CDR Project Planner'!C53,"")</f>
        <v/>
      </c>
      <c r="D40" s="33" t="str">
        <f>IF(SUMPRODUCT(--(NOT(ISERR(SEARCH({"T","P"},'CDR Project Planner'!$C53))))),'CDR Project Planner'!D53,"")</f>
        <v/>
      </c>
      <c r="E40" s="33" t="str">
        <f>IF(SUMPRODUCT(--(NOT(ISERR(SEARCH({"T","P"},'CDR Project Planner'!$C53))))),'CDR Project Planner'!E53,"")</f>
        <v/>
      </c>
      <c r="F40" s="33" t="str">
        <f>IF(SUMPRODUCT(--(NOT(ISERR(SEARCH({"T","P"},'CDR Project Planner'!$C53))))),'CDR Project Planner'!F53,"")</f>
        <v/>
      </c>
      <c r="G40" s="33" t="str">
        <f>IF(SUMPRODUCT(--(NOT(ISERR(SEARCH({"T","P"},'CDR Project Planner'!$C53))))),'CDR Project Planner'!G53,"")</f>
        <v/>
      </c>
      <c r="H40" s="45" t="str">
        <f>IF(SUMPRODUCT(--(NOT(ISERR(SEARCH({"T","P"},'CDR Project Planner'!$C53))))),'CDR Project Planner'!H52*100,"")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IF(SUMPRODUCT(--(NOT(ISERR(SEARCH({"T","P"},'CDR Project Planner'!$C54))))),'CDR Project Planner'!B54,"")</f>
        <v/>
      </c>
      <c r="C41" s="33" t="str">
        <f>IF(SUMPRODUCT(--(NOT(ISERR(SEARCH({"T","P"},'CDR Project Planner'!$C54))))),'CDR Project Planner'!C54,"")</f>
        <v/>
      </c>
      <c r="D41" s="33" t="str">
        <f>IF(SUMPRODUCT(--(NOT(ISERR(SEARCH({"T","P"},'CDR Project Planner'!$C54))))),'CDR Project Planner'!D54,"")</f>
        <v/>
      </c>
      <c r="E41" s="33" t="str">
        <f>IF(SUMPRODUCT(--(NOT(ISERR(SEARCH({"T","P"},'CDR Project Planner'!$C54))))),'CDR Project Planner'!E54,"")</f>
        <v/>
      </c>
      <c r="F41" s="33" t="str">
        <f>IF(SUMPRODUCT(--(NOT(ISERR(SEARCH({"T","P"},'CDR Project Planner'!$C54))))),'CDR Project Planner'!F54,"")</f>
        <v/>
      </c>
      <c r="G41" s="33" t="str">
        <f>IF(SUMPRODUCT(--(NOT(ISERR(SEARCH({"T","P"},'CDR Project Planner'!$C54))))),'CDR Project Planner'!G54,"")</f>
        <v/>
      </c>
      <c r="H41" s="45" t="str">
        <f>IF(SUMPRODUCT(--(NOT(ISERR(SEARCH({"T","P"},'CDR Project Planner'!$C54))))),'CDR Project Planner'!H53*100,"")</f>
        <v/>
      </c>
    </row>
    <row r="42" spans="1:68" ht="30" customHeight="1" x14ac:dyDescent="0.25">
      <c r="B42" s="32" t="str">
        <f>IF(SUMPRODUCT(--(NOT(ISERR(SEARCH({"T","P"},'CDR Project Planner'!$C55))))),'CDR Project Planner'!B55,"")</f>
        <v/>
      </c>
      <c r="C42" s="33" t="str">
        <f>IF(SUMPRODUCT(--(NOT(ISERR(SEARCH({"T","P"},'CDR Project Planner'!$C55))))),'CDR Project Planner'!C55,"")</f>
        <v/>
      </c>
      <c r="D42" s="33" t="str">
        <f>IF(SUMPRODUCT(--(NOT(ISERR(SEARCH({"T","P"},'CDR Project Planner'!$C55))))),'CDR Project Planner'!D55,"")</f>
        <v/>
      </c>
      <c r="E42" s="33" t="str">
        <f>IF(SUMPRODUCT(--(NOT(ISERR(SEARCH({"T","P"},'CDR Project Planner'!$C55))))),'CDR Project Planner'!E55,"")</f>
        <v/>
      </c>
      <c r="F42" s="33" t="str">
        <f>IF(SUMPRODUCT(--(NOT(ISERR(SEARCH({"T","P"},'CDR Project Planner'!$C55))))),'CDR Project Planner'!F55,"")</f>
        <v/>
      </c>
      <c r="G42" s="33" t="str">
        <f>IF(SUMPRODUCT(--(NOT(ISERR(SEARCH({"T","P"},'CDR Project Planner'!$C55))))),'CDR Project Planner'!G55,"")</f>
        <v/>
      </c>
      <c r="H42" s="45" t="str">
        <f>IF(SUMPRODUCT(--(NOT(ISERR(SEARCH({"T","P"},'CDR Project Planner'!$C55))))),'CDR Project Planner'!H54*100,"")</f>
        <v/>
      </c>
    </row>
    <row r="43" spans="1:68" ht="30" customHeight="1" x14ac:dyDescent="0.25">
      <c r="B43" s="32" t="str">
        <f>IF(SUMPRODUCT(--(NOT(ISERR(SEARCH({"T","P"},'CDR Project Planner'!$C56))))),'CDR Project Planner'!B56,"")</f>
        <v/>
      </c>
      <c r="C43" s="33" t="str">
        <f>IF(SUMPRODUCT(--(NOT(ISERR(SEARCH({"T","P"},'CDR Project Planner'!$C56))))),'CDR Project Planner'!C56,"")</f>
        <v/>
      </c>
      <c r="D43" s="33" t="str">
        <f>IF(SUMPRODUCT(--(NOT(ISERR(SEARCH({"T","P"},'CDR Project Planner'!$C56))))),'CDR Project Planner'!D56,"")</f>
        <v/>
      </c>
      <c r="E43" s="33" t="str">
        <f>IF(SUMPRODUCT(--(NOT(ISERR(SEARCH({"T","P"},'CDR Project Planner'!$C56))))),'CDR Project Planner'!E56,"")</f>
        <v/>
      </c>
      <c r="F43" s="33" t="str">
        <f>IF(SUMPRODUCT(--(NOT(ISERR(SEARCH({"T","P"},'CDR Project Planner'!$C56))))),'CDR Project Planner'!F56,"")</f>
        <v/>
      </c>
      <c r="G43" s="33" t="str">
        <f>IF(SUMPRODUCT(--(NOT(ISERR(SEARCH({"T","P"},'CDR Project Planner'!$C56))))),'CDR Project Planner'!G56,"")</f>
        <v/>
      </c>
      <c r="H43" s="45" t="str">
        <f>IF(SUMPRODUCT(--(NOT(ISERR(SEARCH({"T","P"},'CDR Project Planner'!$C56))))),'CDR Project Planner'!H55*100,"")</f>
        <v/>
      </c>
    </row>
    <row r="44" spans="1:68" s="4" customFormat="1" ht="30" customHeight="1" x14ac:dyDescent="0.25">
      <c r="A44" s="1"/>
      <c r="B44" s="32" t="str">
        <f>IF(SUMPRODUCT(--(NOT(ISERR(SEARCH({"T","P"},'CDR Project Planner'!$C57))))),'CDR Project Planner'!B57,"")</f>
        <v/>
      </c>
      <c r="C44" s="33" t="str">
        <f>IF(SUMPRODUCT(--(NOT(ISERR(SEARCH({"T","P"},'CDR Project Planner'!$C57))))),'CDR Project Planner'!C57,"")</f>
        <v/>
      </c>
      <c r="D44" s="33" t="str">
        <f>IF(SUMPRODUCT(--(NOT(ISERR(SEARCH({"T","P"},'CDR Project Planner'!$C57))))),'CDR Project Planner'!D57,"")</f>
        <v/>
      </c>
      <c r="E44" s="33" t="str">
        <f>IF(SUMPRODUCT(--(NOT(ISERR(SEARCH({"T","P"},'CDR Project Planner'!$C57))))),'CDR Project Planner'!E57,"")</f>
        <v/>
      </c>
      <c r="F44" s="33" t="str">
        <f>IF(SUMPRODUCT(--(NOT(ISERR(SEARCH({"T","P"},'CDR Project Planner'!$C57))))),'CDR Project Planner'!F57,"")</f>
        <v/>
      </c>
      <c r="G44" s="33" t="str">
        <f>IF(SUMPRODUCT(--(NOT(ISERR(SEARCH({"T","P"},'CDR Project Planner'!$C57))))),'CDR Project Planner'!G57,"")</f>
        <v/>
      </c>
      <c r="H44" s="45" t="str">
        <f>IF(SUMPRODUCT(--(NOT(ISERR(SEARCH({"T","P"},'CDR Project Planner'!$C57))))),'CDR Project Planner'!H56*100,"")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IF(SUMPRODUCT(--(NOT(ISERR(SEARCH({"T","P"},'CDR Project Planner'!$C58))))),'CDR Project Planner'!B58,"")</f>
        <v/>
      </c>
      <c r="C45" s="33" t="str">
        <f>IF(SUMPRODUCT(--(NOT(ISERR(SEARCH({"T","P"},'CDR Project Planner'!$C58))))),'CDR Project Planner'!C58,"")</f>
        <v/>
      </c>
      <c r="D45" s="33" t="str">
        <f>IF(SUMPRODUCT(--(NOT(ISERR(SEARCH({"T","P"},'CDR Project Planner'!$C58))))),'CDR Project Planner'!D58,"")</f>
        <v/>
      </c>
      <c r="E45" s="33" t="str">
        <f>IF(SUMPRODUCT(--(NOT(ISERR(SEARCH({"T","P"},'CDR Project Planner'!$C58))))),'CDR Project Planner'!E58,"")</f>
        <v/>
      </c>
      <c r="F45" s="33" t="str">
        <f>IF(SUMPRODUCT(--(NOT(ISERR(SEARCH({"T","P"},'CDR Project Planner'!$C58))))),'CDR Project Planner'!F58,"")</f>
        <v/>
      </c>
      <c r="G45" s="33" t="str">
        <f>IF(SUMPRODUCT(--(NOT(ISERR(SEARCH({"T","P"},'CDR Project Planner'!$C58))))),'CDR Project Planner'!G58,"")</f>
        <v/>
      </c>
      <c r="H45" s="45" t="str">
        <f>IF(SUMPRODUCT(--(NOT(ISERR(SEARCH({"T","P"},'CDR Project Planner'!$C58))))),'CDR Project Planner'!H57*100,"")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IF(SUMPRODUCT(--(NOT(ISERR(SEARCH({"T","P"},'CDR Project Planner'!$C59))))),'CDR Project Planner'!B59,"")</f>
        <v/>
      </c>
      <c r="C46" s="33" t="str">
        <f>IF(SUMPRODUCT(--(NOT(ISERR(SEARCH({"T","P"},'CDR Project Planner'!$C59))))),'CDR Project Planner'!C59,"")</f>
        <v/>
      </c>
      <c r="D46" s="33" t="str">
        <f>IF(SUMPRODUCT(--(NOT(ISERR(SEARCH({"T","P"},'CDR Project Planner'!$C59))))),'CDR Project Planner'!D59,"")</f>
        <v/>
      </c>
      <c r="E46" s="33" t="str">
        <f>IF(SUMPRODUCT(--(NOT(ISERR(SEARCH({"T","P"},'CDR Project Planner'!$C59))))),'CDR Project Planner'!E59,"")</f>
        <v/>
      </c>
      <c r="F46" s="33" t="str">
        <f>IF(SUMPRODUCT(--(NOT(ISERR(SEARCH({"T","P"},'CDR Project Planner'!$C59))))),'CDR Project Planner'!F59,"")</f>
        <v/>
      </c>
      <c r="G46" s="33" t="str">
        <f>IF(SUMPRODUCT(--(NOT(ISERR(SEARCH({"T","P"},'CDR Project Planner'!$C59))))),'CDR Project Planner'!G59,"")</f>
        <v/>
      </c>
      <c r="H46" s="45" t="str">
        <f>IF(SUMPRODUCT(--(NOT(ISERR(SEARCH({"T","P"},'CDR Project Planner'!$C59))))),'CDR Project Planner'!H58*100,"")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IF(SUMPRODUCT(--(NOT(ISERR(SEARCH({"T","P"},'CDR Project Planner'!$C60))))),'CDR Project Planner'!B60,"")</f>
        <v/>
      </c>
      <c r="C47" s="33" t="str">
        <f>IF(SUMPRODUCT(--(NOT(ISERR(SEARCH({"T","P"},'CDR Project Planner'!$C60))))),'CDR Project Planner'!C60,"")</f>
        <v/>
      </c>
      <c r="D47" s="33" t="str">
        <f>IF(SUMPRODUCT(--(NOT(ISERR(SEARCH({"T","P"},'CDR Project Planner'!$C60))))),'CDR Project Planner'!D60,"")</f>
        <v/>
      </c>
      <c r="E47" s="33" t="str">
        <f>IF(SUMPRODUCT(--(NOT(ISERR(SEARCH({"T","P"},'CDR Project Planner'!$C60))))),'CDR Project Planner'!E60,"")</f>
        <v/>
      </c>
      <c r="F47" s="33" t="str">
        <f>IF(SUMPRODUCT(--(NOT(ISERR(SEARCH({"T","P"},'CDR Project Planner'!$C60))))),'CDR Project Planner'!F60,"")</f>
        <v/>
      </c>
      <c r="G47" s="33" t="str">
        <f>IF(SUMPRODUCT(--(NOT(ISERR(SEARCH({"T","P"},'CDR Project Planner'!$C60))))),'CDR Project Planner'!G60,"")</f>
        <v/>
      </c>
      <c r="H47" s="45" t="str">
        <f>IF(SUMPRODUCT(--(NOT(ISERR(SEARCH({"T","P"},'CDR Project Planner'!$C60))))),'CDR Project Planner'!H59*100,"")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IF(SUMPRODUCT(--(NOT(ISERR(SEARCH({"T","P"},'CDR Project Planner'!$C61))))),'CDR Project Planner'!B61,"")</f>
        <v/>
      </c>
      <c r="C48" s="33" t="str">
        <f>IF(SUMPRODUCT(--(NOT(ISERR(SEARCH({"T","P"},'CDR Project Planner'!$C61))))),'CDR Project Planner'!C61,"")</f>
        <v/>
      </c>
      <c r="D48" s="33" t="str">
        <f>IF(SUMPRODUCT(--(NOT(ISERR(SEARCH({"T","P"},'CDR Project Planner'!$C61))))),'CDR Project Planner'!D61,"")</f>
        <v/>
      </c>
      <c r="E48" s="33" t="str">
        <f>IF(SUMPRODUCT(--(NOT(ISERR(SEARCH({"T","P"},'CDR Project Planner'!$C61))))),'CDR Project Planner'!E61,"")</f>
        <v/>
      </c>
      <c r="F48" s="33" t="str">
        <f>IF(SUMPRODUCT(--(NOT(ISERR(SEARCH({"T","P"},'CDR Project Planner'!$C61))))),'CDR Project Planner'!F61,"")</f>
        <v/>
      </c>
      <c r="G48" s="33" t="str">
        <f>IF(SUMPRODUCT(--(NOT(ISERR(SEARCH({"T","P"},'CDR Project Planner'!$C61))))),'CDR Project Planner'!G61,"")</f>
        <v/>
      </c>
      <c r="H48" s="45" t="str">
        <f>IF(SUMPRODUCT(--(NOT(ISERR(SEARCH({"T","P"},'CDR Project Planner'!$C61))))),'CDR Project Planner'!H60*100,"")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5" x14ac:dyDescent="0.25">
      <c r="A49" s="1"/>
      <c r="B49" s="32" t="str">
        <f>IF(SUMPRODUCT(--(NOT(ISERR(SEARCH({"T","P"},'CDR Project Planner'!$C62))))),'CDR Project Planner'!B62,"")</f>
        <v/>
      </c>
      <c r="C49" s="33" t="str">
        <f>IF(SUMPRODUCT(--(NOT(ISERR(SEARCH({"T","P"},'CDR Project Planner'!$C62))))),'CDR Project Planner'!C62,"")</f>
        <v/>
      </c>
      <c r="D49" s="33" t="str">
        <f>IF(SUMPRODUCT(--(NOT(ISERR(SEARCH({"T","P"},'CDR Project Planner'!$C62))))),'CDR Project Planner'!D62,"")</f>
        <v/>
      </c>
      <c r="E49" s="33" t="str">
        <f>IF(SUMPRODUCT(--(NOT(ISERR(SEARCH({"T","P"},'CDR Project Planner'!$C62))))),'CDR Project Planner'!E62,"")</f>
        <v/>
      </c>
      <c r="F49" s="33" t="str">
        <f>IF(SUMPRODUCT(--(NOT(ISERR(SEARCH({"T","P"},'CDR Project Planner'!$C62))))),'CDR Project Planner'!F62,"")</f>
        <v/>
      </c>
      <c r="G49" s="33" t="str">
        <f>IF(SUMPRODUCT(--(NOT(ISERR(SEARCH({"T","P"},'CDR Project Planner'!$C62))))),'CDR Project Planner'!G62,"")</f>
        <v/>
      </c>
      <c r="H49" s="45" t="str">
        <f>IF(SUMPRODUCT(--(NOT(ISERR(SEARCH({"T","P"},'CDR Project Planner'!$C62))))),'CDR Project Planner'!H61*100,"")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163" priority="2">
      <formula>PercentComplete</formula>
    </cfRule>
    <cfRule type="expression" dxfId="162" priority="3">
      <formula>PercentCompleteBeyond</formula>
    </cfRule>
    <cfRule type="expression" dxfId="161" priority="4">
      <formula>Actual</formula>
    </cfRule>
    <cfRule type="expression" dxfId="160" priority="5">
      <formula>ActualBeyond</formula>
    </cfRule>
    <cfRule type="expression" dxfId="159" priority="6">
      <formula>Plan</formula>
    </cfRule>
    <cfRule type="expression" dxfId="158" priority="7">
      <formula>I$4=period_selected</formula>
    </cfRule>
    <cfRule type="expression" dxfId="157" priority="8">
      <formula>MOD(COLUMN(),2)</formula>
    </cfRule>
    <cfRule type="expression" dxfId="156" priority="9">
      <formula>MOD(COLUMN(),2)=0</formula>
    </cfRule>
  </conditionalFormatting>
  <conditionalFormatting sqref="I4:BP4">
    <cfRule type="expression" dxfId="155" priority="10">
      <formula>I$4=period_selected</formula>
    </cfRule>
  </conditionalFormatting>
  <conditionalFormatting sqref="I5:BP6 I39:BP39 I21:BP28 I42:BP42 I45:BP45 I48:BP48">
    <cfRule type="expression" dxfId="154" priority="11">
      <formula>PercentComplete</formula>
    </cfRule>
    <cfRule type="expression" dxfId="153" priority="12">
      <formula>PercentCompleteBeyond</formula>
    </cfRule>
    <cfRule type="expression" dxfId="152" priority="13">
      <formula>Actual</formula>
    </cfRule>
    <cfRule type="expression" dxfId="151" priority="14">
      <formula>ActualBeyond</formula>
    </cfRule>
    <cfRule type="expression" dxfId="150" priority="15">
      <formula>Plan</formula>
    </cfRule>
    <cfRule type="expression" dxfId="149" priority="16">
      <formula>I$4=period_selected</formula>
    </cfRule>
    <cfRule type="expression" dxfId="148" priority="17">
      <formula>MOD(COLUMN(),2)</formula>
    </cfRule>
    <cfRule type="expression" dxfId="147" priority="18">
      <formula>MOD(COLUMN(),2)=0</formula>
    </cfRule>
  </conditionalFormatting>
  <conditionalFormatting sqref="I38:BP38 I41:BP41 I44:BP44 I47:BP47">
    <cfRule type="expression" dxfId="146" priority="19">
      <formula>PercentComplete</formula>
    </cfRule>
    <cfRule type="expression" dxfId="145" priority="20">
      <formula>PercentCompleteBeyond</formula>
    </cfRule>
    <cfRule type="expression" dxfId="144" priority="21">
      <formula>Actual</formula>
    </cfRule>
    <cfRule type="expression" dxfId="143" priority="22">
      <formula>ActualBeyond</formula>
    </cfRule>
    <cfRule type="expression" dxfId="142" priority="23">
      <formula>Plan</formula>
    </cfRule>
    <cfRule type="expression" dxfId="141" priority="24">
      <formula>I$4=period_selected</formula>
    </cfRule>
    <cfRule type="expression" dxfId="140" priority="25">
      <formula>MOD(COLUMN(),2)</formula>
    </cfRule>
    <cfRule type="expression" dxfId="139" priority="26">
      <formula>MOD(COLUMN(),2)=0</formula>
    </cfRule>
  </conditionalFormatting>
  <conditionalFormatting sqref="I20:BP20">
    <cfRule type="expression" dxfId="138" priority="27">
      <formula>PercentComplete</formula>
    </cfRule>
    <cfRule type="expression" dxfId="137" priority="28">
      <formula>PercentCompleteBeyond</formula>
    </cfRule>
    <cfRule type="expression" dxfId="136" priority="29">
      <formula>Actual</formula>
    </cfRule>
    <cfRule type="expression" dxfId="135" priority="30">
      <formula>ActualBeyond</formula>
    </cfRule>
    <cfRule type="expression" dxfId="134" priority="31">
      <formula>Plan</formula>
    </cfRule>
    <cfRule type="expression" dxfId="133" priority="32">
      <formula>I$4=period_selected</formula>
    </cfRule>
    <cfRule type="expression" dxfId="132" priority="33">
      <formula>MOD(COLUMN(),2)</formula>
    </cfRule>
    <cfRule type="expression" dxfId="131" priority="34">
      <formula>MOD(COLUMN(),2)=0</formula>
    </cfRule>
  </conditionalFormatting>
  <conditionalFormatting sqref="I16:BP16 I18:BP19">
    <cfRule type="expression" dxfId="130" priority="35">
      <formula>PercentComplete</formula>
    </cfRule>
    <cfRule type="expression" dxfId="129" priority="36">
      <formula>PercentCompleteBeyond</formula>
    </cfRule>
    <cfRule type="expression" dxfId="128" priority="37">
      <formula>Actual</formula>
    </cfRule>
    <cfRule type="expression" dxfId="127" priority="38">
      <formula>ActualBeyond</formula>
    </cfRule>
    <cfRule type="expression" dxfId="126" priority="39">
      <formula>Plan</formula>
    </cfRule>
    <cfRule type="expression" dxfId="125" priority="40">
      <formula>I$4=period_selected</formula>
    </cfRule>
    <cfRule type="expression" dxfId="124" priority="41">
      <formula>MOD(COLUMN(),2)</formula>
    </cfRule>
    <cfRule type="expression" dxfId="123" priority="42">
      <formula>MOD(COLUMN(),2)=0</formula>
    </cfRule>
  </conditionalFormatting>
  <conditionalFormatting sqref="I17:BP17">
    <cfRule type="expression" dxfId="122" priority="43">
      <formula>PercentComplete</formula>
    </cfRule>
    <cfRule type="expression" dxfId="121" priority="44">
      <formula>PercentCompleteBeyond</formula>
    </cfRule>
    <cfRule type="expression" dxfId="120" priority="45">
      <formula>Actual</formula>
    </cfRule>
    <cfRule type="expression" dxfId="119" priority="46">
      <formula>ActualBeyond</formula>
    </cfRule>
    <cfRule type="expression" dxfId="118" priority="47">
      <formula>Plan</formula>
    </cfRule>
    <cfRule type="expression" dxfId="117" priority="48">
      <formula>I$4=period_selected</formula>
    </cfRule>
    <cfRule type="expression" dxfId="116" priority="49">
      <formula>MOD(COLUMN(),2)</formula>
    </cfRule>
    <cfRule type="expression" dxfId="115" priority="50">
      <formula>MOD(COLUMN(),2)=0</formula>
    </cfRule>
  </conditionalFormatting>
  <conditionalFormatting sqref="H53:H56">
    <cfRule type="cellIs" dxfId="114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13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7410" r:id="rId3" name="Overview_but">
          <controlPr defaultSize="0" autoLine="0" autoPict="0" r:id="rId4">
            <anchor moveWithCells="1">
              <from>
                <xdr:col>7</xdr:col>
                <xdr:colOff>57150</xdr:colOff>
                <xdr:row>0</xdr:row>
                <xdr:rowOff>104775</xdr:rowOff>
              </from>
              <to>
                <xdr:col>7</xdr:col>
                <xdr:colOff>1095375</xdr:colOff>
                <xdr:row>0</xdr:row>
                <xdr:rowOff>504825</xdr:rowOff>
              </to>
            </anchor>
          </controlPr>
        </control>
      </mc:Choice>
      <mc:Fallback>
        <control shapeId="17410" r:id="rId3" name="Overview_bu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25">
      <c r="B2" s="287">
        <f ca="1">NOW()</f>
        <v>43209.749337037036</v>
      </c>
      <c r="C2" s="287"/>
      <c r="D2" s="287"/>
      <c r="E2" s="287"/>
      <c r="F2" s="287"/>
      <c r="G2" s="287"/>
      <c r="H2" s="9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IF(SUMPRODUCT(--(NOT(ISERR(SEARCH({"T","Z"},'CDR Project Planner'!$C5))))),'CDR Project Planner'!B5,"")</f>
        <v>PDR</v>
      </c>
      <c r="C5" s="44" t="str">
        <f>IF(SUMPRODUCT(--(NOT(ISERR(SEARCH({"T","Z"},'CDR Project Planner'!$C5))))),'CDR Project Planner'!C5,"")</f>
        <v>T</v>
      </c>
      <c r="D5" s="44">
        <f>IF(SUMPRODUCT(--(NOT(ISERR(SEARCH({"T","Z"},'CDR Project Planner'!$C5))))),'CDR Project Planner'!D5,"")</f>
        <v>22</v>
      </c>
      <c r="E5" s="44">
        <f>IF(SUMPRODUCT(--(NOT(ISERR(SEARCH({"T","Z"},'CDR Project Planner'!$C5))))),'CDR Project Planner'!E5,"")</f>
        <v>1</v>
      </c>
      <c r="F5" s="44">
        <f>IF(SUMPRODUCT(--(NOT(ISERR(SEARCH({"T","Z"},'CDR Project Planner'!$C5))))),'CDR Project Planner'!F5,"")</f>
        <v>22</v>
      </c>
      <c r="G5" s="44">
        <f>IF(SUMPRODUCT(--(NOT(ISERR(SEARCH({"T","Z"},'CDR Project Planner'!$C5))))),'CDR Project Planner'!G5,"")</f>
        <v>1</v>
      </c>
      <c r="H5" s="47">
        <f>IF(SUMPRODUCT(--(NOT(ISERR(SEARCH({"T","Z"},'CDR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">
      <c r="B6" s="32" t="str">
        <f>IF(SUMPRODUCT(--(NOT(ISERR(SEARCH({"T","Z"},'CDR Project Planner'!$C6))))),'CDR Project Planner'!B6,"")</f>
        <v/>
      </c>
      <c r="C6" s="33" t="str">
        <f>IF(SUMPRODUCT(--(NOT(ISERR(SEARCH({"T","Z"},'CDR Project Planner'!$C6))))),'CDR Project Planner'!C6,"")</f>
        <v/>
      </c>
      <c r="D6" s="33" t="str">
        <f>IF(SUMPRODUCT(--(NOT(ISERR(SEARCH({"T","Z"},'CDR Project Planner'!$C6))))),'CDR Project Planner'!D6,"")</f>
        <v/>
      </c>
      <c r="E6" s="33" t="str">
        <f>IF(SUMPRODUCT(--(NOT(ISERR(SEARCH({"T","Z"},'CDR Project Planner'!$C6))))),'CDR Project Planner'!E6,"")</f>
        <v/>
      </c>
      <c r="F6" s="33" t="str">
        <f>IF(SUMPRODUCT(--(NOT(ISERR(SEARCH({"T","Z"},'CDR Project Planner'!$C6))))),'CDR Project Planner'!F6,"")</f>
        <v/>
      </c>
      <c r="G6" s="33" t="str">
        <f>IF(SUMPRODUCT(--(NOT(ISERR(SEARCH({"T","Z"},'CDR Project Planner'!$C6))))),'CDR Project Planner'!G6,"")</f>
        <v/>
      </c>
      <c r="H6" s="47" t="str">
        <f>IF(SUMPRODUCT(--(NOT(ISERR(SEARCH({"T","Z"},'CDR Project Planner'!$C6))))),'CDR Project Planner'!H6,"")</f>
        <v/>
      </c>
    </row>
    <row r="7" spans="1:68" s="4" customFormat="1" outlineLevel="1" x14ac:dyDescent="0.3">
      <c r="A7" s="1"/>
      <c r="B7" s="32" t="str">
        <f>IF(SUMPRODUCT(--(NOT(ISERR(SEARCH({"T","Z"},'CDR Project Planner'!$C7))))),'CDR Project Planner'!B7,"")</f>
        <v/>
      </c>
      <c r="C7" s="33" t="str">
        <f>IF(SUMPRODUCT(--(NOT(ISERR(SEARCH({"T","Z"},'CDR Project Planner'!$C7))))),'CDR Project Planner'!C7,"")</f>
        <v/>
      </c>
      <c r="D7" s="33" t="str">
        <f>IF(SUMPRODUCT(--(NOT(ISERR(SEARCH({"T","Z"},'CDR Project Planner'!$C7))))),'CDR Project Planner'!D7,"")</f>
        <v/>
      </c>
      <c r="E7" s="33" t="str">
        <f>IF(SUMPRODUCT(--(NOT(ISERR(SEARCH({"T","Z"},'CDR Project Planner'!$C7))))),'CDR Project Planner'!E7,"")</f>
        <v/>
      </c>
      <c r="F7" s="33" t="str">
        <f>IF(SUMPRODUCT(--(NOT(ISERR(SEARCH({"T","Z"},'CDR Project Planner'!$C7))))),'CDR Project Planner'!F7,"")</f>
        <v/>
      </c>
      <c r="G7" s="33" t="str">
        <f>IF(SUMPRODUCT(--(NOT(ISERR(SEARCH({"T","Z"},'CDR Project Planner'!$C7))))),'CDR Project Planner'!G7,"")</f>
        <v/>
      </c>
      <c r="H7" s="47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32" t="str">
        <f>IF(SUMPRODUCT(--(NOT(ISERR(SEARCH({"T","Z"},'CDR Project Planner'!$C8))))),'CDR Project Planner'!B8,"")</f>
        <v/>
      </c>
      <c r="C8" s="33" t="str">
        <f>IF(SUMPRODUCT(--(NOT(ISERR(SEARCH({"T","Z"},'CDR Project Planner'!$C8))))),'CDR Project Planner'!C8,"")</f>
        <v/>
      </c>
      <c r="D8" s="33" t="str">
        <f>IF(SUMPRODUCT(--(NOT(ISERR(SEARCH({"T","Z"},'CDR Project Planner'!$C8))))),'CDR Project Planner'!D8,"")</f>
        <v/>
      </c>
      <c r="E8" s="33" t="str">
        <f>IF(SUMPRODUCT(--(NOT(ISERR(SEARCH({"T","Z"},'CDR Project Planner'!$C8))))),'CDR Project Planner'!E8,"")</f>
        <v/>
      </c>
      <c r="F8" s="33" t="str">
        <f>IF(SUMPRODUCT(--(NOT(ISERR(SEARCH({"T","Z"},'CDR Project Planner'!$C8))))),'CDR Project Planner'!F8,"")</f>
        <v/>
      </c>
      <c r="G8" s="33" t="str">
        <f>IF(SUMPRODUCT(--(NOT(ISERR(SEARCH({"T","Z"},'CDR Project Planner'!$C8))))),'CDR Project Planner'!G8,"")</f>
        <v/>
      </c>
      <c r="H8" s="47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32" t="str">
        <f>IF(SUMPRODUCT(--(NOT(ISERR(SEARCH({"T","Z"},'CDR Project Planner'!$C9))))),'CDR Project Planner'!B9,"")</f>
        <v/>
      </c>
      <c r="C9" s="33" t="str">
        <f>IF(SUMPRODUCT(--(NOT(ISERR(SEARCH({"T","Z"},'CDR Project Planner'!$C9))))),'CDR Project Planner'!C9,"")</f>
        <v/>
      </c>
      <c r="D9" s="33" t="str">
        <f>IF(SUMPRODUCT(--(NOT(ISERR(SEARCH({"T","Z"},'CDR Project Planner'!$C9))))),'CDR Project Planner'!D9,"")</f>
        <v/>
      </c>
      <c r="E9" s="33" t="str">
        <f>IF(SUMPRODUCT(--(NOT(ISERR(SEARCH({"T","Z"},'CDR Project Planner'!$C9))))),'CDR Project Planner'!E9,"")</f>
        <v/>
      </c>
      <c r="F9" s="33" t="str">
        <f>IF(SUMPRODUCT(--(NOT(ISERR(SEARCH({"T","Z"},'CDR Project Planner'!$C9))))),'CDR Project Planner'!F9,"")</f>
        <v/>
      </c>
      <c r="G9" s="33" t="str">
        <f>IF(SUMPRODUCT(--(NOT(ISERR(SEARCH({"T","Z"},'CDR Project Planner'!$C9))))),'CDR Project Planner'!G9,"")</f>
        <v/>
      </c>
      <c r="H9" s="47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32" t="str">
        <f>IF(SUMPRODUCT(--(NOT(ISERR(SEARCH({"T","Z"},'CDR Project Planner'!$C10))))),'CDR Project Planner'!B10,"")</f>
        <v>Unit Tests - GUI mapping</v>
      </c>
      <c r="C10" s="33" t="str">
        <f>IF(SUMPRODUCT(--(NOT(ISERR(SEARCH({"T","Z"},'CDR Project Planner'!$C10))))),'CDR Project Planner'!C10,"")</f>
        <v>Z or C</v>
      </c>
      <c r="D10" s="33">
        <f>IF(SUMPRODUCT(--(NOT(ISERR(SEARCH({"T","Z"},'CDR Project Planner'!$C10))))),'CDR Project Planner'!D10,"")</f>
        <v>23</v>
      </c>
      <c r="E10" s="33">
        <f>IF(SUMPRODUCT(--(NOT(ISERR(SEARCH({"T","Z"},'CDR Project Planner'!$C10))))),'CDR Project Planner'!E10,"")</f>
        <v>5</v>
      </c>
      <c r="F10" s="33">
        <f>IF(SUMPRODUCT(--(NOT(ISERR(SEARCH({"T","Z"},'CDR Project Planner'!$C10))))),'CDR Project Planner'!F10,"")</f>
        <v>31</v>
      </c>
      <c r="G10" s="33">
        <f>IF(SUMPRODUCT(--(NOT(ISERR(SEARCH({"T","Z"},'CDR Project Planner'!$C10))))),'CDR Project Planner'!G10,"")</f>
        <v>1</v>
      </c>
      <c r="H10" s="47">
        <f>IF(SUMPRODUCT(--(NOT(ISERR(SEARCH({"T","Z"},'CDR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32" t="str">
        <f>IF(SUMPRODUCT(--(NOT(ISERR(SEARCH({"T","Z"},'CDR Project Planner'!#REF!))))),'CDR Project Planner'!#REF!,"")</f>
        <v/>
      </c>
      <c r="C11" s="33" t="str">
        <f>IF(SUMPRODUCT(--(NOT(ISERR(SEARCH({"T","Z"},'CDR Project Planner'!#REF!))))),'CDR Project Planner'!#REF!,"")</f>
        <v/>
      </c>
      <c r="D11" s="33" t="str">
        <f>IF(SUMPRODUCT(--(NOT(ISERR(SEARCH({"T","Z"},'CDR Project Planner'!#REF!))))),'CDR Project Planner'!#REF!,"")</f>
        <v/>
      </c>
      <c r="E11" s="33" t="str">
        <f>IF(SUMPRODUCT(--(NOT(ISERR(SEARCH({"T","Z"},'CDR Project Planner'!#REF!))))),'CDR Project Planner'!#REF!,"")</f>
        <v/>
      </c>
      <c r="F11" s="33" t="str">
        <f>IF(SUMPRODUCT(--(NOT(ISERR(SEARCH({"T","Z"},'CDR Project Planner'!#REF!))))),'CDR Project Planner'!#REF!,"")</f>
        <v/>
      </c>
      <c r="G11" s="33" t="str">
        <f>IF(SUMPRODUCT(--(NOT(ISERR(SEARCH({"T","Z"},'CDR Project Planner'!#REF!))))),'CDR Project Planner'!#REF!,"")</f>
        <v/>
      </c>
      <c r="H11" s="47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32" t="str">
        <f>IF(SUMPRODUCT(--(NOT(ISERR(SEARCH({"T","Z"},'CDR Project Planner'!$C11))))),'CDR Project Planner'!B11,"")</f>
        <v>Unit Tests - Motors</v>
      </c>
      <c r="C12" s="33" t="str">
        <f>IF(SUMPRODUCT(--(NOT(ISERR(SEARCH({"T","Z"},'CDR Project Planner'!$C11))))),'CDR Project Planner'!C11,"")</f>
        <v>Ba &amp; Z</v>
      </c>
      <c r="D12" s="33">
        <f>IF(SUMPRODUCT(--(NOT(ISERR(SEARCH({"T","Z"},'CDR Project Planner'!$C11))))),'CDR Project Planner'!D11,"")</f>
        <v>23</v>
      </c>
      <c r="E12" s="33">
        <f>IF(SUMPRODUCT(--(NOT(ISERR(SEARCH({"T","Z"},'CDR Project Planner'!$C11))))),'CDR Project Planner'!E11,"")</f>
        <v>10</v>
      </c>
      <c r="F12" s="33">
        <f>IF(SUMPRODUCT(--(NOT(ISERR(SEARCH({"T","Z"},'CDR Project Planner'!$C11))))),'CDR Project Planner'!F11,"")</f>
        <v>34</v>
      </c>
      <c r="G12" s="33">
        <f>IF(SUMPRODUCT(--(NOT(ISERR(SEARCH({"T","Z"},'CDR Project Planner'!$C11))))),'CDR Project Planner'!G11,"")</f>
        <v>2</v>
      </c>
      <c r="H12" s="47">
        <f>IF(SUMPRODUCT(--(NOT(ISERR(SEARCH({"T","Z"},'CDR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32" t="str">
        <f>IF(SUMPRODUCT(--(NOT(ISERR(SEARCH({"T","Z"},'CDR Project Planner'!#REF!))))),'CDR Project Planner'!#REF!,"")</f>
        <v/>
      </c>
      <c r="C13" s="33" t="str">
        <f>IF(SUMPRODUCT(--(NOT(ISERR(SEARCH({"T","Z"},'CDR Project Planner'!#REF!))))),'CDR Project Planner'!#REF!,"")</f>
        <v/>
      </c>
      <c r="D13" s="33" t="str">
        <f>IF(SUMPRODUCT(--(NOT(ISERR(SEARCH({"T","Z"},'CDR Project Planner'!#REF!))))),'CDR Project Planner'!#REF!,"")</f>
        <v/>
      </c>
      <c r="E13" s="33" t="str">
        <f>IF(SUMPRODUCT(--(NOT(ISERR(SEARCH({"T","Z"},'CDR Project Planner'!#REF!))))),'CDR Project Planner'!#REF!,"")</f>
        <v/>
      </c>
      <c r="F13" s="33" t="str">
        <f>IF(SUMPRODUCT(--(NOT(ISERR(SEARCH({"T","Z"},'CDR Project Planner'!#REF!))))),'CDR Project Planner'!#REF!,"")</f>
        <v/>
      </c>
      <c r="G13" s="33" t="str">
        <f>IF(SUMPRODUCT(--(NOT(ISERR(SEARCH({"T","Z"},'CDR Project Planner'!#REF!))))),'CDR Project Planner'!#REF!,"")</f>
        <v/>
      </c>
      <c r="H13" s="47" t="str">
        <f>IF(SUMPRODUCT(--(NOT(ISERR(SEARCH({"T","Z"},'CDR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2" t="str">
        <f>IF(SUMPRODUCT(--(NOT(ISERR(SEARCH({"T","Z"},'CDR Project Planner'!#REF!))))),'CDR Project Planner'!#REF!,"")</f>
        <v/>
      </c>
      <c r="C14" s="33" t="str">
        <f>IF(SUMPRODUCT(--(NOT(ISERR(SEARCH({"T","Z"},'CDR Project Planner'!#REF!))))),'CDR Project Planner'!#REF!,"")</f>
        <v/>
      </c>
      <c r="D14" s="33" t="str">
        <f>IF(SUMPRODUCT(--(NOT(ISERR(SEARCH({"T","Z"},'CDR Project Planner'!#REF!))))),'CDR Project Planner'!#REF!,"")</f>
        <v/>
      </c>
      <c r="E14" s="33" t="str">
        <f>IF(SUMPRODUCT(--(NOT(ISERR(SEARCH({"T","Z"},'CDR Project Planner'!#REF!))))),'CDR Project Planner'!#REF!,"")</f>
        <v/>
      </c>
      <c r="F14" s="33" t="str">
        <f>IF(SUMPRODUCT(--(NOT(ISERR(SEARCH({"T","Z"},'CDR Project Planner'!#REF!))))),'CDR Project Planner'!#REF!,"")</f>
        <v/>
      </c>
      <c r="G14" s="33" t="str">
        <f>IF(SUMPRODUCT(--(NOT(ISERR(SEARCH({"T","Z"},'CDR Project Planner'!#REF!))))),'CDR Project Planner'!#REF!,"")</f>
        <v/>
      </c>
      <c r="H14" s="48" t="str">
        <f>IF(SUMPRODUCT(--(NOT(ISERR(SEARCH({"T","Z"},'CDR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IF(SUMPRODUCT(--(NOT(ISERR(SEARCH({"T","Z"},'CDR Project Planner'!#REF!))))),'CDR Project Planner'!#REF!,"")</f>
        <v/>
      </c>
      <c r="C15" s="33" t="str">
        <f>IF(SUMPRODUCT(--(NOT(ISERR(SEARCH({"T","Z"},'CDR Project Planner'!#REF!))))),'CDR Project Planner'!#REF!,"")</f>
        <v/>
      </c>
      <c r="D15" s="33" t="str">
        <f>IF(SUMPRODUCT(--(NOT(ISERR(SEARCH({"T","Z"},'CDR Project Planner'!#REF!))))),'CDR Project Planner'!#REF!,"")</f>
        <v/>
      </c>
      <c r="E15" s="33" t="str">
        <f>IF(SUMPRODUCT(--(NOT(ISERR(SEARCH({"T","Z"},'CDR Project Planner'!#REF!))))),'CDR Project Planner'!#REF!,"")</f>
        <v/>
      </c>
      <c r="F15" s="33" t="str">
        <f>IF(SUMPRODUCT(--(NOT(ISERR(SEARCH({"T","Z"},'CDR Project Planner'!#REF!))))),'CDR Project Planner'!#REF!,"")</f>
        <v/>
      </c>
      <c r="G15" s="33" t="str">
        <f>IF(SUMPRODUCT(--(NOT(ISERR(SEARCH({"T","Z"},'CDR Project Planner'!#REF!))))),'CDR Project Planner'!#REF!,"")</f>
        <v/>
      </c>
      <c r="H15" s="48" t="str">
        <f>IF(SUMPRODUCT(--(NOT(ISERR(SEARCH({"T","Z"},'CDR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IF(SUMPRODUCT(--(NOT(ISERR(SEARCH({"T","Z"},'CDR Project Planner'!$C16))))),'CDR Project Planner'!B16,"")</f>
        <v/>
      </c>
      <c r="C16" s="33" t="str">
        <f>IF(SUMPRODUCT(--(NOT(ISERR(SEARCH({"T","Z"},'CDR Project Planner'!$C16))))),'CDR Project Planner'!C16,"")</f>
        <v/>
      </c>
      <c r="D16" s="33" t="str">
        <f>IF(SUMPRODUCT(--(NOT(ISERR(SEARCH({"T","Z"},'CDR Project Planner'!$C16))))),'CDR Project Planner'!D16,"")</f>
        <v/>
      </c>
      <c r="E16" s="33" t="str">
        <f>IF(SUMPRODUCT(--(NOT(ISERR(SEARCH({"T","Z"},'CDR Project Planner'!$C16))))),'CDR Project Planner'!E16,"")</f>
        <v/>
      </c>
      <c r="F16" s="33" t="str">
        <f>IF(SUMPRODUCT(--(NOT(ISERR(SEARCH({"T","Z"},'CDR Project Planner'!$C16))))),'CDR Project Planner'!F16,"")</f>
        <v/>
      </c>
      <c r="G16" s="33" t="str">
        <f>IF(SUMPRODUCT(--(NOT(ISERR(SEARCH({"T","Z"},'CDR Project Planner'!$C16))))),'CDR Project Planner'!G16,"")</f>
        <v/>
      </c>
      <c r="H16" s="48" t="str">
        <f>IF(SUMPRODUCT(--(NOT(ISERR(SEARCH({"T","Z"},'CDR Project Planner'!$C16))))),'CDR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IF(SUMPRODUCT(--(NOT(ISERR(SEARCH({"T","Z"},'CDR Project Planner'!$C17))))),'CDR Project Planner'!B17,"")</f>
        <v/>
      </c>
      <c r="C17" s="33" t="str">
        <f>IF(SUMPRODUCT(--(NOT(ISERR(SEARCH({"T","Z"},'CDR Project Planner'!$C17))))),'CDR Project Planner'!C17,"")</f>
        <v/>
      </c>
      <c r="D17" s="33" t="str">
        <f>IF(SUMPRODUCT(--(NOT(ISERR(SEARCH({"T","Z"},'CDR Project Planner'!$C17))))),'CDR Project Planner'!D17,"")</f>
        <v/>
      </c>
      <c r="E17" s="33" t="str">
        <f>IF(SUMPRODUCT(--(NOT(ISERR(SEARCH({"T","Z"},'CDR Project Planner'!$C17))))),'CDR Project Planner'!E17,"")</f>
        <v/>
      </c>
      <c r="F17" s="33" t="str">
        <f>IF(SUMPRODUCT(--(NOT(ISERR(SEARCH({"T","Z"},'CDR Project Planner'!$C17))))),'CDR Project Planner'!F17,"")</f>
        <v/>
      </c>
      <c r="G17" s="33" t="str">
        <f>IF(SUMPRODUCT(--(NOT(ISERR(SEARCH({"T","Z"},'CDR Project Planner'!$C17))))),'CDR Project Planner'!G17,"")</f>
        <v/>
      </c>
      <c r="H17" s="48" t="str">
        <f>IF(SUMPRODUCT(--(NOT(ISERR(SEARCH({"T","Z"},'CDR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IF(SUMPRODUCT(--(NOT(ISERR(SEARCH({"T","Z"},'CDR Project Planner'!$C18))))),'CDR Project Planner'!B18,"")</f>
        <v/>
      </c>
      <c r="C18" s="33" t="str">
        <f>IF(SUMPRODUCT(--(NOT(ISERR(SEARCH({"T","Z"},'CDR Project Planner'!$C18))))),'CDR Project Planner'!C18,"")</f>
        <v/>
      </c>
      <c r="D18" s="33" t="str">
        <f>IF(SUMPRODUCT(--(NOT(ISERR(SEARCH({"T","Z"},'CDR Project Planner'!$C18))))),'CDR Project Planner'!D18,"")</f>
        <v/>
      </c>
      <c r="E18" s="33" t="str">
        <f>IF(SUMPRODUCT(--(NOT(ISERR(SEARCH({"T","Z"},'CDR Project Planner'!$C18))))),'CDR Project Planner'!E18,"")</f>
        <v/>
      </c>
      <c r="F18" s="33" t="str">
        <f>IF(SUMPRODUCT(--(NOT(ISERR(SEARCH({"T","Z"},'CDR Project Planner'!$C18))))),'CDR Project Planner'!F18,"")</f>
        <v/>
      </c>
      <c r="G18" s="33" t="str">
        <f>IF(SUMPRODUCT(--(NOT(ISERR(SEARCH({"T","Z"},'CDR Project Planner'!$C18))))),'CDR Project Planner'!G18,"")</f>
        <v/>
      </c>
      <c r="H18" s="48" t="str">
        <f>IF(SUMPRODUCT(--(NOT(ISERR(SEARCH({"T","Z"},'CDR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IF(SUMPRODUCT(--(NOT(ISERR(SEARCH({"T","Z"},'CDR Project Planner'!#REF!))))),'CDR Project Planner'!#REF!,"")</f>
        <v/>
      </c>
      <c r="C19" s="33" t="str">
        <f>IF(SUMPRODUCT(--(NOT(ISERR(SEARCH({"T","Z"},'CDR Project Planner'!#REF!))))),'CDR Project Planner'!#REF!,"")</f>
        <v/>
      </c>
      <c r="D19" s="33" t="str">
        <f>IF(SUMPRODUCT(--(NOT(ISERR(SEARCH({"T","Z"},'CDR Project Planner'!#REF!))))),'CDR Project Planner'!#REF!,"")</f>
        <v/>
      </c>
      <c r="E19" s="33" t="str">
        <f>IF(SUMPRODUCT(--(NOT(ISERR(SEARCH({"T","Z"},'CDR Project Planner'!#REF!))))),'CDR Project Planner'!#REF!,"")</f>
        <v/>
      </c>
      <c r="F19" s="33" t="str">
        <f>IF(SUMPRODUCT(--(NOT(ISERR(SEARCH({"T","Z"},'CDR Project Planner'!#REF!))))),'CDR Project Planner'!#REF!,"")</f>
        <v/>
      </c>
      <c r="G19" s="33" t="str">
        <f>IF(SUMPRODUCT(--(NOT(ISERR(SEARCH({"T","Z"},'CDR Project Planner'!#REF!))))),'CDR Project Planner'!#REF!,"")</f>
        <v/>
      </c>
      <c r="H19" s="48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IF(SUMPRODUCT(--(NOT(ISERR(SEARCH({"T","Z"},'CDR Project Planner'!#REF!))))),'CDR Project Planner'!#REF!,"")</f>
        <v/>
      </c>
      <c r="C20" s="33" t="str">
        <f>IF(SUMPRODUCT(--(NOT(ISERR(SEARCH({"T","Z"},'CDR Project Planner'!#REF!))))),'CDR Project Planner'!#REF!,"")</f>
        <v/>
      </c>
      <c r="D20" s="33" t="str">
        <f>IF(SUMPRODUCT(--(NOT(ISERR(SEARCH({"T","Z"},'CDR Project Planner'!#REF!))))),'CDR Project Planner'!#REF!,"")</f>
        <v/>
      </c>
      <c r="E20" s="33" t="str">
        <f>IF(SUMPRODUCT(--(NOT(ISERR(SEARCH({"T","Z"},'CDR Project Planner'!#REF!))))),'CDR Project Planner'!#REF!,"")</f>
        <v/>
      </c>
      <c r="F20" s="33" t="str">
        <f>IF(SUMPRODUCT(--(NOT(ISERR(SEARCH({"T","Z"},'CDR Project Planner'!#REF!))))),'CDR Project Planner'!#REF!,"")</f>
        <v/>
      </c>
      <c r="G20" s="33" t="str">
        <f>IF(SUMPRODUCT(--(NOT(ISERR(SEARCH({"T","Z"},'CDR Project Planner'!#REF!))))),'CDR Project Planner'!#REF!,"")</f>
        <v/>
      </c>
      <c r="H20" s="48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39" t="str">
        <f>IF(SUMPRODUCT(--(NOT(ISERR(SEARCH({"T","Z"},'CDR Project Planner'!$C21))))),'CDR Project Planner'!B21,"")</f>
        <v>Python</v>
      </c>
      <c r="C21" s="33" t="str">
        <f>IF(SUMPRODUCT(--(NOT(ISERR(SEARCH({"T","Z"},'CDR Project Planner'!$C21))))),'CDR Project Planner'!C21,"")</f>
        <v>C &amp; Z</v>
      </c>
      <c r="D21" s="33"/>
      <c r="E21" s="33"/>
      <c r="F21" s="33"/>
      <c r="G21" s="33"/>
      <c r="H21" s="47">
        <f>IF(SUMPRODUCT(--(NOT(ISERR(SEARCH({"T","Z"},'CDR Project Planner'!$C21))))),'CDR Project Planner'!H20,"")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40" t="str">
        <f>IF(SUMPRODUCT(--(NOT(ISERR(SEARCH({"T","Z"},'CDR Project Planner'!$C22))))),'CDR Project Planner'!B22,"")</f>
        <v>GUI - Create camera feed</v>
      </c>
      <c r="C22" s="33" t="str">
        <f>IF(SUMPRODUCT(--(NOT(ISERR(SEARCH({"T","Z"},'CDR Project Planner'!$C22))))),'CDR Project Planner'!C22,"")</f>
        <v>Z</v>
      </c>
      <c r="D22" s="33">
        <f>IF(SUMPRODUCT(--(NOT(ISERR(SEARCH({"T","Z"},'CDR Project Planner'!$C22))))),'CDR Project Planner'!D22,"")</f>
        <v>48</v>
      </c>
      <c r="E22" s="33">
        <f>IF(SUMPRODUCT(--(NOT(ISERR(SEARCH({"T","Z"},'CDR Project Planner'!$C22))))),'CDR Project Planner'!E22,"")</f>
        <v>10</v>
      </c>
      <c r="F22" s="33">
        <f>IF(SUMPRODUCT(--(NOT(ISERR(SEARCH({"T","Z"},'CDR Project Planner'!$C22))))),'CDR Project Planner'!F22,"")</f>
        <v>23</v>
      </c>
      <c r="G22" s="33">
        <f>IF(SUMPRODUCT(--(NOT(ISERR(SEARCH({"T","Z"},'CDR Project Planner'!$C22))))),'CDR Project Planner'!G22,"")</f>
        <v>0</v>
      </c>
      <c r="H22" s="47">
        <f>IF(SUMPRODUCT(--(NOT(ISERR(SEARCH({"T","Z"},'CDR Project Planner'!$C22))))),'CDR Project Planner'!H21,"")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40" t="str">
        <f>IF(SUMPRODUCT(--(NOT(ISERR(SEARCH({"T","Z"},'CDR Project Planner'!$C23))))),'CDR Project Planner'!B23,"")</f>
        <v/>
      </c>
      <c r="C23" s="33" t="str">
        <f>IF(SUMPRODUCT(--(NOT(ISERR(SEARCH({"T","Z"},'CDR Project Planner'!$C23))))),'CDR Project Planner'!C23,"")</f>
        <v/>
      </c>
      <c r="D23" s="33" t="str">
        <f>IF(SUMPRODUCT(--(NOT(ISERR(SEARCH({"T","Z"},'CDR Project Planner'!$C23))))),'CDR Project Planner'!D23,"")</f>
        <v/>
      </c>
      <c r="E23" s="33" t="str">
        <f>IF(SUMPRODUCT(--(NOT(ISERR(SEARCH({"T","Z"},'CDR Project Planner'!$C23))))),'CDR Project Planner'!E23,"")</f>
        <v/>
      </c>
      <c r="F23" s="33" t="str">
        <f>IF(SUMPRODUCT(--(NOT(ISERR(SEARCH({"T","Z"},'CDR Project Planner'!$C23))))),'CDR Project Planner'!F23,"")</f>
        <v/>
      </c>
      <c r="G23" s="33" t="str">
        <f>IF(SUMPRODUCT(--(NOT(ISERR(SEARCH({"T","Z"},'CDR Project Planner'!$C23))))),'CDR Project Planner'!G23,"")</f>
        <v/>
      </c>
      <c r="H23" s="47" t="str">
        <f>IF(SUMPRODUCT(--(NOT(ISERR(SEARCH({"T","Z"},'CDR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40" t="str">
        <f>IF(SUMPRODUCT(--(NOT(ISERR(SEARCH({"T","Z"},'CDR Project Planner'!$C25))))),'CDR Project Planner'!B25,"")</f>
        <v/>
      </c>
      <c r="C24" s="33" t="str">
        <f>IF(SUMPRODUCT(--(NOT(ISERR(SEARCH({"T","Z"},'CDR Project Planner'!$C25))))),'CDR Project Planner'!C25,"")</f>
        <v/>
      </c>
      <c r="D24" s="33" t="str">
        <f>IF(SUMPRODUCT(--(NOT(ISERR(SEARCH({"T","Z"},'CDR Project Planner'!$C25))))),'CDR Project Planner'!D25,"")</f>
        <v/>
      </c>
      <c r="E24" s="33" t="str">
        <f>IF(SUMPRODUCT(--(NOT(ISERR(SEARCH({"T","Z"},'CDR Project Planner'!$C25))))),'CDR Project Planner'!E25,"")</f>
        <v/>
      </c>
      <c r="F24" s="33" t="str">
        <f>IF(SUMPRODUCT(--(NOT(ISERR(SEARCH({"T","Z"},'CDR Project Planner'!$C25))))),'CDR Project Planner'!F25,"")</f>
        <v/>
      </c>
      <c r="G24" s="33" t="str">
        <f>IF(SUMPRODUCT(--(NOT(ISERR(SEARCH({"T","Z"},'CDR Project Planner'!$C25))))),'CDR Project Planner'!G25,"")</f>
        <v/>
      </c>
      <c r="H24" s="47" t="str">
        <f>IF(SUMPRODUCT(--(NOT(ISERR(SEARCH({"T","Z"},'CDR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40" t="str">
        <f>IF(SUMPRODUCT(--(NOT(ISERR(SEARCH({"T","Z"},'CDR Project Planner'!#REF!))))),'CDR Project Planner'!#REF!,"")</f>
        <v/>
      </c>
      <c r="C25" s="33" t="str">
        <f>IF(SUMPRODUCT(--(NOT(ISERR(SEARCH({"T","Z"},'CDR Project Planner'!#REF!))))),'CDR Project Planner'!#REF!,"")</f>
        <v/>
      </c>
      <c r="D25" s="33" t="str">
        <f>IF(SUMPRODUCT(--(NOT(ISERR(SEARCH({"T","Z"},'CDR Project Planner'!#REF!))))),'CDR Project Planner'!#REF!,"")</f>
        <v/>
      </c>
      <c r="E25" s="33" t="str">
        <f>IF(SUMPRODUCT(--(NOT(ISERR(SEARCH({"T","Z"},'CDR Project Planner'!#REF!))))),'CDR Project Planner'!#REF!,"")</f>
        <v/>
      </c>
      <c r="F25" s="33" t="str">
        <f>IF(SUMPRODUCT(--(NOT(ISERR(SEARCH({"T","Z"},'CDR Project Planner'!#REF!))))),'CDR Project Planner'!#REF!,"")</f>
        <v/>
      </c>
      <c r="G25" s="33" t="str">
        <f>IF(SUMPRODUCT(--(NOT(ISERR(SEARCH({"T","Z"},'CDR Project Planner'!#REF!))))),'CDR Project Planner'!#REF!,"")</f>
        <v/>
      </c>
      <c r="H25" s="47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">
      <c r="A26" s="1"/>
      <c r="B26" s="40" t="str">
        <f>IF(SUMPRODUCT(--(NOT(ISERR(SEARCH({"T","Z"},'CDR Project Planner'!#REF!))))),'CDR Project Planner'!#REF!,"")</f>
        <v/>
      </c>
      <c r="C26" s="33" t="str">
        <f>IF(SUMPRODUCT(--(NOT(ISERR(SEARCH({"T","Z"},'CDR Project Planner'!#REF!))))),'CDR Project Planner'!#REF!,"")</f>
        <v/>
      </c>
      <c r="D26" s="33" t="str">
        <f>IF(SUMPRODUCT(--(NOT(ISERR(SEARCH({"T","Z"},'CDR Project Planner'!#REF!))))),'CDR Project Planner'!#REF!,"")</f>
        <v/>
      </c>
      <c r="E26" s="33" t="str">
        <f>IF(SUMPRODUCT(--(NOT(ISERR(SEARCH({"T","Z"},'CDR Project Planner'!#REF!))))),'CDR Project Planner'!#REF!,"")</f>
        <v/>
      </c>
      <c r="F26" s="33" t="str">
        <f>IF(SUMPRODUCT(--(NOT(ISERR(SEARCH({"T","Z"},'CDR Project Planner'!#REF!))))),'CDR Project Planner'!#REF!,"")</f>
        <v/>
      </c>
      <c r="G26" s="33" t="str">
        <f>IF(SUMPRODUCT(--(NOT(ISERR(SEARCH({"T","Z"},'CDR Project Planner'!#REF!))))),'CDR Project Planner'!#REF!,"")</f>
        <v/>
      </c>
      <c r="H26" s="47" t="str">
        <f>IF(SUMPRODUCT(--(NOT(ISERR(SEARCH({"T","Z"},'CDR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9" t="str">
        <f>IF(SUMPRODUCT(--(NOT(ISERR(SEARCH({"T","Z"},'CDR Project Planner'!$C34))))),'CDR Project Planner'!B34,"")</f>
        <v/>
      </c>
      <c r="C27" s="33" t="str">
        <f>IF(SUMPRODUCT(--(NOT(ISERR(SEARCH({"T","Z"},'CDR Project Planner'!$C34))))),'CDR Project Planner'!C34,"")</f>
        <v/>
      </c>
      <c r="D27" s="33"/>
      <c r="E27" s="33"/>
      <c r="F27" s="33"/>
      <c r="G27" s="33"/>
      <c r="H27" s="47" t="str">
        <f>IF(SUMPRODUCT(--(NOT(ISERR(SEARCH({"T","Z"},'CDR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">
      <c r="A28" s="1"/>
      <c r="B28" s="40" t="str">
        <f>IF(SUMPRODUCT(--(NOT(ISERR(SEARCH({"T","Z"},'CDR Project Planner'!#REF!))))),'CDR Project Planner'!#REF!,"")</f>
        <v/>
      </c>
      <c r="C28" s="33" t="str">
        <f>IF(SUMPRODUCT(--(NOT(ISERR(SEARCH({"T","Z"},'CDR Project Planner'!#REF!))))),'CDR Project Planner'!#REF!,"")</f>
        <v/>
      </c>
      <c r="D28" s="33" t="str">
        <f>IF(SUMPRODUCT(--(NOT(ISERR(SEARCH({"T","Z"},'CDR Project Planner'!#REF!))))),'CDR Project Planner'!#REF!,"")</f>
        <v/>
      </c>
      <c r="E28" s="33" t="str">
        <f>IF(SUMPRODUCT(--(NOT(ISERR(SEARCH({"T","Z"},'CDR Project Planner'!#REF!))))),'CDR Project Planner'!#REF!,"")</f>
        <v/>
      </c>
      <c r="F28" s="33" t="str">
        <f>IF(SUMPRODUCT(--(NOT(ISERR(SEARCH({"T","Z"},'CDR Project Planner'!#REF!))))),'CDR Project Planner'!#REF!,"")</f>
        <v/>
      </c>
      <c r="G28" s="33" t="str">
        <f>IF(SUMPRODUCT(--(NOT(ISERR(SEARCH({"T","Z"},'CDR Project Planner'!#REF!))))),'CDR Project Planner'!#REF!,"")</f>
        <v/>
      </c>
      <c r="H28" s="47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">
      <c r="A29" s="1"/>
      <c r="B29" s="32" t="str">
        <f>IF(SUMPRODUCT(--(NOT(ISERR(SEARCH({"T","Z"},'CDR Project Planner'!$C35))))),'CDR Project Planner'!B35,"")</f>
        <v/>
      </c>
      <c r="C29" s="33" t="str">
        <f>IF(SUMPRODUCT(--(NOT(ISERR(SEARCH({"T","Z"},'CDR Project Planner'!$C35))))),'CDR Project Planner'!C35,"")</f>
        <v/>
      </c>
      <c r="D29" s="33" t="str">
        <f>IF(SUMPRODUCT(--(NOT(ISERR(SEARCH({"T","Z"},'CDR Project Planner'!$C35))))),'CDR Project Planner'!D35,"")</f>
        <v/>
      </c>
      <c r="E29" s="33" t="str">
        <f>IF(SUMPRODUCT(--(NOT(ISERR(SEARCH({"T","Z"},'CDR Project Planner'!$C35))))),'CDR Project Planner'!E35,"")</f>
        <v/>
      </c>
      <c r="F29" s="33" t="str">
        <f>IF(SUMPRODUCT(--(NOT(ISERR(SEARCH({"T","Z"},'CDR Project Planner'!$C35))))),'CDR Project Planner'!F35,"")</f>
        <v/>
      </c>
      <c r="G29" s="33" t="str">
        <f>IF(SUMPRODUCT(--(NOT(ISERR(SEARCH({"T","Z"},'CDR Project Planner'!$C35))))),'CDR Project Planner'!G35,"")</f>
        <v/>
      </c>
      <c r="H29" s="47" t="str">
        <f>IF(SUMPRODUCT(--(NOT(ISERR(SEARCH({"T","Z"},'CDR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IF(SUMPRODUCT(--(NOT(ISERR(SEARCH({"T","Z"},'CDR Project Planner'!$C40))))),'CDR Project Planner'!B40,"")</f>
        <v>Project Management</v>
      </c>
      <c r="C30" s="33" t="str">
        <f>IF(SUMPRODUCT(--(NOT(ISERR(SEARCH({"T","Z"},'CDR Project Planner'!$C40))))),'CDR Project Planner'!C40,"")</f>
        <v>An &amp; T &amp; ?</v>
      </c>
      <c r="D30" s="33"/>
      <c r="E30" s="33"/>
      <c r="F30" s="33"/>
      <c r="G30" s="33"/>
      <c r="H30" s="47" t="e">
        <f>IF(SUMPRODUCT(--(NOT(ISERR(SEARCH({"T","Z"},'CDR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32" t="str">
        <f>IF(SUMPRODUCT(--(NOT(ISERR(SEARCH({"T","Z"},'CDR Project Planner'!$C41))))),'CDR Project Planner'!B41,"")</f>
        <v/>
      </c>
      <c r="C31" s="33" t="str">
        <f>IF(SUMPRODUCT(--(NOT(ISERR(SEARCH({"T","Z"},'CDR Project Planner'!$C41))))),'CDR Project Planner'!C41,"")</f>
        <v/>
      </c>
      <c r="D31" s="33" t="str">
        <f>IF(SUMPRODUCT(--(NOT(ISERR(SEARCH({"T","Z"},'CDR Project Planner'!$C41))))),'CDR Project Planner'!D41,"")</f>
        <v/>
      </c>
      <c r="E31" s="33" t="str">
        <f>IF(SUMPRODUCT(--(NOT(ISERR(SEARCH({"T","Z"},'CDR Project Planner'!$C41))))),'CDR Project Planner'!E41,"")</f>
        <v/>
      </c>
      <c r="F31" s="33" t="str">
        <f>IF(SUMPRODUCT(--(NOT(ISERR(SEARCH({"T","Z"},'CDR Project Planner'!$C41))))),'CDR Project Planner'!F41,"")</f>
        <v/>
      </c>
      <c r="G31" s="33" t="str">
        <f>IF(SUMPRODUCT(--(NOT(ISERR(SEARCH({"T","Z"},'CDR Project Planner'!$C41))))),'CDR Project Planner'!G41,"")</f>
        <v/>
      </c>
      <c r="H31" s="47" t="str">
        <f>IF(SUMPRODUCT(--(NOT(ISERR(SEARCH({"T","Z"},'CDR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">
      <c r="A32" s="1"/>
      <c r="B32" s="32" t="str">
        <f>IF(SUMPRODUCT(--(NOT(ISERR(SEARCH({"T","Z"},'CDR Project Planner'!$C42))))),'CDR Project Planner'!B42,"")</f>
        <v/>
      </c>
      <c r="C32" s="33" t="str">
        <f>IF(SUMPRODUCT(--(NOT(ISERR(SEARCH({"T","Z"},'CDR Project Planner'!$C42))))),'CDR Project Planner'!C42,"")</f>
        <v/>
      </c>
      <c r="D32" s="33" t="str">
        <f>IF(SUMPRODUCT(--(NOT(ISERR(SEARCH({"T","Z"},'CDR Project Planner'!$C42))))),'CDR Project Planner'!D42,"")</f>
        <v/>
      </c>
      <c r="E32" s="33" t="str">
        <f>IF(SUMPRODUCT(--(NOT(ISERR(SEARCH({"T","Z"},'CDR Project Planner'!$C42))))),'CDR Project Planner'!E42,"")</f>
        <v/>
      </c>
      <c r="F32" s="33" t="str">
        <f>IF(SUMPRODUCT(--(NOT(ISERR(SEARCH({"T","Z"},'CDR Project Planner'!$C42))))),'CDR Project Planner'!F42,"")</f>
        <v/>
      </c>
      <c r="G32" s="33" t="str">
        <f>IF(SUMPRODUCT(--(NOT(ISERR(SEARCH({"T","Z"},'CDR Project Planner'!$C42))))),'CDR Project Planner'!G42,"")</f>
        <v/>
      </c>
      <c r="H32" s="47" t="str">
        <f>IF(SUMPRODUCT(--(NOT(ISERR(SEARCH({"T","Z"},'CDR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">
      <c r="A33" s="1"/>
      <c r="B33" s="32" t="str">
        <f>IF(SUMPRODUCT(--(NOT(ISERR(SEARCH({"T","Z"},'CDR Project Planner'!$C45))))),'CDR Project Planner'!B45,"")</f>
        <v/>
      </c>
      <c r="C33" s="33" t="str">
        <f>IF(SUMPRODUCT(--(NOT(ISERR(SEARCH({"T","Z"},'CDR Project Planner'!$C45))))),'CDR Project Planner'!C45,"")</f>
        <v/>
      </c>
      <c r="D33" s="33" t="str">
        <f>IF(SUMPRODUCT(--(NOT(ISERR(SEARCH({"T","Z"},'CDR Project Planner'!$C45))))),'CDR Project Planner'!D45,"")</f>
        <v/>
      </c>
      <c r="E33" s="33" t="str">
        <f>IF(SUMPRODUCT(--(NOT(ISERR(SEARCH({"T","Z"},'CDR Project Planner'!$C45))))),'CDR Project Planner'!E45,"")</f>
        <v/>
      </c>
      <c r="F33" s="33" t="str">
        <f>IF(SUMPRODUCT(--(NOT(ISERR(SEARCH({"T","Z"},'CDR Project Planner'!$C45))))),'CDR Project Planner'!F45,"")</f>
        <v/>
      </c>
      <c r="G33" s="33" t="str">
        <f>IF(SUMPRODUCT(--(NOT(ISERR(SEARCH({"T","Z"},'CDR Project Planner'!$C45))))),'CDR Project Planner'!G45,"")</f>
        <v/>
      </c>
      <c r="H33" s="47" t="str">
        <f>IF(SUMPRODUCT(--(NOT(ISERR(SEARCH({"T","Z"},'CDR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">
      <c r="A34" s="1"/>
      <c r="B34" s="32" t="str">
        <f>IF(SUMPRODUCT(--(NOT(ISERR(SEARCH({"T","Z"},'CDR Project Planner'!$C46))))),'CDR Project Planner'!B46,"")</f>
        <v/>
      </c>
      <c r="C34" s="33" t="str">
        <f>IF(SUMPRODUCT(--(NOT(ISERR(SEARCH({"T","Z"},'CDR Project Planner'!$C46))))),'CDR Project Planner'!C46,"")</f>
        <v/>
      </c>
      <c r="D34" s="33" t="str">
        <f>IF(SUMPRODUCT(--(NOT(ISERR(SEARCH({"T","Z"},'CDR Project Planner'!$C46))))),'CDR Project Planner'!D46,"")</f>
        <v/>
      </c>
      <c r="E34" s="33" t="str">
        <f>IF(SUMPRODUCT(--(NOT(ISERR(SEARCH({"T","Z"},'CDR Project Planner'!$C46))))),'CDR Project Planner'!E46,"")</f>
        <v/>
      </c>
      <c r="F34" s="33" t="str">
        <f>IF(SUMPRODUCT(--(NOT(ISERR(SEARCH({"T","Z"},'CDR Project Planner'!$C46))))),'CDR Project Planner'!F46,"")</f>
        <v/>
      </c>
      <c r="G34" s="33" t="str">
        <f>IF(SUMPRODUCT(--(NOT(ISERR(SEARCH({"T","Z"},'CDR Project Planner'!$C46))))),'CDR Project Planner'!G46,"")</f>
        <v/>
      </c>
      <c r="H34" s="47" t="str">
        <f>IF(SUMPRODUCT(--(NOT(ISERR(SEARCH({"T","Z"},'CDR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40" t="str">
        <f>IF(SUMPRODUCT(--(NOT(ISERR(SEARCH({"T","Z"},'CDR Project Planner'!$C48))))),'CDR Project Planner'!B48,"")</f>
        <v>CDR PowerPoint</v>
      </c>
      <c r="C35" s="33" t="str">
        <f>IF(SUMPRODUCT(--(NOT(ISERR(SEARCH({"T","Z"},'CDR Project Planner'!$C48))))),'CDR Project Planner'!C48,"")</f>
        <v>T</v>
      </c>
      <c r="D35" s="33">
        <f>IF(SUMPRODUCT(--(NOT(ISERR(SEARCH({"T","Z"},'CDR Project Planner'!$C48))))),'CDR Project Planner'!D48,"")</f>
        <v>55</v>
      </c>
      <c r="E35" s="33">
        <f>IF(SUMPRODUCT(--(NOT(ISERR(SEARCH({"T","Z"},'CDR Project Planner'!$C48))))),'CDR Project Planner'!E48,"")</f>
        <v>10</v>
      </c>
      <c r="F35" s="33">
        <f>IF(SUMPRODUCT(--(NOT(ISERR(SEARCH({"T","Z"},'CDR Project Planner'!$C48))))),'CDR Project Planner'!F48,"")</f>
        <v>0</v>
      </c>
      <c r="G35" s="33">
        <f>IF(SUMPRODUCT(--(NOT(ISERR(SEARCH({"T","Z"},'CDR Project Planner'!$C48))))),'CDR Project Planner'!G48,"")</f>
        <v>0</v>
      </c>
      <c r="H35" s="47">
        <f>IF(SUMPRODUCT(--(NOT(ISERR(SEARCH({"T","Z"},'CDR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IF(SUMPRODUCT(--(NOT(ISERR(SEARCH({"T","Z"},'CDR Project Planner'!$C49))))),'CDR Project Planner'!B49,"")</f>
        <v>CDR</v>
      </c>
      <c r="C36" s="37" t="str">
        <f>IF(SUMPRODUCT(--(NOT(ISERR(SEARCH({"T","Z"},'CDR Project Planner'!$C49))))),'CDR Project Planner'!C49,"")</f>
        <v>T</v>
      </c>
      <c r="D36" s="37">
        <f>IF(SUMPRODUCT(--(NOT(ISERR(SEARCH({"T","Z"},'CDR Project Planner'!$C49))))),'CDR Project Planner'!D49,"")</f>
        <v>69</v>
      </c>
      <c r="E36" s="37">
        <f>IF(SUMPRODUCT(--(NOT(ISERR(SEARCH({"T","Z"},'CDR Project Planner'!$C49))))),'CDR Project Planner'!E49,"")</f>
        <v>1</v>
      </c>
      <c r="F36" s="37">
        <f>IF(SUMPRODUCT(--(NOT(ISERR(SEARCH({"T","Z"},'CDR Project Planner'!$C49))))),'CDR Project Planner'!F49,"")</f>
        <v>55</v>
      </c>
      <c r="G36" s="37">
        <f>IF(SUMPRODUCT(--(NOT(ISERR(SEARCH({"T","Z"},'CDR Project Planner'!$C49))))),'CDR Project Planner'!G49,"")</f>
        <v>1</v>
      </c>
      <c r="H36" s="47">
        <f>IF(SUMPRODUCT(--(NOT(ISERR(SEARCH({"T","Z"},'CDR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2" t="str">
        <f>IF(SUMPRODUCT(--(NOT(ISERR(SEARCH({"T","Z"},'CDR Project Planner'!$C50))))),'CDR Project Planner'!B50,"")</f>
        <v/>
      </c>
      <c r="C37" s="33" t="str">
        <f>IF(SUMPRODUCT(--(NOT(ISERR(SEARCH({"T","Z"},'CDR Project Planner'!$C50))))),'CDR Project Planner'!C50,"")</f>
        <v/>
      </c>
      <c r="D37" s="33" t="str">
        <f>IF(SUMPRODUCT(--(NOT(ISERR(SEARCH({"T","Z"},'CDR Project Planner'!$C50))))),'CDR Project Planner'!D50,"")</f>
        <v/>
      </c>
      <c r="E37" s="33" t="str">
        <f>IF(SUMPRODUCT(--(NOT(ISERR(SEARCH({"T","Z"},'CDR Project Planner'!$C50))))),'CDR Project Planner'!E50,"")</f>
        <v/>
      </c>
      <c r="F37" s="33" t="str">
        <f>IF(SUMPRODUCT(--(NOT(ISERR(SEARCH({"T","Z"},'CDR Project Planner'!$C50))))),'CDR Project Planner'!F50,"")</f>
        <v/>
      </c>
      <c r="G37" s="33" t="str">
        <f>IF(SUMPRODUCT(--(NOT(ISERR(SEARCH({"T","Z"},'CDR Project Planner'!$C50))))),'CDR Project Planner'!G50,"")</f>
        <v/>
      </c>
      <c r="H37" s="47" t="str">
        <f>IF(SUMPRODUCT(--(NOT(ISERR(SEARCH({"T","Z"},'CDR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">
      <c r="A38" s="1"/>
      <c r="B38" s="32" t="str">
        <f>IF(SUMPRODUCT(--(NOT(ISERR(SEARCH({"T","Z"},'CDR Project Planner'!$C51))))),'CDR Project Planner'!B51,"")</f>
        <v/>
      </c>
      <c r="C38" s="33" t="str">
        <f>IF(SUMPRODUCT(--(NOT(ISERR(SEARCH({"T","Z"},'CDR Project Planner'!$C51))))),'CDR Project Planner'!C51,"")</f>
        <v/>
      </c>
      <c r="D38" s="33" t="str">
        <f>IF(SUMPRODUCT(--(NOT(ISERR(SEARCH({"T","Z"},'CDR Project Planner'!$C51))))),'CDR Project Planner'!D51,"")</f>
        <v/>
      </c>
      <c r="E38" s="33" t="str">
        <f>IF(SUMPRODUCT(--(NOT(ISERR(SEARCH({"T","Z"},'CDR Project Planner'!$C51))))),'CDR Project Planner'!E51,"")</f>
        <v/>
      </c>
      <c r="F38" s="33" t="str">
        <f>IF(SUMPRODUCT(--(NOT(ISERR(SEARCH({"T","Z"},'CDR Project Planner'!$C51))))),'CDR Project Planner'!F51,"")</f>
        <v/>
      </c>
      <c r="G38" s="33" t="str">
        <f>IF(SUMPRODUCT(--(NOT(ISERR(SEARCH({"T","Z"},'CDR Project Planner'!$C51))))),'CDR Project Planner'!G51,"")</f>
        <v/>
      </c>
      <c r="H38" s="47" t="str">
        <f>IF(SUMPRODUCT(--(NOT(ISERR(SEARCH({"T","Z"},'CDR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">
      <c r="A39" s="1"/>
      <c r="B39" s="32" t="str">
        <f>IF(SUMPRODUCT(--(NOT(ISERR(SEARCH({"T","Z"},'CDR Project Planner'!$C52))))),'CDR Project Planner'!B52,"")</f>
        <v/>
      </c>
      <c r="C39" s="33" t="str">
        <f>IF(SUMPRODUCT(--(NOT(ISERR(SEARCH({"T","Z"},'CDR Project Planner'!$C52))))),'CDR Project Planner'!C52,"")</f>
        <v/>
      </c>
      <c r="D39" s="33" t="str">
        <f>IF(SUMPRODUCT(--(NOT(ISERR(SEARCH({"T","Z"},'CDR Project Planner'!$C52))))),'CDR Project Planner'!D52,"")</f>
        <v/>
      </c>
      <c r="E39" s="33" t="str">
        <f>IF(SUMPRODUCT(--(NOT(ISERR(SEARCH({"T","Z"},'CDR Project Planner'!$C52))))),'CDR Project Planner'!E52,"")</f>
        <v/>
      </c>
      <c r="F39" s="33" t="str">
        <f>IF(SUMPRODUCT(--(NOT(ISERR(SEARCH({"T","Z"},'CDR Project Planner'!$C52))))),'CDR Project Planner'!F52,"")</f>
        <v/>
      </c>
      <c r="G39" s="33" t="str">
        <f>IF(SUMPRODUCT(--(NOT(ISERR(SEARCH({"T","Z"},'CDR Project Planner'!$C52))))),'CDR Project Planner'!G52,"")</f>
        <v/>
      </c>
      <c r="H39" s="47" t="str">
        <f>IF(SUMPRODUCT(--(NOT(ISERR(SEARCH({"T","Z"},'CDR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">
      <c r="A40" s="1"/>
      <c r="B40" s="32" t="str">
        <f>IF(SUMPRODUCT(--(NOT(ISERR(SEARCH({"T","Z"},'CDR Project Planner'!$C53))))),'CDR Project Planner'!B53,"")</f>
        <v/>
      </c>
      <c r="C40" s="33" t="str">
        <f>IF(SUMPRODUCT(--(NOT(ISERR(SEARCH({"T","Z"},'CDR Project Planner'!$C53))))),'CDR Project Planner'!C53,"")</f>
        <v/>
      </c>
      <c r="D40" s="33" t="str">
        <f>IF(SUMPRODUCT(--(NOT(ISERR(SEARCH({"T","Z"},'CDR Project Planner'!$C53))))),'CDR Project Planner'!D53,"")</f>
        <v/>
      </c>
      <c r="E40" s="33" t="str">
        <f>IF(SUMPRODUCT(--(NOT(ISERR(SEARCH({"T","Z"},'CDR Project Planner'!$C53))))),'CDR Project Planner'!E53,"")</f>
        <v/>
      </c>
      <c r="F40" s="33" t="str">
        <f>IF(SUMPRODUCT(--(NOT(ISERR(SEARCH({"T","Z"},'CDR Project Planner'!$C53))))),'CDR Project Planner'!F53,"")</f>
        <v/>
      </c>
      <c r="G40" s="33" t="str">
        <f>IF(SUMPRODUCT(--(NOT(ISERR(SEARCH({"T","Z"},'CDR Project Planner'!$C53))))),'CDR Project Planner'!G53,"")</f>
        <v/>
      </c>
      <c r="H40" s="47" t="str">
        <f>IF(SUMPRODUCT(--(NOT(ISERR(SEARCH({"T","Z"},'CDR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IF(SUMPRODUCT(--(NOT(ISERR(SEARCH({"T","Z"},'CDR Project Planner'!$C54))))),'CDR Project Planner'!B54,"")</f>
        <v/>
      </c>
      <c r="C41" s="33" t="str">
        <f>IF(SUMPRODUCT(--(NOT(ISERR(SEARCH({"T","Z"},'CDR Project Planner'!$C54))))),'CDR Project Planner'!C54,"")</f>
        <v/>
      </c>
      <c r="D41" s="33" t="str">
        <f>IF(SUMPRODUCT(--(NOT(ISERR(SEARCH({"T","Z"},'CDR Project Planner'!$C54))))),'CDR Project Planner'!D54,"")</f>
        <v/>
      </c>
      <c r="E41" s="33" t="str">
        <f>IF(SUMPRODUCT(--(NOT(ISERR(SEARCH({"T","Z"},'CDR Project Planner'!$C54))))),'CDR Project Planner'!E54,"")</f>
        <v/>
      </c>
      <c r="F41" s="33" t="str">
        <f>IF(SUMPRODUCT(--(NOT(ISERR(SEARCH({"T","Z"},'CDR Project Planner'!$C54))))),'CDR Project Planner'!F54,"")</f>
        <v/>
      </c>
      <c r="G41" s="33" t="str">
        <f>IF(SUMPRODUCT(--(NOT(ISERR(SEARCH({"T","Z"},'CDR Project Planner'!$C54))))),'CDR Project Planner'!G54,"")</f>
        <v/>
      </c>
      <c r="H41" s="47" t="str">
        <f>IF(SUMPRODUCT(--(NOT(ISERR(SEARCH({"T","Z"},'CDR Project Planner'!$C54))))),'CDR Project Planner'!H53,"")</f>
        <v/>
      </c>
    </row>
    <row r="42" spans="1:68" ht="30" customHeight="1" x14ac:dyDescent="0.3">
      <c r="B42" s="32" t="str">
        <f>IF(SUMPRODUCT(--(NOT(ISERR(SEARCH({"T","Z"},'CDR Project Planner'!$C55))))),'CDR Project Planner'!B55,"")</f>
        <v/>
      </c>
      <c r="C42" s="33" t="str">
        <f>IF(SUMPRODUCT(--(NOT(ISERR(SEARCH({"T","Z"},'CDR Project Planner'!$C55))))),'CDR Project Planner'!C55,"")</f>
        <v/>
      </c>
      <c r="D42" s="33" t="str">
        <f>IF(SUMPRODUCT(--(NOT(ISERR(SEARCH({"T","Z"},'CDR Project Planner'!$C55))))),'CDR Project Planner'!D55,"")</f>
        <v/>
      </c>
      <c r="E42" s="33" t="str">
        <f>IF(SUMPRODUCT(--(NOT(ISERR(SEARCH({"T","Z"},'CDR Project Planner'!$C55))))),'CDR Project Planner'!E55,"")</f>
        <v/>
      </c>
      <c r="F42" s="33" t="str">
        <f>IF(SUMPRODUCT(--(NOT(ISERR(SEARCH({"T","Z"},'CDR Project Planner'!$C55))))),'CDR Project Planner'!F55,"")</f>
        <v/>
      </c>
      <c r="G42" s="33" t="str">
        <f>IF(SUMPRODUCT(--(NOT(ISERR(SEARCH({"T","Z"},'CDR Project Planner'!$C55))))),'CDR Project Planner'!G55,"")</f>
        <v/>
      </c>
      <c r="H42" s="47" t="str">
        <f>IF(SUMPRODUCT(--(NOT(ISERR(SEARCH({"T","Z"},'CDR Project Planner'!$C55))))),'CDR Project Planner'!H54,"")</f>
        <v/>
      </c>
    </row>
    <row r="43" spans="1:68" ht="30" customHeight="1" x14ac:dyDescent="0.3">
      <c r="B43" s="32" t="str">
        <f>IF(SUMPRODUCT(--(NOT(ISERR(SEARCH({"T","Z"},'CDR Project Planner'!$C56))))),'CDR Project Planner'!B56,"")</f>
        <v/>
      </c>
      <c r="C43" s="33" t="str">
        <f>IF(SUMPRODUCT(--(NOT(ISERR(SEARCH({"T","Z"},'CDR Project Planner'!$C56))))),'CDR Project Planner'!C56,"")</f>
        <v/>
      </c>
      <c r="D43" s="33" t="str">
        <f>IF(SUMPRODUCT(--(NOT(ISERR(SEARCH({"T","Z"},'CDR Project Planner'!$C56))))),'CDR Project Planner'!D56,"")</f>
        <v/>
      </c>
      <c r="E43" s="33" t="str">
        <f>IF(SUMPRODUCT(--(NOT(ISERR(SEARCH({"T","Z"},'CDR Project Planner'!$C56))))),'CDR Project Planner'!E56,"")</f>
        <v/>
      </c>
      <c r="F43" s="33" t="str">
        <f>IF(SUMPRODUCT(--(NOT(ISERR(SEARCH({"T","Z"},'CDR Project Planner'!$C56))))),'CDR Project Planner'!F56,"")</f>
        <v/>
      </c>
      <c r="G43" s="33" t="str">
        <f>IF(SUMPRODUCT(--(NOT(ISERR(SEARCH({"T","Z"},'CDR Project Planner'!$C56))))),'CDR Project Planner'!G56,"")</f>
        <v/>
      </c>
      <c r="H43" s="47" t="str">
        <f>IF(SUMPRODUCT(--(NOT(ISERR(SEARCH({"T","Z"},'CDR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IF(SUMPRODUCT(--(NOT(ISERR(SEARCH({"T","Z"},'CDR Project Planner'!$C57))))),'CDR Project Planner'!B57,"")</f>
        <v/>
      </c>
      <c r="C44" s="33" t="str">
        <f>IF(SUMPRODUCT(--(NOT(ISERR(SEARCH({"T","Z"},'CDR Project Planner'!$C57))))),'CDR Project Planner'!C57,"")</f>
        <v/>
      </c>
      <c r="D44" s="33" t="str">
        <f>IF(SUMPRODUCT(--(NOT(ISERR(SEARCH({"T","Z"},'CDR Project Planner'!$C57))))),'CDR Project Planner'!D57,"")</f>
        <v/>
      </c>
      <c r="E44" s="33" t="str">
        <f>IF(SUMPRODUCT(--(NOT(ISERR(SEARCH({"T","Z"},'CDR Project Planner'!$C57))))),'CDR Project Planner'!E57,"")</f>
        <v/>
      </c>
      <c r="F44" s="33" t="str">
        <f>IF(SUMPRODUCT(--(NOT(ISERR(SEARCH({"T","Z"},'CDR Project Planner'!$C57))))),'CDR Project Planner'!F57,"")</f>
        <v/>
      </c>
      <c r="G44" s="33" t="str">
        <f>IF(SUMPRODUCT(--(NOT(ISERR(SEARCH({"T","Z"},'CDR Project Planner'!$C57))))),'CDR Project Planner'!G57,"")</f>
        <v/>
      </c>
      <c r="H44" s="47" t="str">
        <f>IF(SUMPRODUCT(--(NOT(ISERR(SEARCH({"T","Z"},'CDR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IF(SUMPRODUCT(--(NOT(ISERR(SEARCH({"T","Z"},'CDR Project Planner'!$C58))))),'CDR Project Planner'!B58,"")</f>
        <v/>
      </c>
      <c r="C45" s="33" t="str">
        <f>IF(SUMPRODUCT(--(NOT(ISERR(SEARCH({"T","Z"},'CDR Project Planner'!$C58))))),'CDR Project Planner'!C58,"")</f>
        <v/>
      </c>
      <c r="D45" s="33" t="str">
        <f>IF(SUMPRODUCT(--(NOT(ISERR(SEARCH({"T","Z"},'CDR Project Planner'!$C58))))),'CDR Project Planner'!D58,"")</f>
        <v/>
      </c>
      <c r="E45" s="33" t="str">
        <f>IF(SUMPRODUCT(--(NOT(ISERR(SEARCH({"T","Z"},'CDR Project Planner'!$C58))))),'CDR Project Planner'!E58,"")</f>
        <v/>
      </c>
      <c r="F45" s="33" t="str">
        <f>IF(SUMPRODUCT(--(NOT(ISERR(SEARCH({"T","Z"},'CDR Project Planner'!$C58))))),'CDR Project Planner'!F58,"")</f>
        <v/>
      </c>
      <c r="G45" s="33" t="str">
        <f>IF(SUMPRODUCT(--(NOT(ISERR(SEARCH({"T","Z"},'CDR Project Planner'!$C58))))),'CDR Project Planner'!G58,"")</f>
        <v/>
      </c>
      <c r="H45" s="47" t="str">
        <f>IF(SUMPRODUCT(--(NOT(ISERR(SEARCH({"T","Z"},'CDR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IF(SUMPRODUCT(--(NOT(ISERR(SEARCH({"T","Z"},'CDR Project Planner'!$C59))))),'CDR Project Planner'!B59,"")</f>
        <v/>
      </c>
      <c r="C46" s="33" t="str">
        <f>IF(SUMPRODUCT(--(NOT(ISERR(SEARCH({"T","Z"},'CDR Project Planner'!$C59))))),'CDR Project Planner'!C59,"")</f>
        <v/>
      </c>
      <c r="D46" s="33" t="str">
        <f>IF(SUMPRODUCT(--(NOT(ISERR(SEARCH({"T","Z"},'CDR Project Planner'!$C59))))),'CDR Project Planner'!D59,"")</f>
        <v/>
      </c>
      <c r="E46" s="33" t="str">
        <f>IF(SUMPRODUCT(--(NOT(ISERR(SEARCH({"T","Z"},'CDR Project Planner'!$C59))))),'CDR Project Planner'!E59,"")</f>
        <v/>
      </c>
      <c r="F46" s="33" t="str">
        <f>IF(SUMPRODUCT(--(NOT(ISERR(SEARCH({"T","Z"},'CDR Project Planner'!$C59))))),'CDR Project Planner'!F59,"")</f>
        <v/>
      </c>
      <c r="G46" s="33" t="str">
        <f>IF(SUMPRODUCT(--(NOT(ISERR(SEARCH({"T","Z"},'CDR Project Planner'!$C59))))),'CDR Project Planner'!G59,"")</f>
        <v/>
      </c>
      <c r="H46" s="47" t="str">
        <f>IF(SUMPRODUCT(--(NOT(ISERR(SEARCH({"T","Z"},'CDR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IF(SUMPRODUCT(--(NOT(ISERR(SEARCH({"T","Z"},'CDR Project Planner'!$C60))))),'CDR Project Planner'!B60,"")</f>
        <v/>
      </c>
      <c r="C47" s="33" t="str">
        <f>IF(SUMPRODUCT(--(NOT(ISERR(SEARCH({"T","Z"},'CDR Project Planner'!$C60))))),'CDR Project Planner'!C60,"")</f>
        <v/>
      </c>
      <c r="D47" s="33" t="str">
        <f>IF(SUMPRODUCT(--(NOT(ISERR(SEARCH({"T","Z"},'CDR Project Planner'!$C60))))),'CDR Project Planner'!D60,"")</f>
        <v/>
      </c>
      <c r="E47" s="33" t="str">
        <f>IF(SUMPRODUCT(--(NOT(ISERR(SEARCH({"T","Z"},'CDR Project Planner'!$C60))))),'CDR Project Planner'!E60,"")</f>
        <v/>
      </c>
      <c r="F47" s="33" t="str">
        <f>IF(SUMPRODUCT(--(NOT(ISERR(SEARCH({"T","Z"},'CDR Project Planner'!$C60))))),'CDR Project Planner'!F60,"")</f>
        <v/>
      </c>
      <c r="G47" s="33" t="str">
        <f>IF(SUMPRODUCT(--(NOT(ISERR(SEARCH({"T","Z"},'CDR Project Planner'!$C60))))),'CDR Project Planner'!G60,"")</f>
        <v/>
      </c>
      <c r="H47" s="47" t="str">
        <f>IF(SUMPRODUCT(--(NOT(ISERR(SEARCH({"T","Z"},'CDR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32" t="str">
        <f>IF(SUMPRODUCT(--(NOT(ISERR(SEARCH({"T","Z"},'CDR Project Planner'!$C61))))),'CDR Project Planner'!B61,"")</f>
        <v/>
      </c>
      <c r="C48" s="33" t="str">
        <f>IF(SUMPRODUCT(--(NOT(ISERR(SEARCH({"T","Z"},'CDR Project Planner'!$C61))))),'CDR Project Planner'!C61,"")</f>
        <v/>
      </c>
      <c r="D48" s="33" t="str">
        <f>IF(SUMPRODUCT(--(NOT(ISERR(SEARCH({"T","Z"},'CDR Project Planner'!$C61))))),'CDR Project Planner'!D61,"")</f>
        <v/>
      </c>
      <c r="E48" s="33" t="str">
        <f>IF(SUMPRODUCT(--(NOT(ISERR(SEARCH({"T","Z"},'CDR Project Planner'!$C61))))),'CDR Project Planner'!E61,"")</f>
        <v/>
      </c>
      <c r="F48" s="33" t="str">
        <f>IF(SUMPRODUCT(--(NOT(ISERR(SEARCH({"T","Z"},'CDR Project Planner'!$C61))))),'CDR Project Planner'!F61,"")</f>
        <v/>
      </c>
      <c r="G48" s="33" t="str">
        <f>IF(SUMPRODUCT(--(NOT(ISERR(SEARCH({"T","Z"},'CDR Project Planner'!$C61))))),'CDR Project Planner'!G61,"")</f>
        <v/>
      </c>
      <c r="H48" s="47" t="str">
        <f>IF(SUMPRODUCT(--(NOT(ISERR(SEARCH({"T","Z"},'CDR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IF(SUMPRODUCT(--(NOT(ISERR(SEARCH({"T","Z"},'CDR Project Planner'!$C62))))),'CDR Project Planner'!B62,"")</f>
        <v/>
      </c>
      <c r="C49" s="33" t="str">
        <f>IF(SUMPRODUCT(--(NOT(ISERR(SEARCH({"T","Z"},'CDR Project Planner'!$C62))))),'CDR Project Planner'!C62,"")</f>
        <v/>
      </c>
      <c r="D49" s="33" t="str">
        <f>IF(SUMPRODUCT(--(NOT(ISERR(SEARCH({"T","Z"},'CDR Project Planner'!$C62))))),'CDR Project Planner'!D62,"")</f>
        <v/>
      </c>
      <c r="E49" s="33" t="str">
        <f>IF(SUMPRODUCT(--(NOT(ISERR(SEARCH({"T","Z"},'CDR Project Planner'!$C62))))),'CDR Project Planner'!E62,"")</f>
        <v/>
      </c>
      <c r="F49" s="33" t="str">
        <f>IF(SUMPRODUCT(--(NOT(ISERR(SEARCH({"T","Z"},'CDR Project Planner'!$C62))))),'CDR Project Planner'!F62,"")</f>
        <v/>
      </c>
      <c r="G49" s="33" t="str">
        <f>IF(SUMPRODUCT(--(NOT(ISERR(SEARCH({"T","Z"},'CDR Project Planner'!$C62))))),'CDR Project Planner'!G62,"")</f>
        <v/>
      </c>
      <c r="H49" s="47" t="str">
        <f>IF(SUMPRODUCT(--(NOT(ISERR(SEARCH({"T","Z"},'CDR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12" priority="2">
      <formula>PercentComplete</formula>
    </cfRule>
    <cfRule type="expression" dxfId="111" priority="3">
      <formula>PercentCompleteBeyond</formula>
    </cfRule>
    <cfRule type="expression" dxfId="110" priority="4">
      <formula>Actual</formula>
    </cfRule>
    <cfRule type="expression" dxfId="109" priority="5">
      <formula>ActualBeyond</formula>
    </cfRule>
    <cfRule type="expression" dxfId="108" priority="6">
      <formula>Plan</formula>
    </cfRule>
    <cfRule type="expression" dxfId="107" priority="7">
      <formula>I$4=period_selected</formula>
    </cfRule>
    <cfRule type="expression" dxfId="106" priority="8">
      <formula>MOD(COLUMN(),2)</formula>
    </cfRule>
    <cfRule type="expression" dxfId="105" priority="9">
      <formula>MOD(COLUMN(),2)=0</formula>
    </cfRule>
  </conditionalFormatting>
  <conditionalFormatting sqref="I4:BP4">
    <cfRule type="expression" dxfId="104" priority="10">
      <formula>I$4=period_selected</formula>
    </cfRule>
  </conditionalFormatting>
  <conditionalFormatting sqref="I5:BP6 I39:BP39 I27:BP28 I42:BP42 I45:BP45 I48:BP48">
    <cfRule type="expression" dxfId="103" priority="11">
      <formula>PercentComplete</formula>
    </cfRule>
    <cfRule type="expression" dxfId="102" priority="12">
      <formula>PercentCompleteBeyond</formula>
    </cfRule>
    <cfRule type="expression" dxfId="101" priority="13">
      <formula>Actual</formula>
    </cfRule>
    <cfRule type="expression" dxfId="100" priority="14">
      <formula>ActualBeyond</formula>
    </cfRule>
    <cfRule type="expression" dxfId="99" priority="15">
      <formula>Plan</formula>
    </cfRule>
    <cfRule type="expression" dxfId="98" priority="16">
      <formula>I$4=period_selected</formula>
    </cfRule>
    <cfRule type="expression" dxfId="97" priority="17">
      <formula>MOD(COLUMN(),2)</formula>
    </cfRule>
    <cfRule type="expression" dxfId="96" priority="18">
      <formula>MOD(COLUMN(),2)=0</formula>
    </cfRule>
  </conditionalFormatting>
  <conditionalFormatting sqref="I38:BP38 I41:BP41 I44:BP44 I47:BP47">
    <cfRule type="expression" dxfId="95" priority="19">
      <formula>PercentComplete</formula>
    </cfRule>
    <cfRule type="expression" dxfId="94" priority="20">
      <formula>PercentCompleteBeyond</formula>
    </cfRule>
    <cfRule type="expression" dxfId="93" priority="21">
      <formula>Actual</formula>
    </cfRule>
    <cfRule type="expression" dxfId="92" priority="22">
      <formula>ActualBeyond</formula>
    </cfRule>
    <cfRule type="expression" dxfId="91" priority="23">
      <formula>Plan</formula>
    </cfRule>
    <cfRule type="expression" dxfId="90" priority="24">
      <formula>I$4=period_selected</formula>
    </cfRule>
    <cfRule type="expression" dxfId="89" priority="25">
      <formula>MOD(COLUMN(),2)</formula>
    </cfRule>
    <cfRule type="expression" dxfId="88" priority="26">
      <formula>MOD(COLUMN(),2)=0</formula>
    </cfRule>
  </conditionalFormatting>
  <conditionalFormatting sqref="I20:BP20">
    <cfRule type="expression" dxfId="87" priority="27">
      <formula>PercentComplete</formula>
    </cfRule>
    <cfRule type="expression" dxfId="86" priority="28">
      <formula>PercentCompleteBeyond</formula>
    </cfRule>
    <cfRule type="expression" dxfId="85" priority="29">
      <formula>Actual</formula>
    </cfRule>
    <cfRule type="expression" dxfId="84" priority="30">
      <formula>ActualBeyond</formula>
    </cfRule>
    <cfRule type="expression" dxfId="83" priority="31">
      <formula>Plan</formula>
    </cfRule>
    <cfRule type="expression" dxfId="82" priority="32">
      <formula>I$4=period_selected</formula>
    </cfRule>
    <cfRule type="expression" dxfId="81" priority="33">
      <formula>MOD(COLUMN(),2)</formula>
    </cfRule>
    <cfRule type="expression" dxfId="80" priority="34">
      <formula>MOD(COLUMN(),2)=0</formula>
    </cfRule>
  </conditionalFormatting>
  <conditionalFormatting sqref="I16:BP16 I18:BP19">
    <cfRule type="expression" dxfId="79" priority="35">
      <formula>PercentComplete</formula>
    </cfRule>
    <cfRule type="expression" dxfId="78" priority="36">
      <formula>PercentCompleteBeyond</formula>
    </cfRule>
    <cfRule type="expression" dxfId="77" priority="37">
      <formula>Actual</formula>
    </cfRule>
    <cfRule type="expression" dxfId="76" priority="38">
      <formula>ActualBeyond</formula>
    </cfRule>
    <cfRule type="expression" dxfId="75" priority="39">
      <formula>Plan</formula>
    </cfRule>
    <cfRule type="expression" dxfId="74" priority="40">
      <formula>I$4=period_selected</formula>
    </cfRule>
    <cfRule type="expression" dxfId="73" priority="41">
      <formula>MOD(COLUMN(),2)</formula>
    </cfRule>
    <cfRule type="expression" dxfId="72" priority="42">
      <formula>MOD(COLUMN(),2)=0</formula>
    </cfRule>
  </conditionalFormatting>
  <conditionalFormatting sqref="I17:BP17">
    <cfRule type="expression" dxfId="71" priority="43">
      <formula>PercentComplete</formula>
    </cfRule>
    <cfRule type="expression" dxfId="70" priority="44">
      <formula>PercentCompleteBeyond</formula>
    </cfRule>
    <cfRule type="expression" dxfId="69" priority="45">
      <formula>Actual</formula>
    </cfRule>
    <cfRule type="expression" dxfId="68" priority="46">
      <formula>ActualBeyond</formula>
    </cfRule>
    <cfRule type="expression" dxfId="67" priority="47">
      <formula>Plan</formula>
    </cfRule>
    <cfRule type="expression" dxfId="66" priority="48">
      <formula>I$4=period_selected</formula>
    </cfRule>
    <cfRule type="expression" dxfId="65" priority="49">
      <formula>MOD(COLUMN(),2)</formula>
    </cfRule>
    <cfRule type="expression" dxfId="64" priority="50">
      <formula>MOD(COLUMN(),2)=0</formula>
    </cfRule>
  </conditionalFormatting>
  <conditionalFormatting sqref="H53:H56">
    <cfRule type="cellIs" dxfId="63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6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8433" r:id="rId3" name="Overview_but">
          <controlPr defaultSize="0" autoLine="0" autoPict="0" r:id="rId4">
            <anchor moveWithCells="1">
              <from>
                <xdr:col>7</xdr:col>
                <xdr:colOff>57150</xdr:colOff>
                <xdr:row>0</xdr:row>
                <xdr:rowOff>104775</xdr:rowOff>
              </from>
              <to>
                <xdr:col>7</xdr:col>
                <xdr:colOff>1095375</xdr:colOff>
                <xdr:row>0</xdr:row>
                <xdr:rowOff>504825</xdr:rowOff>
              </to>
            </anchor>
          </controlPr>
        </control>
      </mc:Choice>
      <mc:Fallback>
        <control shapeId="18433" r:id="rId3" name="Overview_bu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3"/>
  <sheetViews>
    <sheetView topLeftCell="A13" zoomScale="70" zoomScaleNormal="70" workbookViewId="0">
      <selection activeCell="P12" sqref="P12"/>
    </sheetView>
  </sheetViews>
  <sheetFormatPr defaultColWidth="8.85546875" defaultRowHeight="15" x14ac:dyDescent="0.25"/>
  <cols>
    <col min="1" max="1" width="9.28515625" style="88" customWidth="1"/>
    <col min="2" max="2" width="29.5703125" style="86" customWidth="1"/>
    <col min="3" max="3" width="9.7109375" style="86" customWidth="1"/>
    <col min="4" max="4" width="8.7109375" style="86" customWidth="1"/>
    <col min="5" max="5" width="8.28515625" style="86" bestFit="1" customWidth="1"/>
    <col min="6" max="6" width="10.140625" style="86" customWidth="1"/>
    <col min="7" max="7" width="9.7109375" style="86" customWidth="1"/>
    <col min="8" max="8" width="9.7109375" style="86" bestFit="1" customWidth="1"/>
    <col min="9" max="9" width="9.7109375" style="86" customWidth="1"/>
    <col min="10" max="10" width="10.28515625" style="87" bestFit="1" customWidth="1"/>
    <col min="11" max="11" width="6" style="86" bestFit="1" customWidth="1"/>
    <col min="12" max="12" width="8.7109375" style="86" bestFit="1" customWidth="1"/>
    <col min="13" max="13" width="5.5703125" style="86" bestFit="1" customWidth="1"/>
    <col min="14" max="14" width="7.7109375" style="86" customWidth="1"/>
    <col min="15" max="15" width="6" style="86" customWidth="1"/>
    <col min="16" max="16" width="9.7109375" style="86" customWidth="1"/>
    <col min="17" max="17" width="8.7109375" style="86" customWidth="1"/>
    <col min="18" max="19" width="8.28515625" style="86" customWidth="1"/>
    <col min="20" max="20" width="9.7109375" style="86" customWidth="1"/>
    <col min="21" max="22" width="9.7109375" style="86" bestFit="1" customWidth="1"/>
    <col min="23" max="23" width="12.42578125" style="86" bestFit="1" customWidth="1"/>
    <col min="24" max="24" width="7.140625" style="86" bestFit="1" customWidth="1"/>
    <col min="25" max="25" width="7.28515625" style="86" bestFit="1" customWidth="1"/>
    <col min="26" max="26" width="6.42578125" style="86" bestFit="1" customWidth="1"/>
    <col min="27" max="27" width="9.5703125" style="86" bestFit="1" customWidth="1"/>
    <col min="28" max="28" width="6.85546875" style="86" bestFit="1" customWidth="1"/>
    <col min="29" max="29" width="8.7109375" style="86" customWidth="1" collapsed="1"/>
    <col min="30" max="1025" width="8.7109375" style="86" customWidth="1"/>
    <col min="1026" max="16384" width="8.85546875" style="68"/>
  </cols>
  <sheetData>
    <row r="1" spans="1:27" ht="15.75" thickBot="1" x14ac:dyDescent="0.3">
      <c r="B1" s="152" t="s">
        <v>179</v>
      </c>
      <c r="M1" s="91" t="s">
        <v>147</v>
      </c>
      <c r="O1" s="91"/>
      <c r="U1" s="89" t="s">
        <v>146</v>
      </c>
    </row>
    <row r="2" spans="1:27" x14ac:dyDescent="0.25">
      <c r="A2" s="153" t="s">
        <v>135</v>
      </c>
      <c r="B2" s="154" t="s">
        <v>180</v>
      </c>
      <c r="C2" s="155" t="s">
        <v>181</v>
      </c>
      <c r="D2" s="83" t="s">
        <v>99</v>
      </c>
      <c r="E2" s="83" t="s">
        <v>64</v>
      </c>
      <c r="F2" s="83" t="s">
        <v>133</v>
      </c>
      <c r="G2" s="83" t="s">
        <v>72</v>
      </c>
      <c r="H2" s="83" t="s">
        <v>132</v>
      </c>
      <c r="I2" s="83" t="s">
        <v>124</v>
      </c>
      <c r="J2" s="156" t="s">
        <v>182</v>
      </c>
      <c r="N2" s="89" t="s">
        <v>99</v>
      </c>
      <c r="O2" s="90" t="s">
        <v>64</v>
      </c>
      <c r="P2" s="90" t="s">
        <v>133</v>
      </c>
      <c r="Q2" s="90" t="s">
        <v>72</v>
      </c>
      <c r="R2" s="90" t="s">
        <v>132</v>
      </c>
      <c r="S2" s="90" t="s">
        <v>124</v>
      </c>
      <c r="T2" s="89"/>
      <c r="U2" s="89"/>
      <c r="V2" s="89" t="s">
        <v>99</v>
      </c>
      <c r="W2" s="89" t="s">
        <v>64</v>
      </c>
      <c r="X2" s="89" t="s">
        <v>133</v>
      </c>
      <c r="Y2" s="89" t="s">
        <v>72</v>
      </c>
      <c r="Z2" s="89" t="s">
        <v>132</v>
      </c>
      <c r="AA2" s="89" t="s">
        <v>124</v>
      </c>
    </row>
    <row r="3" spans="1:27" x14ac:dyDescent="0.25">
      <c r="A3" s="157">
        <v>43135</v>
      </c>
      <c r="B3" s="158" t="s">
        <v>183</v>
      </c>
      <c r="C3" s="159">
        <v>0</v>
      </c>
      <c r="D3" s="160"/>
      <c r="E3" s="161"/>
      <c r="F3" s="161"/>
      <c r="G3" s="161"/>
      <c r="H3" s="161"/>
      <c r="I3" s="161"/>
      <c r="J3" s="162">
        <f>SUM(D3:I3)*Overview!$C$1*C3</f>
        <v>0</v>
      </c>
      <c r="N3" s="89"/>
      <c r="O3" s="90"/>
      <c r="P3" s="90"/>
      <c r="Q3" s="90"/>
      <c r="R3" s="90"/>
      <c r="S3" s="90"/>
      <c r="T3" s="89"/>
      <c r="U3" s="89"/>
      <c r="V3" s="89"/>
      <c r="W3" s="89"/>
      <c r="X3" s="89"/>
      <c r="Y3" s="89"/>
      <c r="Z3" s="89"/>
      <c r="AA3" s="89"/>
    </row>
    <row r="4" spans="1:27" x14ac:dyDescent="0.25">
      <c r="A4" s="163">
        <v>43137</v>
      </c>
      <c r="B4" s="164" t="s">
        <v>184</v>
      </c>
      <c r="C4" s="165">
        <v>0.5</v>
      </c>
      <c r="D4" s="166">
        <v>1</v>
      </c>
      <c r="E4" s="167"/>
      <c r="F4" s="167"/>
      <c r="G4" s="167"/>
      <c r="H4" s="167"/>
      <c r="I4" s="167"/>
      <c r="J4" s="162">
        <f>SUM(D4:I4)*Overview!$C$1*C4</f>
        <v>50</v>
      </c>
      <c r="N4" s="86">
        <f>IF(D4=1,Overview!$C$1*$C4,0)</f>
        <v>50</v>
      </c>
      <c r="O4" s="86">
        <f>IF(E4=1,Overview!$C$1*$C4,0)</f>
        <v>0</v>
      </c>
      <c r="P4" s="86">
        <f>IF(F4=1,Overview!$C$1*$C4,0)</f>
        <v>0</v>
      </c>
      <c r="Q4" s="86">
        <f>IF(G4=1,Overview!$C$1*$C4,0)</f>
        <v>0</v>
      </c>
      <c r="R4" s="86">
        <f>IF(H4=1,Overview!$C$1*$C4,0)</f>
        <v>0</v>
      </c>
      <c r="S4" s="86">
        <f>IF(I4=1,Overview!$C$1*$C4,0)</f>
        <v>0</v>
      </c>
      <c r="V4" s="148">
        <f>IF(D4=1,'[1]Burn Report'!$C4,0)</f>
        <v>0.5</v>
      </c>
      <c r="W4" s="86">
        <f>IF('[1]Burn Report'!E4=1,'[1]Burn Report'!$C4,0)</f>
        <v>0</v>
      </c>
      <c r="X4" s="86">
        <f>IF('[1]Burn Report'!F4=1,'[1]Burn Report'!$C4,0)</f>
        <v>0</v>
      </c>
      <c r="Y4" s="86">
        <f>IF('[1]Burn Report'!G4=1,'[1]Burn Report'!$C4,0)</f>
        <v>0</v>
      </c>
      <c r="Z4" s="86">
        <f>IF('[1]Burn Report'!H4=1,'[1]Burn Report'!$C4,0)</f>
        <v>0</v>
      </c>
      <c r="AA4" s="86">
        <f>IF('[1]Burn Report'!I4=1,'[1]Burn Report'!$C4,0)</f>
        <v>0</v>
      </c>
    </row>
    <row r="5" spans="1:27" x14ac:dyDescent="0.25">
      <c r="A5" s="168">
        <v>43144</v>
      </c>
      <c r="B5" s="169" t="s">
        <v>184</v>
      </c>
      <c r="C5" s="170">
        <v>0.5</v>
      </c>
      <c r="D5" s="171">
        <v>1</v>
      </c>
      <c r="E5" s="171"/>
      <c r="F5" s="171"/>
      <c r="G5" s="171"/>
      <c r="H5" s="171"/>
      <c r="I5" s="171"/>
      <c r="J5" s="162">
        <f>SUM(D5:I5)*Overview!$C$1*C5</f>
        <v>50</v>
      </c>
      <c r="N5" s="86">
        <f>IF(D5=1,Overview!$C$1*$C5,0)</f>
        <v>50</v>
      </c>
      <c r="O5" s="86">
        <f>IF(E5=1,Overview!$C$1*$C5,0)</f>
        <v>0</v>
      </c>
      <c r="P5" s="86">
        <f>IF(F5=1,Overview!$C$1*$C5,0)</f>
        <v>0</v>
      </c>
      <c r="Q5" s="86">
        <f>IF(G5=1,Overview!$C$1*$C5,0)</f>
        <v>0</v>
      </c>
      <c r="R5" s="86">
        <f>IF(H5=1,Overview!$C$1*$C5,0)</f>
        <v>0</v>
      </c>
      <c r="S5" s="86">
        <f>IF(I5=1,Overview!$C$1*$C5,0)</f>
        <v>0</v>
      </c>
      <c r="V5" s="148">
        <f>IF('[1]Burn Report'!D5=1,'[1]Burn Report'!$C5,0)</f>
        <v>0.5</v>
      </c>
      <c r="W5" s="86">
        <f>IF('[1]Burn Report'!E5=1,'[1]Burn Report'!$C5,0)</f>
        <v>0</v>
      </c>
      <c r="X5" s="86">
        <f>IF('[1]Burn Report'!F5=1,'[1]Burn Report'!$C5,0)</f>
        <v>0</v>
      </c>
      <c r="Y5" s="86">
        <f>IF('[1]Burn Report'!G5=1,'[1]Burn Report'!$C5,0)</f>
        <v>0</v>
      </c>
      <c r="Z5" s="86">
        <f>IF('[1]Burn Report'!H5=1,'[1]Burn Report'!$C5,0)</f>
        <v>0</v>
      </c>
      <c r="AA5" s="86">
        <f>IF('[1]Burn Report'!I5=1,'[1]Burn Report'!$C5,0)</f>
        <v>0</v>
      </c>
    </row>
    <row r="6" spans="1:27" x14ac:dyDescent="0.25">
      <c r="A6" s="168">
        <v>43153</v>
      </c>
      <c r="B6" s="172" t="s">
        <v>92</v>
      </c>
      <c r="C6" s="170">
        <v>2</v>
      </c>
      <c r="D6" s="171"/>
      <c r="E6" s="171">
        <v>1</v>
      </c>
      <c r="F6" s="171">
        <v>1</v>
      </c>
      <c r="G6" s="171">
        <v>1</v>
      </c>
      <c r="H6" s="171"/>
      <c r="I6" s="171"/>
      <c r="J6" s="162">
        <f>SUM(D6:I6)*Overview!$C$1*C6</f>
        <v>600</v>
      </c>
      <c r="N6" s="86">
        <f>IF(D6=1,Overview!$C$1*$C6,0)</f>
        <v>0</v>
      </c>
      <c r="O6" s="86">
        <f>IF(E6=1,Overview!$C$1*$C6,0)</f>
        <v>200</v>
      </c>
      <c r="P6" s="86">
        <f>IF(F6=1,Overview!$C$1*$C6,0)</f>
        <v>200</v>
      </c>
      <c r="Q6" s="86">
        <f>IF(G6=1,Overview!$C$1*$C6,0)</f>
        <v>200</v>
      </c>
      <c r="R6" s="86">
        <f>IF(H6=1,Overview!$C$1*$C6,0)</f>
        <v>0</v>
      </c>
      <c r="S6" s="86">
        <f>IF(I6=1,Overview!$C$1*$C6,0)</f>
        <v>0</v>
      </c>
      <c r="V6" s="148">
        <f>IF('[1]Burn Report'!D6=1,'[1]Burn Report'!$C6,0)</f>
        <v>0</v>
      </c>
      <c r="W6" s="86">
        <f>IF('[1]Burn Report'!E6=1,'[1]Burn Report'!$C6,0)</f>
        <v>2</v>
      </c>
      <c r="X6" s="86">
        <f>IF('[1]Burn Report'!F6=1,'[1]Burn Report'!$C6,0)</f>
        <v>2</v>
      </c>
      <c r="Y6" s="86">
        <f>IF('[1]Burn Report'!G6=1,'[1]Burn Report'!$C6,0)</f>
        <v>2</v>
      </c>
      <c r="Z6" s="86">
        <f>IF('[1]Burn Report'!H6=1,'[1]Burn Report'!$C6,0)</f>
        <v>0</v>
      </c>
      <c r="AA6" s="86">
        <f>IF('[1]Burn Report'!I6=1,'[1]Burn Report'!$C6,0)</f>
        <v>0</v>
      </c>
    </row>
    <row r="7" spans="1:27" x14ac:dyDescent="0.25">
      <c r="A7" s="168">
        <v>43153</v>
      </c>
      <c r="B7" s="172" t="s">
        <v>92</v>
      </c>
      <c r="C7" s="170">
        <v>1</v>
      </c>
      <c r="D7" s="171"/>
      <c r="E7" s="171">
        <v>1</v>
      </c>
      <c r="F7" s="171"/>
      <c r="G7" s="171"/>
      <c r="H7" s="171"/>
      <c r="I7" s="171"/>
      <c r="J7" s="162">
        <f>SUM(D7:I7)*Overview!$C$1*C7</f>
        <v>100</v>
      </c>
      <c r="N7" s="86">
        <f>IF(D7=1,Overview!$C$1*$C7,0)</f>
        <v>0</v>
      </c>
      <c r="O7" s="86">
        <f>IF(E7=1,Overview!$C$1*$C7,0)</f>
        <v>100</v>
      </c>
      <c r="P7" s="86">
        <f>IF(F7=1,Overview!$C$1*$C7,0)</f>
        <v>0</v>
      </c>
      <c r="Q7" s="86">
        <f>IF(G7=1,Overview!$C$1*$C7,0)</f>
        <v>0</v>
      </c>
      <c r="R7" s="86">
        <f>IF(H7=1,Overview!$C$1*$C7,0)</f>
        <v>0</v>
      </c>
      <c r="S7" s="86">
        <f>IF(I7=1,Overview!$C$1*$C7,0)</f>
        <v>0</v>
      </c>
      <c r="V7" s="148">
        <f>IF('[1]Burn Report'!D7=1,'[1]Burn Report'!$C7,0)</f>
        <v>0</v>
      </c>
      <c r="W7" s="86">
        <f>IF('[1]Burn Report'!E7=1,'[1]Burn Report'!$C7,0)</f>
        <v>1</v>
      </c>
      <c r="X7" s="86">
        <f>IF('[1]Burn Report'!F7=1,'[1]Burn Report'!$C7,0)</f>
        <v>0</v>
      </c>
      <c r="Y7" s="86">
        <f>IF('[1]Burn Report'!G7=1,'[1]Burn Report'!$C7,0)</f>
        <v>0</v>
      </c>
      <c r="Z7" s="86">
        <f>IF('[1]Burn Report'!H7=1,'[1]Burn Report'!$C7,0)</f>
        <v>0</v>
      </c>
      <c r="AA7" s="86">
        <f>IF('[1]Burn Report'!I7=1,'[1]Burn Report'!$C7,0)</f>
        <v>0</v>
      </c>
    </row>
    <row r="8" spans="1:27" ht="26.25" x14ac:dyDescent="0.25">
      <c r="A8" s="168">
        <v>43153</v>
      </c>
      <c r="B8" s="172" t="s">
        <v>83</v>
      </c>
      <c r="C8" s="170">
        <v>1</v>
      </c>
      <c r="D8" s="171"/>
      <c r="E8" s="171"/>
      <c r="F8" s="171"/>
      <c r="G8" s="171">
        <v>1</v>
      </c>
      <c r="H8" s="171"/>
      <c r="I8" s="171">
        <v>1</v>
      </c>
      <c r="J8" s="162">
        <f>SUM(D8:I8)*Overview!$C$1*C8</f>
        <v>200</v>
      </c>
      <c r="N8" s="86">
        <f>IF(D8=1,Overview!$C$1*$C8,0)</f>
        <v>0</v>
      </c>
      <c r="O8" s="86">
        <f>IF(E8=1,Overview!$C$1*$C8,0)</f>
        <v>0</v>
      </c>
      <c r="P8" s="86">
        <f>IF(F8=1,Overview!$C$1*$C8,0)</f>
        <v>0</v>
      </c>
      <c r="Q8" s="86">
        <f>IF(G8=1,Overview!$C$1*$C8,0)</f>
        <v>100</v>
      </c>
      <c r="R8" s="86">
        <f>IF(H8=1,Overview!$C$1*$C8,0)</f>
        <v>0</v>
      </c>
      <c r="S8" s="86">
        <f>IF(I8=1,Overview!$C$1*$C8,0)</f>
        <v>100</v>
      </c>
      <c r="V8" s="148">
        <f>IF('[1]Burn Report'!D8=1,'[1]Burn Report'!$C8,0)</f>
        <v>0</v>
      </c>
      <c r="W8" s="86">
        <f>IF('[1]Burn Report'!E8=1,'[1]Burn Report'!$C8,0)</f>
        <v>0</v>
      </c>
      <c r="X8" s="86">
        <f>IF('[1]Burn Report'!F8=1,'[1]Burn Report'!$C8,0)</f>
        <v>0</v>
      </c>
      <c r="Y8" s="86">
        <f>IF('[1]Burn Report'!G8=1,'[1]Burn Report'!$C8,0)</f>
        <v>1</v>
      </c>
      <c r="Z8" s="86">
        <f>IF('[1]Burn Report'!H8=1,'[1]Burn Report'!$C8,0)</f>
        <v>0</v>
      </c>
      <c r="AA8" s="86">
        <f>IF('[1]Burn Report'!I8=1,'[1]Burn Report'!$C8,0)</f>
        <v>1</v>
      </c>
    </row>
    <row r="9" spans="1:27" ht="39" x14ac:dyDescent="0.25">
      <c r="A9" s="168">
        <v>43153</v>
      </c>
      <c r="B9" s="172" t="s">
        <v>185</v>
      </c>
      <c r="C9" s="170">
        <v>2</v>
      </c>
      <c r="D9" s="171"/>
      <c r="E9" s="171">
        <v>1</v>
      </c>
      <c r="F9" s="171"/>
      <c r="G9" s="171"/>
      <c r="H9" s="171"/>
      <c r="I9" s="171"/>
      <c r="J9" s="162">
        <f>SUM(D9:I9)*Overview!$C$1*C9</f>
        <v>200</v>
      </c>
      <c r="N9" s="86">
        <f>IF(D9=1,Overview!$C$1*$C9,0)</f>
        <v>0</v>
      </c>
      <c r="O9" s="86">
        <f>IF(E9=1,Overview!$C$1*$C9,0)</f>
        <v>200</v>
      </c>
      <c r="P9" s="86">
        <f>IF(F9=1,Overview!$C$1*$C9,0)</f>
        <v>0</v>
      </c>
      <c r="Q9" s="86">
        <f>IF(G9=1,Overview!$C$1*$C9,0)</f>
        <v>0</v>
      </c>
      <c r="R9" s="86">
        <f>IF(H9=1,Overview!$C$1*$C9,0)</f>
        <v>0</v>
      </c>
      <c r="S9" s="86">
        <f>IF(I9=1,Overview!$C$1*$C9,0)</f>
        <v>0</v>
      </c>
      <c r="V9" s="148">
        <f>IF('[1]Burn Report'!D9=1,'[1]Burn Report'!$C9,0)</f>
        <v>0</v>
      </c>
      <c r="W9" s="86">
        <f>IF('[1]Burn Report'!E9=1,'[1]Burn Report'!$C9,0)</f>
        <v>2</v>
      </c>
      <c r="X9" s="86">
        <f>IF('[1]Burn Report'!F9=1,'[1]Burn Report'!$C9,0)</f>
        <v>0</v>
      </c>
      <c r="Z9" s="86">
        <f>IF('[1]Burn Report'!H9=1,'[1]Burn Report'!$C9,0)</f>
        <v>0</v>
      </c>
      <c r="AA9" s="86">
        <f>IF('[1]Burn Report'!I9=1,'[1]Burn Report'!$C9,0)</f>
        <v>0</v>
      </c>
    </row>
    <row r="10" spans="1:27" x14ac:dyDescent="0.25">
      <c r="A10" s="168">
        <v>43155</v>
      </c>
      <c r="B10" s="172" t="s">
        <v>62</v>
      </c>
      <c r="C10" s="170">
        <v>1</v>
      </c>
      <c r="D10" s="171"/>
      <c r="E10" s="171"/>
      <c r="F10" s="171"/>
      <c r="G10" s="171"/>
      <c r="H10" s="171">
        <v>1</v>
      </c>
      <c r="I10" s="171"/>
      <c r="J10" s="162">
        <f>SUM(D10:I10)*Overview!$C$1*C10</f>
        <v>100</v>
      </c>
      <c r="N10" s="86">
        <f>IF(D10=1,Overview!$C$1*$C10,0)</f>
        <v>0</v>
      </c>
      <c r="O10" s="86">
        <f>IF(E10=1,Overview!$C$1*$C10,0)</f>
        <v>0</v>
      </c>
      <c r="P10" s="86">
        <f>IF(F10=1,Overview!$C$1*$C10,0)</f>
        <v>0</v>
      </c>
      <c r="Q10" s="86">
        <f>IF(G10=1,Overview!$C$1*$C10,0)</f>
        <v>0</v>
      </c>
      <c r="R10" s="86">
        <f>IF(H10=1,Overview!$C$1*$C10,0)</f>
        <v>100</v>
      </c>
      <c r="S10" s="86">
        <f>IF(I10=1,Overview!$C$1*$C10,0)</f>
        <v>0</v>
      </c>
      <c r="V10" s="148">
        <f>IF('[1]Burn Report'!D10=1,'[1]Burn Report'!$C10,0)</f>
        <v>0</v>
      </c>
      <c r="W10" s="86">
        <f>IF('[1]Burn Report'!E10=1,'[1]Burn Report'!$C10,0)</f>
        <v>0</v>
      </c>
      <c r="X10" s="86">
        <f>IF('[1]Burn Report'!F10=1,'[1]Burn Report'!$C10,0)</f>
        <v>0</v>
      </c>
      <c r="Y10" s="86">
        <f>IF('[1]Burn Report'!G10=1,'[1]Burn Report'!$C10,0)</f>
        <v>0</v>
      </c>
      <c r="Z10" s="86">
        <f>IF('[1]Burn Report'!H10=1,'[1]Burn Report'!$C10,0)</f>
        <v>1</v>
      </c>
      <c r="AA10" s="86">
        <f>IF('[1]Burn Report'!I10=1,'[1]Burn Report'!$C10,0)</f>
        <v>0</v>
      </c>
    </row>
    <row r="11" spans="1:27" ht="26.25" x14ac:dyDescent="0.25">
      <c r="A11" s="168">
        <v>43157</v>
      </c>
      <c r="B11" s="172" t="s">
        <v>83</v>
      </c>
      <c r="C11" s="170">
        <v>1</v>
      </c>
      <c r="D11" s="171"/>
      <c r="E11" s="171"/>
      <c r="F11" s="171"/>
      <c r="G11" s="171">
        <v>1</v>
      </c>
      <c r="H11" s="171"/>
      <c r="I11" s="171"/>
      <c r="J11" s="162">
        <f>SUM(D11:I11)*Overview!$C$1*C11</f>
        <v>100</v>
      </c>
      <c r="N11" s="86">
        <f>IF(D11=1,Overview!$C$1*$C11,0)</f>
        <v>0</v>
      </c>
      <c r="O11" s="86">
        <f>IF(E11=1,Overview!$C$1*$C11,0)</f>
        <v>0</v>
      </c>
      <c r="P11" s="86">
        <f>IF(F11=1,Overview!$C$1*$C11,0)</f>
        <v>0</v>
      </c>
      <c r="Q11" s="86">
        <f>IF(G11=1,Overview!$C$1*$C11,0)</f>
        <v>100</v>
      </c>
      <c r="R11" s="86">
        <f>IF(H11=1,Overview!$C$1*$C11,0)</f>
        <v>0</v>
      </c>
      <c r="S11" s="86">
        <f>IF(I11=1,Overview!$C$1*$C11,0)</f>
        <v>0</v>
      </c>
      <c r="V11" s="148">
        <f>IF('[1]Burn Report'!D11=1,'[1]Burn Report'!$C11,0)</f>
        <v>0</v>
      </c>
      <c r="W11" s="86">
        <f>IF('[1]Burn Report'!E11=1,'[1]Burn Report'!$C11,0)</f>
        <v>0</v>
      </c>
      <c r="X11" s="86">
        <f>IF('[1]Burn Report'!F11=1,'[1]Burn Report'!$C11,0)</f>
        <v>0</v>
      </c>
      <c r="Y11" s="86">
        <f>IF('[1]Burn Report'!G11=1,'[1]Burn Report'!$C11,0)</f>
        <v>1</v>
      </c>
      <c r="Z11" s="86">
        <f>IF('[1]Burn Report'!H11=1,'[1]Burn Report'!$C11,0)</f>
        <v>0</v>
      </c>
      <c r="AA11" s="86">
        <f>IF('[1]Burn Report'!I11=1,'[1]Burn Report'!$C11,0)</f>
        <v>0</v>
      </c>
    </row>
    <row r="12" spans="1:27" ht="26.25" x14ac:dyDescent="0.25">
      <c r="A12" s="168">
        <v>43157</v>
      </c>
      <c r="B12" s="172" t="s">
        <v>186</v>
      </c>
      <c r="C12" s="170">
        <v>1</v>
      </c>
      <c r="D12" s="171"/>
      <c r="E12" s="171">
        <v>1</v>
      </c>
      <c r="F12" s="171"/>
      <c r="G12" s="171"/>
      <c r="H12" s="171"/>
      <c r="I12" s="171"/>
      <c r="J12" s="162">
        <f>SUM(D12:I12)*Overview!$C$1*C12</f>
        <v>100</v>
      </c>
      <c r="N12" s="86">
        <f>IF(D12=1,Overview!$C$1*$C12,0)</f>
        <v>0</v>
      </c>
      <c r="O12" s="86">
        <f>IF(E12=1,Overview!$C$1*$C12,0)</f>
        <v>100</v>
      </c>
      <c r="P12" s="86">
        <f>IF(F12=1,Overview!$C$1*$C12,0)</f>
        <v>0</v>
      </c>
      <c r="Q12" s="86">
        <f>IF(G12=1,Overview!$C$1*$C12,0)</f>
        <v>0</v>
      </c>
      <c r="R12" s="86">
        <f>IF(H12=1,Overview!$C$1*$C12,0)</f>
        <v>0</v>
      </c>
      <c r="S12" s="86">
        <f>IF(I12=1,Overview!$C$1*$C12,0)</f>
        <v>0</v>
      </c>
      <c r="V12" s="148">
        <f>IF('[1]Burn Report'!D12=1,'[1]Burn Report'!$C12,0)</f>
        <v>0</v>
      </c>
      <c r="W12" s="86">
        <f>IF('[1]Burn Report'!E12=1,'[1]Burn Report'!$C12,0)</f>
        <v>1</v>
      </c>
      <c r="X12" s="86">
        <f>IF('[1]Burn Report'!F12=1,'[1]Burn Report'!$C12,0)</f>
        <v>0</v>
      </c>
      <c r="Z12" s="86">
        <f>IF('[1]Burn Report'!H12=1,'[1]Burn Report'!$C12,0)</f>
        <v>0</v>
      </c>
      <c r="AA12" s="86">
        <f>IF('[1]Burn Report'!I12=1,'[1]Burn Report'!$C12,0)</f>
        <v>0</v>
      </c>
    </row>
    <row r="13" spans="1:27" x14ac:dyDescent="0.25">
      <c r="A13" s="168">
        <v>43158</v>
      </c>
      <c r="B13" s="172" t="s">
        <v>187</v>
      </c>
      <c r="C13" s="170">
        <v>0.5</v>
      </c>
      <c r="D13" s="171"/>
      <c r="E13" s="171">
        <v>1</v>
      </c>
      <c r="F13" s="171"/>
      <c r="G13" s="171"/>
      <c r="H13" s="171">
        <v>1</v>
      </c>
      <c r="I13" s="171"/>
      <c r="J13" s="162">
        <f>SUM(D13:I13)*Overview!$C$1*C13</f>
        <v>100</v>
      </c>
      <c r="N13" s="86">
        <f>IF(D13=1,Overview!$C$1*$C13,0)</f>
        <v>0</v>
      </c>
      <c r="O13" s="86">
        <f>IF(E13=1,Overview!$C$1*$C13,0)</f>
        <v>50</v>
      </c>
      <c r="P13" s="86">
        <f>IF(F13=1,Overview!$C$1*$C13,0)</f>
        <v>0</v>
      </c>
      <c r="Q13" s="86">
        <f>IF(G13=1,Overview!$C$1*$C13,0)</f>
        <v>0</v>
      </c>
      <c r="R13" s="86">
        <f>IF(H13=1,Overview!$C$1*$C13,0)</f>
        <v>50</v>
      </c>
      <c r="S13" s="86">
        <f>IF(I13=1,Overview!$C$1*$C13,0)</f>
        <v>0</v>
      </c>
      <c r="V13" s="148">
        <f>IF('[1]Burn Report'!D13=1,'[1]Burn Report'!$C13,0)</f>
        <v>0</v>
      </c>
      <c r="W13" s="86">
        <f>IF('[1]Burn Report'!E13=1,'[1]Burn Report'!$C13,0)</f>
        <v>0.5</v>
      </c>
      <c r="X13" s="86">
        <f>IF('[1]Burn Report'!F13=1,'[1]Burn Report'!$C13,0)</f>
        <v>0</v>
      </c>
      <c r="Y13" s="86">
        <f>IF('[1]Burn Report'!G13=1,'[1]Burn Report'!$C13,0)</f>
        <v>0</v>
      </c>
      <c r="Z13" s="86">
        <f>IF('[1]Burn Report'!H13=1,'[1]Burn Report'!$C13,0)</f>
        <v>0.5</v>
      </c>
      <c r="AA13" s="86">
        <f>IF('[1]Burn Report'!I13=1,'[1]Burn Report'!$C13,0)</f>
        <v>0</v>
      </c>
    </row>
    <row r="14" spans="1:27" ht="39" x14ac:dyDescent="0.25">
      <c r="A14" s="168">
        <v>43158</v>
      </c>
      <c r="B14" s="172" t="s">
        <v>188</v>
      </c>
      <c r="C14" s="170">
        <v>2</v>
      </c>
      <c r="D14" s="171"/>
      <c r="E14" s="171">
        <v>1</v>
      </c>
      <c r="F14" s="171"/>
      <c r="G14" s="171"/>
      <c r="H14" s="171"/>
      <c r="I14" s="171"/>
      <c r="J14" s="162">
        <f>SUM(D14:I14)*Overview!$C$1*C14</f>
        <v>200</v>
      </c>
      <c r="N14" s="86">
        <f>IF(D14=1,Overview!$C$1*$C14,0)</f>
        <v>0</v>
      </c>
      <c r="O14" s="86">
        <f>IF(E14=1,Overview!$C$1*$C14,0)</f>
        <v>200</v>
      </c>
      <c r="P14" s="86">
        <f>IF(F14=1,Overview!$C$1*$C14,0)</f>
        <v>0</v>
      </c>
      <c r="Q14" s="86">
        <f>IF(G14=1,Overview!$C$1*$C14,0)</f>
        <v>0</v>
      </c>
      <c r="R14" s="86">
        <f>IF(H14=1,Overview!$C$1*$C14,0)</f>
        <v>0</v>
      </c>
      <c r="S14" s="86">
        <f>IF(I14=1,Overview!$C$1*$C14,0)</f>
        <v>0</v>
      </c>
      <c r="V14" s="148">
        <f>IF('[1]Burn Report'!D14=1,'[1]Burn Report'!$C14,0)</f>
        <v>0</v>
      </c>
      <c r="W14" s="86">
        <f>IF('[1]Burn Report'!E14=1,'[1]Burn Report'!$C14,0)</f>
        <v>2</v>
      </c>
      <c r="X14" s="86">
        <f>IF('[1]Burn Report'!F14=1,'[1]Burn Report'!$C14,0)</f>
        <v>0</v>
      </c>
      <c r="Y14" s="86">
        <f>IF('[1]Burn Report'!G14=1,'[1]Burn Report'!$C14,0)</f>
        <v>0</v>
      </c>
      <c r="Z14" s="86">
        <f>IF('[1]Burn Report'!H14=1,'[1]Burn Report'!$C14,0)</f>
        <v>0</v>
      </c>
      <c r="AA14" s="86">
        <f>IF('[1]Burn Report'!I14=1,'[1]Burn Report'!$C14,0)</f>
        <v>0</v>
      </c>
    </row>
    <row r="15" spans="1:27" x14ac:dyDescent="0.25">
      <c r="A15" s="168">
        <v>43159</v>
      </c>
      <c r="B15" s="172" t="s">
        <v>75</v>
      </c>
      <c r="C15" s="170">
        <v>0.5</v>
      </c>
      <c r="D15" s="171"/>
      <c r="E15" s="171"/>
      <c r="F15" s="171">
        <v>1</v>
      </c>
      <c r="G15" s="171"/>
      <c r="H15" s="171"/>
      <c r="I15" s="171"/>
      <c r="J15" s="162">
        <f>SUM(D15:I15)*Overview!$C$1*C15</f>
        <v>50</v>
      </c>
      <c r="N15" s="86">
        <f>IF(D15=1,Overview!$C$1*$C15,0)</f>
        <v>0</v>
      </c>
      <c r="O15" s="86">
        <f>IF(E15=1,Overview!$C$1*$C15,0)</f>
        <v>0</v>
      </c>
      <c r="P15" s="86">
        <f>IF(F15=1,Overview!$C$1*$C15,0)</f>
        <v>50</v>
      </c>
      <c r="Q15" s="86">
        <f>IF(G15=1,Overview!$C$1*$C15,0)</f>
        <v>0</v>
      </c>
      <c r="R15" s="86">
        <f>IF(H15=1,Overview!$C$1*$C15,0)</f>
        <v>0</v>
      </c>
      <c r="S15" s="86">
        <f>IF(I15=1,Overview!$C$1*$C15,0)</f>
        <v>0</v>
      </c>
      <c r="V15" s="148">
        <f>IF('[1]Burn Report'!D15=1,'[1]Burn Report'!$C15,0)</f>
        <v>0</v>
      </c>
      <c r="W15" s="86">
        <f>IF('[1]Burn Report'!E15=1,'[1]Burn Report'!$C15,0)</f>
        <v>0</v>
      </c>
      <c r="X15" s="86">
        <f>IF('[1]Burn Report'!F15=1,'[1]Burn Report'!$C15,0)</f>
        <v>0.5</v>
      </c>
      <c r="Y15" s="86">
        <f>IF('[1]Burn Report'!G15=1,'[1]Burn Report'!$C15,0)</f>
        <v>0</v>
      </c>
      <c r="Z15" s="86">
        <f>IF('[1]Burn Report'!H15=1,'[1]Burn Report'!$C15,0)</f>
        <v>0</v>
      </c>
      <c r="AA15" s="86">
        <f>IF('[1]Burn Report'!I15=1,'[1]Burn Report'!$C15,0)</f>
        <v>0</v>
      </c>
    </row>
    <row r="16" spans="1:27" ht="26.25" x14ac:dyDescent="0.25">
      <c r="A16" s="168">
        <v>43159</v>
      </c>
      <c r="B16" s="172" t="s">
        <v>189</v>
      </c>
      <c r="C16" s="170">
        <v>0.5</v>
      </c>
      <c r="D16" s="171"/>
      <c r="E16" s="171"/>
      <c r="F16" s="171"/>
      <c r="G16" s="171">
        <v>1</v>
      </c>
      <c r="H16" s="171"/>
      <c r="I16" s="171"/>
      <c r="J16" s="162">
        <f>SUM(D16:I16)*Overview!$C$1*C16</f>
        <v>50</v>
      </c>
      <c r="N16" s="86">
        <f>IF(D16=1,Overview!$C$1*$C16,0)</f>
        <v>0</v>
      </c>
      <c r="O16" s="86">
        <f>IF(E16=1,Overview!$C$1*$C16,0)</f>
        <v>0</v>
      </c>
      <c r="P16" s="86">
        <f>IF(F16=1,Overview!$C$1*$C16,0)</f>
        <v>0</v>
      </c>
      <c r="Q16" s="86">
        <f>IF(G16=1,Overview!$C$1*$C16,0)</f>
        <v>50</v>
      </c>
      <c r="R16" s="86">
        <f>IF(H16=1,Overview!$C$1*$C16,0)</f>
        <v>0</v>
      </c>
      <c r="S16" s="86">
        <f>IF(I16=1,Overview!$C$1*$C16,0)</f>
        <v>0</v>
      </c>
      <c r="V16" s="148">
        <f>IF('[1]Burn Report'!D16=1,'[1]Burn Report'!$C16,0)</f>
        <v>0</v>
      </c>
      <c r="W16" s="86">
        <f>IF('[1]Burn Report'!E16=1,'[1]Burn Report'!$C16,0)</f>
        <v>0</v>
      </c>
      <c r="X16" s="86">
        <f>IF('[1]Burn Report'!F16=1,'[1]Burn Report'!$C16,0)</f>
        <v>0</v>
      </c>
      <c r="Y16" s="86">
        <f>IF('[1]Burn Report'!G16=1,'[1]Burn Report'!$C16,0)</f>
        <v>0.5</v>
      </c>
      <c r="Z16" s="86">
        <f>IF('[1]Burn Report'!H16=1,'[1]Burn Report'!$C16,0)</f>
        <v>0</v>
      </c>
      <c r="AA16" s="86">
        <f>IF('[1]Burn Report'!I16=1,'[1]Burn Report'!$C16,0)</f>
        <v>0</v>
      </c>
    </row>
    <row r="17" spans="1:27" ht="26.25" x14ac:dyDescent="0.25">
      <c r="A17" s="168">
        <v>43159</v>
      </c>
      <c r="B17" s="172" t="s">
        <v>190</v>
      </c>
      <c r="C17" s="170">
        <v>0.5</v>
      </c>
      <c r="D17" s="171"/>
      <c r="E17" s="171"/>
      <c r="F17" s="171"/>
      <c r="G17" s="171"/>
      <c r="H17" s="171"/>
      <c r="I17" s="171">
        <v>1</v>
      </c>
      <c r="J17" s="162">
        <f>SUM(D17:I17)*Overview!$C$1*C17</f>
        <v>50</v>
      </c>
      <c r="N17" s="86">
        <f>IF(D17=1,Overview!$C$1*$C17,0)</f>
        <v>0</v>
      </c>
      <c r="O17" s="86">
        <f>IF(E17=1,Overview!$C$1*$C17,0)</f>
        <v>0</v>
      </c>
      <c r="P17" s="86">
        <f>IF(F17=1,Overview!$C$1*$C17,0)</f>
        <v>0</v>
      </c>
      <c r="Q17" s="86">
        <f>IF(G17=1,Overview!$C$1*$C17,0)</f>
        <v>0</v>
      </c>
      <c r="R17" s="86">
        <f>IF(H17=1,Overview!$C$1*$C17,0)</f>
        <v>0</v>
      </c>
      <c r="S17" s="86">
        <f>IF(I17=1,Overview!$C$1*$C17,0)</f>
        <v>50</v>
      </c>
      <c r="V17" s="148">
        <f>IF('[1]Burn Report'!D17=1,'[1]Burn Report'!$C17,0)</f>
        <v>0</v>
      </c>
      <c r="W17" s="86">
        <f>IF('[1]Burn Report'!E17=1,'[1]Burn Report'!$C17,0)</f>
        <v>0</v>
      </c>
      <c r="X17" s="86">
        <f>IF('[1]Burn Report'!F17=1,'[1]Burn Report'!$C17,0)</f>
        <v>0</v>
      </c>
      <c r="Y17" s="86">
        <f>IF('[1]Burn Report'!G17=1,'[1]Burn Report'!$C17,0)</f>
        <v>0</v>
      </c>
      <c r="Z17" s="86">
        <f>IF('[1]Burn Report'!H17=1,'[1]Burn Report'!$C17,0)</f>
        <v>0</v>
      </c>
      <c r="AA17" s="86">
        <f>IF('[1]Burn Report'!I17=1,'[1]Burn Report'!$C17,0)</f>
        <v>0.5</v>
      </c>
    </row>
    <row r="18" spans="1:27" ht="26.25" x14ac:dyDescent="0.25">
      <c r="A18" s="168">
        <v>43160</v>
      </c>
      <c r="B18" s="169" t="s">
        <v>191</v>
      </c>
      <c r="C18" s="170">
        <v>1.5</v>
      </c>
      <c r="D18" s="171">
        <v>1</v>
      </c>
      <c r="E18" s="171"/>
      <c r="F18" s="171"/>
      <c r="G18" s="171"/>
      <c r="H18" s="171"/>
      <c r="I18" s="171"/>
      <c r="J18" s="162">
        <f>SUM(D18:I18)*Overview!$C$1*C18</f>
        <v>150</v>
      </c>
      <c r="N18" s="86">
        <f>IF(D18=1,Overview!$C$1*$C18,0)</f>
        <v>150</v>
      </c>
      <c r="O18" s="86">
        <f>IF(E18=1,Overview!$C$1*$C18,0)</f>
        <v>0</v>
      </c>
      <c r="P18" s="86">
        <f>IF(F18=1,Overview!$C$1*$C18,0)</f>
        <v>0</v>
      </c>
      <c r="Q18" s="86">
        <f>IF(G18=1,Overview!$C$1*$C18,0)</f>
        <v>0</v>
      </c>
      <c r="R18" s="86">
        <f>IF(H18=1,Overview!$C$1*$C18,0)</f>
        <v>0</v>
      </c>
      <c r="S18" s="86">
        <f>IF(I18=1,Overview!$C$1*$C18,0)</f>
        <v>0</v>
      </c>
      <c r="V18" s="148">
        <f>IF('[1]Burn Report'!D18=1,'[1]Burn Report'!$C18,0)</f>
        <v>1.5</v>
      </c>
      <c r="W18" s="86">
        <f>IF('[1]Burn Report'!E18=1,'[1]Burn Report'!$C18,0)</f>
        <v>0</v>
      </c>
      <c r="X18" s="86">
        <f>IF('[1]Burn Report'!F18=1,'[1]Burn Report'!$C18,0)</f>
        <v>0</v>
      </c>
      <c r="Y18" s="86">
        <f>IF('[1]Burn Report'!G18=1,'[1]Burn Report'!$C18,0)</f>
        <v>0</v>
      </c>
      <c r="Z18" s="86">
        <f>IF('[1]Burn Report'!H18=1,'[1]Burn Report'!$C18,0)</f>
        <v>0</v>
      </c>
      <c r="AA18" s="86">
        <f>IF('[1]Burn Report'!I18=1,'[1]Burn Report'!$C18,0)</f>
        <v>0</v>
      </c>
    </row>
    <row r="19" spans="1:27" ht="26.25" x14ac:dyDescent="0.25">
      <c r="A19" s="173">
        <v>43160</v>
      </c>
      <c r="B19" s="172" t="s">
        <v>192</v>
      </c>
      <c r="C19" s="170">
        <v>1</v>
      </c>
      <c r="D19" s="171"/>
      <c r="E19" s="171"/>
      <c r="F19" s="171"/>
      <c r="G19" s="171"/>
      <c r="H19" s="171"/>
      <c r="I19" s="171">
        <v>1</v>
      </c>
      <c r="J19" s="162">
        <f>SUM(D19:I19)*Overview!$C$1*C19</f>
        <v>100</v>
      </c>
      <c r="N19" s="86">
        <f>IF(D19=1,Overview!$C$1*$C19,0)</f>
        <v>0</v>
      </c>
      <c r="O19" s="86">
        <f>IF(E19=1,Overview!$C$1*$C19,0)</f>
        <v>0</v>
      </c>
      <c r="P19" s="86">
        <f>IF(F19=1,Overview!$C$1*$C19,0)</f>
        <v>0</v>
      </c>
      <c r="Q19" s="86">
        <f>IF(G19=1,Overview!$C$1*$C19,0)</f>
        <v>0</v>
      </c>
      <c r="R19" s="86">
        <f>IF(H19=1,Overview!$C$1*$C19,0)</f>
        <v>0</v>
      </c>
      <c r="S19" s="86">
        <f>IF(I19=1,Overview!$C$1*$C19,0)</f>
        <v>100</v>
      </c>
      <c r="V19" s="148">
        <f>IF('[1]Burn Report'!D19=1,'[1]Burn Report'!$C19,0)</f>
        <v>0</v>
      </c>
      <c r="W19" s="86">
        <f>IF('[1]Burn Report'!E19=1,'[1]Burn Report'!$C19,0)</f>
        <v>0</v>
      </c>
      <c r="X19" s="86">
        <f>IF('[1]Burn Report'!F19=1,'[1]Burn Report'!$C19,0)</f>
        <v>0</v>
      </c>
      <c r="Y19" s="86">
        <f>IF('[1]Burn Report'!G19=1,'[1]Burn Report'!$C19,0)</f>
        <v>0</v>
      </c>
      <c r="Z19" s="86">
        <f>IF('[1]Burn Report'!H19=1,'[1]Burn Report'!$C19,0)</f>
        <v>0</v>
      </c>
      <c r="AA19" s="86">
        <f>IF('[1]Burn Report'!I19=1,'[1]Burn Report'!$C19,0)</f>
        <v>1</v>
      </c>
    </row>
    <row r="20" spans="1:27" x14ac:dyDescent="0.25">
      <c r="A20" s="173">
        <v>43164</v>
      </c>
      <c r="B20" s="172" t="s">
        <v>193</v>
      </c>
      <c r="C20" s="170">
        <v>1</v>
      </c>
      <c r="D20" s="171"/>
      <c r="E20" s="171"/>
      <c r="F20" s="171"/>
      <c r="G20" s="171"/>
      <c r="H20" s="171"/>
      <c r="I20" s="171">
        <v>1</v>
      </c>
      <c r="J20" s="162">
        <f>SUM(D20:I20)*Overview!$C$1*C20</f>
        <v>100</v>
      </c>
      <c r="N20" s="86">
        <f>IF(D20=1,Overview!$C$1*$C20,0)</f>
        <v>0</v>
      </c>
      <c r="O20" s="86">
        <f>IF(E20=1,Overview!$C$1*$C20,0)</f>
        <v>0</v>
      </c>
      <c r="P20" s="86">
        <f>IF(F20=1,Overview!$C$1*$C20,0)</f>
        <v>0</v>
      </c>
      <c r="Q20" s="86">
        <f>IF(G20=1,Overview!$C$1*$C20,0)</f>
        <v>0</v>
      </c>
      <c r="R20" s="86">
        <f>IF(H20=1,Overview!$C$1*$C20,0)</f>
        <v>0</v>
      </c>
      <c r="S20" s="86">
        <f>IF(I20=1,Overview!$C$1*$C20,0)</f>
        <v>100</v>
      </c>
      <c r="V20" s="148">
        <f>IF('[1]Burn Report'!D20=1,'[1]Burn Report'!$C20,0)</f>
        <v>0</v>
      </c>
      <c r="W20" s="86">
        <f>IF('[1]Burn Report'!E20=1,'[1]Burn Report'!$C20,0)</f>
        <v>0</v>
      </c>
      <c r="X20" s="86">
        <f>IF('[1]Burn Report'!F20=1,'[1]Burn Report'!$C20,0)</f>
        <v>0</v>
      </c>
      <c r="Y20" s="86">
        <f>IF('[1]Burn Report'!G20=1,'[1]Burn Report'!$C20,0)</f>
        <v>0</v>
      </c>
      <c r="Z20" s="86">
        <f>IF('[1]Burn Report'!H20=1,'[1]Burn Report'!$C20,0)</f>
        <v>0</v>
      </c>
      <c r="AA20" s="86">
        <f>IF('[1]Burn Report'!I20=1,'[1]Burn Report'!$C20,0)</f>
        <v>1</v>
      </c>
    </row>
    <row r="21" spans="1:27" ht="26.25" x14ac:dyDescent="0.25">
      <c r="A21" s="168">
        <v>43165</v>
      </c>
      <c r="B21" s="172" t="s">
        <v>194</v>
      </c>
      <c r="C21" s="170">
        <v>2</v>
      </c>
      <c r="D21" s="171"/>
      <c r="E21" s="171"/>
      <c r="F21" s="171"/>
      <c r="G21" s="171"/>
      <c r="H21" s="171"/>
      <c r="I21" s="171">
        <v>1</v>
      </c>
      <c r="J21" s="162">
        <f>SUM(D21:I21)*Overview!$C$1*C21</f>
        <v>200</v>
      </c>
      <c r="N21" s="86">
        <f>IF(D21=1,Overview!$C$1*$C21,0)</f>
        <v>0</v>
      </c>
      <c r="O21" s="86">
        <f>IF(E21=1,Overview!$C$1*$C21,0)</f>
        <v>0</v>
      </c>
      <c r="P21" s="86">
        <f>IF(F21=1,Overview!$C$1*$C21,0)</f>
        <v>0</v>
      </c>
      <c r="Q21" s="86">
        <f>IF(G21=1,Overview!$C$1*$C21,0)</f>
        <v>0</v>
      </c>
      <c r="R21" s="86">
        <f>IF(H21=1,Overview!$C$1*$C21,0)</f>
        <v>0</v>
      </c>
      <c r="S21" s="86">
        <f>IF(I21=1,Overview!$C$1*$C21,0)</f>
        <v>200</v>
      </c>
      <c r="V21" s="148">
        <f>IF('[1]Burn Report'!D21=1,'[1]Burn Report'!$C21,0)</f>
        <v>0</v>
      </c>
      <c r="W21" s="86">
        <f>IF('[1]Burn Report'!E21=1,'[1]Burn Report'!$C21,0)</f>
        <v>0</v>
      </c>
      <c r="X21" s="86">
        <f>IF('[1]Burn Report'!F21=1,'[1]Burn Report'!$C21,0)</f>
        <v>0</v>
      </c>
      <c r="Y21" s="86">
        <f>IF('[1]Burn Report'!G21=1,'[1]Burn Report'!$C21,0)</f>
        <v>0</v>
      </c>
      <c r="Z21" s="86">
        <f>IF('[1]Burn Report'!H21=1,'[1]Burn Report'!$C21,0)</f>
        <v>0</v>
      </c>
      <c r="AA21" s="86">
        <f>IF('[1]Burn Report'!I21=1,'[1]Burn Report'!$C21,0)</f>
        <v>2</v>
      </c>
    </row>
    <row r="22" spans="1:27" ht="26.25" x14ac:dyDescent="0.25">
      <c r="A22" s="168">
        <v>43165</v>
      </c>
      <c r="B22" s="172" t="s">
        <v>83</v>
      </c>
      <c r="C22" s="170">
        <v>1</v>
      </c>
      <c r="D22" s="171"/>
      <c r="E22" s="171"/>
      <c r="F22" s="171"/>
      <c r="G22" s="171">
        <v>1</v>
      </c>
      <c r="H22" s="171"/>
      <c r="I22" s="171"/>
      <c r="J22" s="162">
        <f>SUM(D22:I22)*Overview!$C$1*C22</f>
        <v>100</v>
      </c>
      <c r="N22" s="86">
        <f>IF(D22=1,Overview!$C$1*$C22,0)</f>
        <v>0</v>
      </c>
      <c r="O22" s="86">
        <f>IF(E22=1,Overview!$C$1*$C22,0)</f>
        <v>0</v>
      </c>
      <c r="P22" s="86">
        <f>IF(F22=1,Overview!$C$1*$C22,0)</f>
        <v>0</v>
      </c>
      <c r="Q22" s="86">
        <f>IF(G22=1,Overview!$C$1*$C22,0)</f>
        <v>100</v>
      </c>
      <c r="R22" s="86">
        <f>IF(H22=1,Overview!$C$1*$C22,0)</f>
        <v>0</v>
      </c>
      <c r="S22" s="86">
        <f>IF(I22=1,Overview!$C$1*$C22,0)</f>
        <v>0</v>
      </c>
      <c r="V22" s="148">
        <f>IF('[1]Burn Report'!D22=1,'[1]Burn Report'!$C22,0)</f>
        <v>0</v>
      </c>
      <c r="W22" s="86">
        <f>IF('[1]Burn Report'!E22=1,'[1]Burn Report'!$C22,0)</f>
        <v>0</v>
      </c>
      <c r="X22" s="86">
        <f>IF('[1]Burn Report'!F22=1,'[1]Burn Report'!$C22,0)</f>
        <v>0</v>
      </c>
      <c r="Y22" s="86">
        <f>IF('[1]Burn Report'!G22=1,'[1]Burn Report'!$C22,0)</f>
        <v>1</v>
      </c>
      <c r="Z22" s="86">
        <f>IF('[1]Burn Report'!H22=1,'[1]Burn Report'!$C22,0)</f>
        <v>0</v>
      </c>
      <c r="AA22" s="86">
        <f>IF('[1]Burn Report'!I22=1,'[1]Burn Report'!$C22,0)</f>
        <v>0</v>
      </c>
    </row>
    <row r="23" spans="1:27" ht="26.25" x14ac:dyDescent="0.25">
      <c r="A23" s="168">
        <v>43165</v>
      </c>
      <c r="B23" s="172" t="s">
        <v>195</v>
      </c>
      <c r="C23" s="170">
        <v>1</v>
      </c>
      <c r="D23" s="171">
        <v>1</v>
      </c>
      <c r="E23" s="171"/>
      <c r="F23" s="171"/>
      <c r="G23" s="171"/>
      <c r="H23" s="171"/>
      <c r="I23" s="171">
        <v>1</v>
      </c>
      <c r="J23" s="162">
        <f>SUM(D23:I23)*Overview!$C$1*C23</f>
        <v>200</v>
      </c>
      <c r="N23" s="86">
        <f>IF(D23=1,Overview!$C$1*$C23,0)</f>
        <v>100</v>
      </c>
      <c r="O23" s="86">
        <f>IF(E23=1,Overview!$C$1*$C23,0)</f>
        <v>0</v>
      </c>
      <c r="P23" s="86">
        <f>IF(F23=1,Overview!$C$1*$C23,0)</f>
        <v>0</v>
      </c>
      <c r="Q23" s="86">
        <f>IF(G23=1,Overview!$C$1*$C23,0)</f>
        <v>0</v>
      </c>
      <c r="R23" s="86">
        <f>IF(H23=1,Overview!$C$1*$C23,0)</f>
        <v>0</v>
      </c>
      <c r="S23" s="86">
        <f>IF(I23=1,Overview!$C$1*$C23,0)</f>
        <v>100</v>
      </c>
      <c r="V23" s="148">
        <f>IF('[1]Burn Report'!D23=1,'[1]Burn Report'!$C23,0)</f>
        <v>1</v>
      </c>
      <c r="W23" s="86">
        <f>IF('[1]Burn Report'!E23=1,'[1]Burn Report'!$C23,0)</f>
        <v>0</v>
      </c>
      <c r="X23" s="86">
        <f>IF('[1]Burn Report'!F23=1,'[1]Burn Report'!$C23,0)</f>
        <v>0</v>
      </c>
      <c r="Y23" s="86">
        <f>IF('[1]Burn Report'!G23=1,'[1]Burn Report'!$C23,0)</f>
        <v>0</v>
      </c>
      <c r="Z23" s="86">
        <f>IF('[1]Burn Report'!H23=1,'[1]Burn Report'!$C23,0)</f>
        <v>0</v>
      </c>
      <c r="AA23" s="86">
        <f>IF('[1]Burn Report'!I23=1,'[1]Burn Report'!$C23,0)</f>
        <v>1</v>
      </c>
    </row>
    <row r="24" spans="1:27" ht="26.25" x14ac:dyDescent="0.25">
      <c r="A24" s="168">
        <v>43166</v>
      </c>
      <c r="B24" s="172" t="s">
        <v>196</v>
      </c>
      <c r="C24" s="170">
        <v>0.5</v>
      </c>
      <c r="D24" s="171"/>
      <c r="E24" s="171"/>
      <c r="F24" s="171"/>
      <c r="G24" s="171"/>
      <c r="H24" s="171"/>
      <c r="I24" s="171">
        <v>1</v>
      </c>
      <c r="J24" s="162">
        <f>SUM(D24:I24)*Overview!$C$1*C24</f>
        <v>50</v>
      </c>
      <c r="N24" s="86">
        <f>IF(D24=1,Overview!$C$1*$C24,0)</f>
        <v>0</v>
      </c>
      <c r="O24" s="86">
        <f>IF(E24=1,Overview!$C$1*$C24,0)</f>
        <v>0</v>
      </c>
      <c r="P24" s="86">
        <f>IF(F24=1,Overview!$C$1*$C24,0)</f>
        <v>0</v>
      </c>
      <c r="Q24" s="86">
        <f>IF(G24=1,Overview!$C$1*$C24,0)</f>
        <v>0</v>
      </c>
      <c r="R24" s="86">
        <f>IF(H24=1,Overview!$C$1*$C24,0)</f>
        <v>0</v>
      </c>
      <c r="S24" s="86">
        <f>IF(I24=1,Overview!$C$1*$C24,0)</f>
        <v>50</v>
      </c>
      <c r="V24" s="148">
        <f>IF('[1]Burn Report'!D24=1,'[1]Burn Report'!$C24,0)</f>
        <v>0</v>
      </c>
      <c r="W24" s="86">
        <f>IF('[1]Burn Report'!E24=1,'[1]Burn Report'!$C24,0)</f>
        <v>0</v>
      </c>
      <c r="X24" s="86">
        <f>IF('[1]Burn Report'!F24=1,'[1]Burn Report'!$C24,0)</f>
        <v>0</v>
      </c>
      <c r="Y24" s="86">
        <f>IF('[1]Burn Report'!G24=1,'[1]Burn Report'!$C24,0)</f>
        <v>0</v>
      </c>
      <c r="Z24" s="86">
        <f>IF('[1]Burn Report'!H24=1,'[1]Burn Report'!$C24,0)</f>
        <v>0</v>
      </c>
      <c r="AA24" s="86">
        <f>IF('[1]Burn Report'!I24=1,'[1]Burn Report'!$C24,0)</f>
        <v>0.5</v>
      </c>
    </row>
    <row r="25" spans="1:27" ht="26.25" x14ac:dyDescent="0.25">
      <c r="A25" s="168">
        <v>43166</v>
      </c>
      <c r="B25" s="172" t="s">
        <v>197</v>
      </c>
      <c r="C25" s="170">
        <v>1</v>
      </c>
      <c r="D25" s="171">
        <v>1</v>
      </c>
      <c r="E25" s="171"/>
      <c r="F25" s="171"/>
      <c r="G25" s="171"/>
      <c r="H25" s="171"/>
      <c r="I25" s="171"/>
      <c r="J25" s="162">
        <f>SUM(D25:I25)*Overview!$C$1*C25</f>
        <v>100</v>
      </c>
      <c r="N25" s="86">
        <f>IF(D25=1,Overview!$C$1*$C25,0)</f>
        <v>100</v>
      </c>
      <c r="O25" s="86">
        <f>IF(E25=1,Overview!$C$1*$C25,0)</f>
        <v>0</v>
      </c>
      <c r="P25" s="86">
        <f>IF(F25=1,Overview!$C$1*$C25,0)</f>
        <v>0</v>
      </c>
      <c r="Q25" s="86">
        <f>IF(G25=1,Overview!$C$1*$C25,0)</f>
        <v>0</v>
      </c>
      <c r="R25" s="86">
        <f>IF(H25=1,Overview!$C$1*$C25,0)</f>
        <v>0</v>
      </c>
      <c r="S25" s="86">
        <f>IF(I25=1,Overview!$C$1*$C25,0)</f>
        <v>0</v>
      </c>
      <c r="V25" s="148">
        <f>IF('[1]Burn Report'!D25=1,'[1]Burn Report'!$C25,0)</f>
        <v>1</v>
      </c>
      <c r="W25" s="86">
        <f>IF('[1]Burn Report'!E25=1,'[1]Burn Report'!$C25,0)</f>
        <v>0</v>
      </c>
      <c r="X25" s="86">
        <f>IF('[1]Burn Report'!F25=1,'[1]Burn Report'!$C25,0)</f>
        <v>0</v>
      </c>
      <c r="Y25" s="86">
        <f>IF('[1]Burn Report'!G25=1,'[1]Burn Report'!$C25,0)</f>
        <v>0</v>
      </c>
      <c r="Z25" s="86">
        <f>IF('[1]Burn Report'!H25=1,'[1]Burn Report'!$C25,0)</f>
        <v>0</v>
      </c>
      <c r="AA25" s="86">
        <f>IF('[1]Burn Report'!I25=1,'[1]Burn Report'!$C25,0)</f>
        <v>0</v>
      </c>
    </row>
    <row r="26" spans="1:27" ht="26.25" x14ac:dyDescent="0.25">
      <c r="A26" s="168">
        <v>43167</v>
      </c>
      <c r="B26" s="172" t="s">
        <v>198</v>
      </c>
      <c r="C26" s="170">
        <v>1</v>
      </c>
      <c r="D26" s="171"/>
      <c r="E26" s="171">
        <v>1</v>
      </c>
      <c r="F26" s="171"/>
      <c r="G26" s="171"/>
      <c r="H26" s="171"/>
      <c r="I26" s="171"/>
      <c r="J26" s="162">
        <f>SUM(D26:I26)*Overview!$C$1*C26</f>
        <v>100</v>
      </c>
      <c r="N26" s="86">
        <f>IF(D26=1,Overview!$C$1*$C26,0)</f>
        <v>0</v>
      </c>
      <c r="O26" s="86">
        <f>IF(E26=1,Overview!$C$1*$C26,0)</f>
        <v>100</v>
      </c>
      <c r="P26" s="86">
        <f>IF(F26=1,Overview!$C$1*$C26,0)</f>
        <v>0</v>
      </c>
      <c r="Q26" s="86">
        <f>IF(G26=1,Overview!$C$1*$C26,0)</f>
        <v>0</v>
      </c>
      <c r="R26" s="86">
        <f>IF(H26=1,Overview!$C$1*$C26,0)</f>
        <v>0</v>
      </c>
      <c r="S26" s="86">
        <f>IF(I26=1,Overview!$C$1*$C26,0)</f>
        <v>0</v>
      </c>
      <c r="V26" s="148">
        <f>IF('[1]Burn Report'!D26=1,'[1]Burn Report'!$C26,0)</f>
        <v>0</v>
      </c>
      <c r="W26" s="86">
        <f>IF('[1]Burn Report'!E26=1,'[1]Burn Report'!$C26,0)</f>
        <v>1</v>
      </c>
      <c r="X26" s="86">
        <f>IF('[1]Burn Report'!F26=1,'[1]Burn Report'!$C26,0)</f>
        <v>0</v>
      </c>
      <c r="Y26" s="86">
        <f>IF('[1]Burn Report'!G26=1,'[1]Burn Report'!$C26,0)</f>
        <v>0</v>
      </c>
      <c r="Z26" s="86">
        <f>IF('[1]Burn Report'!H26=1,'[1]Burn Report'!$C26,0)</f>
        <v>0</v>
      </c>
      <c r="AA26" s="86">
        <f>IF('[1]Burn Report'!I26=1,'[1]Burn Report'!$C26,0)</f>
        <v>0</v>
      </c>
    </row>
    <row r="27" spans="1:27" ht="26.25" x14ac:dyDescent="0.25">
      <c r="A27" s="168">
        <v>43172</v>
      </c>
      <c r="B27" s="172" t="s">
        <v>83</v>
      </c>
      <c r="C27" s="170">
        <v>2</v>
      </c>
      <c r="D27" s="171"/>
      <c r="E27" s="171"/>
      <c r="F27" s="171"/>
      <c r="G27" s="171">
        <v>1</v>
      </c>
      <c r="H27" s="171"/>
      <c r="I27" s="171"/>
      <c r="J27" s="162">
        <f>SUM(D27:I27)*Overview!$C$1*C27</f>
        <v>200</v>
      </c>
      <c r="N27" s="86">
        <f>IF(D27=1,Overview!$C$1*$C27,0)</f>
        <v>0</v>
      </c>
      <c r="O27" s="86">
        <f>IF(E27=1,Overview!$C$1*$C27,0)</f>
        <v>0</v>
      </c>
      <c r="P27" s="86">
        <f>IF(F27=1,Overview!$C$1*$C27,0)</f>
        <v>0</v>
      </c>
      <c r="Q27" s="86">
        <f>IF(G27=1,Overview!$C$1*$C27,0)</f>
        <v>200</v>
      </c>
      <c r="R27" s="86">
        <f>IF(H27=1,Overview!$C$1*$C27,0)</f>
        <v>0</v>
      </c>
      <c r="S27" s="86">
        <f>IF(I27=1,Overview!$C$1*$C27,0)</f>
        <v>0</v>
      </c>
      <c r="V27" s="148">
        <f>IF('[1]Burn Report'!D27=1,'[1]Burn Report'!$C27,0)</f>
        <v>0</v>
      </c>
      <c r="W27" s="86">
        <f>IF('[1]Burn Report'!E27=1,'[1]Burn Report'!$C27,0)</f>
        <v>0</v>
      </c>
      <c r="X27" s="86">
        <f>IF('[1]Burn Report'!F27=1,'[1]Burn Report'!$C27,0)</f>
        <v>0</v>
      </c>
      <c r="Y27" s="86">
        <f>IF('[1]Burn Report'!G27=1,'[1]Burn Report'!$C27,0)</f>
        <v>2</v>
      </c>
      <c r="Z27" s="86">
        <f>IF('[1]Burn Report'!H27=1,'[1]Burn Report'!$C27,0)</f>
        <v>0</v>
      </c>
      <c r="AA27" s="86">
        <f>IF('[1]Burn Report'!I27=1,'[1]Burn Report'!$C27,0)</f>
        <v>0</v>
      </c>
    </row>
    <row r="28" spans="1:27" x14ac:dyDescent="0.25">
      <c r="A28" s="168">
        <v>43172</v>
      </c>
      <c r="B28" s="172" t="s">
        <v>199</v>
      </c>
      <c r="C28" s="170">
        <v>0.25</v>
      </c>
      <c r="D28" s="171">
        <v>1</v>
      </c>
      <c r="E28" s="171"/>
      <c r="F28" s="171"/>
      <c r="G28" s="171"/>
      <c r="H28" s="171"/>
      <c r="I28" s="171"/>
      <c r="J28" s="162">
        <f>SUM(D28:I28)*Overview!$C$1*C28</f>
        <v>25</v>
      </c>
      <c r="N28" s="86">
        <f>IF(D28=1,Overview!$C$1*$C28,0)</f>
        <v>25</v>
      </c>
      <c r="O28" s="86">
        <f>IF(E28=1,Overview!$C$1*$C28,0)</f>
        <v>0</v>
      </c>
      <c r="P28" s="86">
        <f>IF(F28=1,Overview!$C$1*$C28,0)</f>
        <v>0</v>
      </c>
      <c r="Q28" s="86">
        <f>IF(G28=1,Overview!$C$1*$C28,0)</f>
        <v>0</v>
      </c>
      <c r="R28" s="86">
        <f>IF(H28=1,Overview!$C$1*$C28,0)</f>
        <v>0</v>
      </c>
      <c r="S28" s="86">
        <f>IF(I28=1,Overview!$C$1*$C28,0)</f>
        <v>0</v>
      </c>
      <c r="V28" s="148">
        <f>IF('[1]Burn Report'!D28=1,'[1]Burn Report'!$C28,0)</f>
        <v>0.25</v>
      </c>
      <c r="W28" s="86">
        <f>IF('[1]Burn Report'!E28=1,'[1]Burn Report'!$C28,0)</f>
        <v>0</v>
      </c>
      <c r="X28" s="86">
        <f>IF('[1]Burn Report'!F28=1,'[1]Burn Report'!$C28,0)</f>
        <v>0</v>
      </c>
      <c r="Y28" s="86">
        <f>IF('[1]Burn Report'!G28=1,'[1]Burn Report'!$C28,0)</f>
        <v>0</v>
      </c>
      <c r="Z28" s="86">
        <f>IF('[1]Burn Report'!H28=1,'[1]Burn Report'!$C28,0)</f>
        <v>0</v>
      </c>
      <c r="AA28" s="86">
        <f>IF('[1]Burn Report'!I28=1,'[1]Burn Report'!$C28,0)</f>
        <v>0</v>
      </c>
    </row>
    <row r="29" spans="1:27" ht="26.25" x14ac:dyDescent="0.25">
      <c r="A29" s="168">
        <v>43173</v>
      </c>
      <c r="B29" s="172" t="s">
        <v>200</v>
      </c>
      <c r="C29" s="170">
        <v>1</v>
      </c>
      <c r="D29" s="171">
        <v>1</v>
      </c>
      <c r="E29" s="171"/>
      <c r="F29" s="171"/>
      <c r="G29" s="171"/>
      <c r="H29" s="171"/>
      <c r="I29" s="171"/>
      <c r="J29" s="162">
        <f>SUM(D29:I29)*Overview!$C$1*C29</f>
        <v>100</v>
      </c>
      <c r="N29" s="86">
        <f>IF(D29=1,Overview!$C$1*$C29,0)</f>
        <v>100</v>
      </c>
      <c r="O29" s="86">
        <f>IF(E29=1,Overview!$C$1*$C29,0)</f>
        <v>0</v>
      </c>
      <c r="P29" s="86">
        <f>IF(F29=1,Overview!$C$1*$C29,0)</f>
        <v>0</v>
      </c>
      <c r="Q29" s="86">
        <f>IF(G29=1,Overview!$C$1*$C29,0)</f>
        <v>0</v>
      </c>
      <c r="R29" s="86">
        <f>IF(H29=1,Overview!$C$1*$C29,0)</f>
        <v>0</v>
      </c>
      <c r="S29" s="86">
        <f>IF(I29=1,Overview!$C$1*$C29,0)</f>
        <v>0</v>
      </c>
      <c r="V29" s="148">
        <f>IF('[1]Burn Report'!D29=1,'[1]Burn Report'!$C29,0)</f>
        <v>1</v>
      </c>
      <c r="W29" s="86">
        <f>IF('[1]Burn Report'!E29=1,'[1]Burn Report'!$C29,0)</f>
        <v>0</v>
      </c>
      <c r="X29" s="86">
        <f>IF('[1]Burn Report'!F29=1,'[1]Burn Report'!$C29,0)</f>
        <v>0</v>
      </c>
      <c r="Y29" s="86">
        <f>IF('[1]Burn Report'!G29=1,'[1]Burn Report'!$C29,0)</f>
        <v>0</v>
      </c>
      <c r="Z29" s="86">
        <f>IF('[1]Burn Report'!H29=1,'[1]Burn Report'!$C29,0)</f>
        <v>0</v>
      </c>
      <c r="AA29" s="86">
        <f>IF('[1]Burn Report'!I29=1,'[1]Burn Report'!$C29,0)</f>
        <v>0</v>
      </c>
    </row>
    <row r="30" spans="1:27" ht="26.25" x14ac:dyDescent="0.25">
      <c r="A30" s="168">
        <v>43173</v>
      </c>
      <c r="B30" s="172" t="s">
        <v>201</v>
      </c>
      <c r="C30" s="170">
        <v>0.5</v>
      </c>
      <c r="D30" s="171"/>
      <c r="E30" s="171"/>
      <c r="F30" s="171"/>
      <c r="G30" s="171"/>
      <c r="H30" s="171"/>
      <c r="I30" s="171">
        <v>1</v>
      </c>
      <c r="J30" s="162">
        <f>SUM(D30:I30)*Overview!$C$1*C30</f>
        <v>50</v>
      </c>
      <c r="N30" s="86">
        <f>IF(D30=1,Overview!$C$1*$C30,0)</f>
        <v>0</v>
      </c>
      <c r="O30" s="86">
        <f>IF(E30=1,Overview!$C$1*$C30,0)</f>
        <v>0</v>
      </c>
      <c r="P30" s="86">
        <f>IF(F30=1,Overview!$C$1*$C30,0)</f>
        <v>0</v>
      </c>
      <c r="Q30" s="86">
        <f>IF(G30=1,Overview!$C$1*$C30,0)</f>
        <v>0</v>
      </c>
      <c r="R30" s="86">
        <f>IF(H30=1,Overview!$C$1*$C30,0)</f>
        <v>0</v>
      </c>
      <c r="S30" s="86">
        <f>IF(I30=1,Overview!$C$1*$C30,0)</f>
        <v>50</v>
      </c>
      <c r="V30" s="148">
        <f>IF('[1]Burn Report'!D30=1,'[1]Burn Report'!$C30,0)</f>
        <v>0</v>
      </c>
      <c r="W30" s="86">
        <f>IF('[1]Burn Report'!E30=1,'[1]Burn Report'!$C30,0)</f>
        <v>0</v>
      </c>
      <c r="X30" s="86">
        <f>IF('[1]Burn Report'!F30=1,'[1]Burn Report'!$C30,0)</f>
        <v>0</v>
      </c>
      <c r="Y30" s="86">
        <f>IF('[1]Burn Report'!G30=1,'[1]Burn Report'!$C30,0)</f>
        <v>0</v>
      </c>
      <c r="Z30" s="86">
        <f>IF('[1]Burn Report'!H30=1,'[1]Burn Report'!$C30,0)</f>
        <v>0</v>
      </c>
      <c r="AA30" s="86">
        <f>IF('[1]Burn Report'!I30=1,'[1]Burn Report'!$C30,0)</f>
        <v>0.5</v>
      </c>
    </row>
    <row r="31" spans="1:27" ht="26.25" x14ac:dyDescent="0.25">
      <c r="A31" s="168">
        <v>43174</v>
      </c>
      <c r="B31" s="172" t="s">
        <v>202</v>
      </c>
      <c r="C31" s="170">
        <v>1</v>
      </c>
      <c r="D31" s="171">
        <v>1</v>
      </c>
      <c r="E31" s="171"/>
      <c r="F31" s="171"/>
      <c r="G31" s="171"/>
      <c r="H31" s="171"/>
      <c r="I31" s="171"/>
      <c r="J31" s="162">
        <f>SUM(D31:I31)*Overview!$C$1*C31</f>
        <v>100</v>
      </c>
      <c r="N31" s="86">
        <f>IF(D31=1,Overview!$C$1*$C31,0)</f>
        <v>100</v>
      </c>
      <c r="O31" s="86">
        <f>IF(E31=1,Overview!$C$1*$C31,0)</f>
        <v>0</v>
      </c>
      <c r="P31" s="86">
        <f>IF(F31=1,Overview!$C$1*$C31,0)</f>
        <v>0</v>
      </c>
      <c r="Q31" s="86">
        <f>IF(G31=1,Overview!$C$1*$C31,0)</f>
        <v>0</v>
      </c>
      <c r="R31" s="86">
        <f>IF(H31=1,Overview!$C$1*$C31,0)</f>
        <v>0</v>
      </c>
      <c r="S31" s="86">
        <f>IF(I31=1,Overview!$C$1*$C31,0)</f>
        <v>0</v>
      </c>
      <c r="V31" s="148">
        <f>IF('[1]Burn Report'!D31=1,'[1]Burn Report'!$C31,0)</f>
        <v>1</v>
      </c>
      <c r="W31" s="86">
        <f>IF('[1]Burn Report'!E31=1,'[1]Burn Report'!$C31,0)</f>
        <v>0</v>
      </c>
      <c r="X31" s="86">
        <f>IF('[1]Burn Report'!F31=1,'[1]Burn Report'!$C31,0)</f>
        <v>0</v>
      </c>
      <c r="Y31" s="86">
        <f>IF('[1]Burn Report'!G31=1,'[1]Burn Report'!$C31,0)</f>
        <v>0</v>
      </c>
      <c r="Z31" s="86">
        <f>IF('[1]Burn Report'!H31=1,'[1]Burn Report'!$C31,0)</f>
        <v>0</v>
      </c>
      <c r="AA31" s="86">
        <f>IF('[1]Burn Report'!I31=1,'[1]Burn Report'!$C31,0)</f>
        <v>0</v>
      </c>
    </row>
    <row r="32" spans="1:27" ht="26.25" x14ac:dyDescent="0.25">
      <c r="A32" s="168">
        <v>43176</v>
      </c>
      <c r="B32" s="172" t="s">
        <v>203</v>
      </c>
      <c r="C32" s="174">
        <v>0.5</v>
      </c>
      <c r="D32" s="171">
        <v>1</v>
      </c>
      <c r="E32" s="171"/>
      <c r="F32" s="171"/>
      <c r="G32" s="171"/>
      <c r="H32" s="171"/>
      <c r="I32" s="171"/>
      <c r="J32" s="162">
        <f>SUM(D32:I32)*Overview!$C$1*C32</f>
        <v>50</v>
      </c>
      <c r="N32" s="86">
        <f>IF(D32=1,Overview!$C$1*$C32,0)</f>
        <v>50</v>
      </c>
      <c r="O32" s="86">
        <f>IF(E32=1,Overview!$C$1*$C32,0)</f>
        <v>0</v>
      </c>
      <c r="P32" s="86">
        <f>IF(F32=1,Overview!$C$1*$C32,0)</f>
        <v>0</v>
      </c>
      <c r="Q32" s="86">
        <f>IF(G32=1,Overview!$C$1*$C32,0)</f>
        <v>0</v>
      </c>
      <c r="R32" s="86">
        <f>IF(H32=1,Overview!$C$1*$C32,0)</f>
        <v>0</v>
      </c>
      <c r="S32" s="86">
        <f>IF(I32=1,Overview!$C$1*$C32,0)</f>
        <v>0</v>
      </c>
      <c r="V32" s="148">
        <f>IF('[1]Burn Report'!D32=1,'[1]Burn Report'!$C32,0)</f>
        <v>0.5</v>
      </c>
      <c r="W32" s="86">
        <f>IF('[1]Burn Report'!E32=1,'[1]Burn Report'!$C32,0)</f>
        <v>0</v>
      </c>
      <c r="X32" s="86">
        <f>IF('[1]Burn Report'!F32=1,'[1]Burn Report'!$C32,0)</f>
        <v>0</v>
      </c>
      <c r="Y32" s="86">
        <f>IF('[1]Burn Report'!G32=1,'[1]Burn Report'!$C32,0)</f>
        <v>0</v>
      </c>
      <c r="Z32" s="86">
        <f>IF('[1]Burn Report'!H32=1,'[1]Burn Report'!$C32,0)</f>
        <v>0</v>
      </c>
      <c r="AA32" s="86">
        <f>IF('[1]Burn Report'!I32=1,'[1]Burn Report'!$C32,0)</f>
        <v>0</v>
      </c>
    </row>
    <row r="33" spans="1:27" ht="26.25" x14ac:dyDescent="0.25">
      <c r="A33" s="168">
        <v>43177</v>
      </c>
      <c r="B33" s="172" t="s">
        <v>204</v>
      </c>
      <c r="C33" s="174">
        <v>1</v>
      </c>
      <c r="D33" s="171">
        <v>1</v>
      </c>
      <c r="E33" s="171"/>
      <c r="F33" s="171"/>
      <c r="G33" s="171"/>
      <c r="H33" s="171"/>
      <c r="I33" s="171"/>
      <c r="J33" s="162">
        <f>SUM(D33:I33)*Overview!$C$1*C33</f>
        <v>100</v>
      </c>
      <c r="N33" s="86">
        <f>IF(D33=1,Overview!$C$1*$C33,0)</f>
        <v>100</v>
      </c>
      <c r="O33" s="86">
        <f>IF(E33=1,Overview!$C$1*$C33,0)</f>
        <v>0</v>
      </c>
      <c r="P33" s="86">
        <f>IF(F33=1,Overview!$C$1*$C33,0)</f>
        <v>0</v>
      </c>
      <c r="Q33" s="86">
        <f>IF(G33=1,Overview!$C$1*$C33,0)</f>
        <v>0</v>
      </c>
      <c r="R33" s="86">
        <f>IF(H33=1,Overview!$C$1*$C33,0)</f>
        <v>0</v>
      </c>
      <c r="S33" s="86">
        <f>IF(I33=1,Overview!$C$1*$C33,0)</f>
        <v>0</v>
      </c>
      <c r="V33" s="148">
        <f>IF('[1]Burn Report'!D33=1,'[1]Burn Report'!$C33,0)</f>
        <v>1</v>
      </c>
      <c r="W33" s="86">
        <f>IF('[1]Burn Report'!E33=1,'[1]Burn Report'!$C33,0)</f>
        <v>0</v>
      </c>
      <c r="X33" s="86">
        <f>IF('[1]Burn Report'!F33=1,'[1]Burn Report'!$C33,0)</f>
        <v>0</v>
      </c>
      <c r="Y33" s="86">
        <f>IF('[1]Burn Report'!G33=1,'[1]Burn Report'!$C33,0)</f>
        <v>0</v>
      </c>
      <c r="Z33" s="86">
        <f>IF('[1]Burn Report'!H33=1,'[1]Burn Report'!$C33,0)</f>
        <v>0</v>
      </c>
      <c r="AA33" s="86">
        <f>IF('[1]Burn Report'!I33=1,'[1]Burn Report'!$C33,0)</f>
        <v>0</v>
      </c>
    </row>
    <row r="34" spans="1:27" ht="26.25" x14ac:dyDescent="0.25">
      <c r="A34" s="168">
        <v>43179</v>
      </c>
      <c r="B34" s="172" t="s">
        <v>205</v>
      </c>
      <c r="C34" s="174">
        <v>1.5</v>
      </c>
      <c r="D34" s="171"/>
      <c r="E34" s="171"/>
      <c r="F34" s="171"/>
      <c r="G34" s="171"/>
      <c r="H34" s="171">
        <v>1</v>
      </c>
      <c r="I34" s="171"/>
      <c r="J34" s="162">
        <f>SUM(D34:I34)*Overview!$C$1*C34</f>
        <v>150</v>
      </c>
      <c r="N34" s="86">
        <f>IF(D34=1,Overview!$C$1*$C34,0)</f>
        <v>0</v>
      </c>
      <c r="O34" s="86">
        <f>IF(E34=1,Overview!$C$1*$C34,0)</f>
        <v>0</v>
      </c>
      <c r="P34" s="86">
        <f>IF(F34=1,Overview!$C$1*$C34,0)</f>
        <v>0</v>
      </c>
      <c r="Q34" s="86">
        <f>IF(G34=1,Overview!$C$1*$C34,0)</f>
        <v>0</v>
      </c>
      <c r="R34" s="86">
        <f>IF(H34=1,Overview!$C$1*$C34,0)</f>
        <v>150</v>
      </c>
      <c r="S34" s="86">
        <f>IF(I34=1,Overview!$C$1*$C34,0)</f>
        <v>0</v>
      </c>
      <c r="V34" s="148">
        <f>IF('[1]Burn Report'!D34=1,'[1]Burn Report'!$C34,0)</f>
        <v>0</v>
      </c>
      <c r="W34" s="86">
        <f>IF('[1]Burn Report'!E34=1,'[1]Burn Report'!$C34,0)</f>
        <v>0</v>
      </c>
      <c r="X34" s="86">
        <f>IF('[1]Burn Report'!F34=1,'[1]Burn Report'!$C34,0)</f>
        <v>0</v>
      </c>
      <c r="Y34" s="86">
        <f>IF('[1]Burn Report'!G34=1,'[1]Burn Report'!$C34,0)</f>
        <v>0</v>
      </c>
      <c r="Z34" s="86">
        <f>IF('[1]Burn Report'!H34=1,'[1]Burn Report'!$C34,0)</f>
        <v>1.5</v>
      </c>
      <c r="AA34" s="86">
        <f>IF('[1]Burn Report'!I34=1,'[1]Burn Report'!$C34,0)</f>
        <v>0</v>
      </c>
    </row>
    <row r="35" spans="1:27" x14ac:dyDescent="0.25">
      <c r="A35" s="168">
        <v>43179</v>
      </c>
      <c r="B35" s="172" t="s">
        <v>206</v>
      </c>
      <c r="C35" s="174">
        <v>2.5</v>
      </c>
      <c r="D35" s="171"/>
      <c r="E35" s="171"/>
      <c r="F35" s="171"/>
      <c r="G35" s="171"/>
      <c r="H35" s="171">
        <v>1</v>
      </c>
      <c r="I35" s="171"/>
      <c r="J35" s="162">
        <f>SUM(D35:I35)*Overview!$C$1*C35</f>
        <v>250</v>
      </c>
      <c r="N35" s="86">
        <f>IF(D35=1,Overview!$C$1*$C35,0)</f>
        <v>0</v>
      </c>
      <c r="O35" s="86">
        <f>IF(E35=1,Overview!$C$1*$C35,0)</f>
        <v>0</v>
      </c>
      <c r="P35" s="86">
        <f>IF(F35=1,Overview!$C$1*$C35,0)</f>
        <v>0</v>
      </c>
      <c r="Q35" s="86">
        <f>IF(G35=1,Overview!$C$1*$C35,0)</f>
        <v>0</v>
      </c>
      <c r="R35" s="86">
        <f>IF(H35=1,Overview!$C$1*$C35,0)</f>
        <v>250</v>
      </c>
      <c r="S35" s="86">
        <f>IF(I35=1,Overview!$C$1*$C35,0)</f>
        <v>0</v>
      </c>
      <c r="V35" s="148">
        <f>IF('[1]Burn Report'!D35=1,'[1]Burn Report'!$C35,0)</f>
        <v>0</v>
      </c>
      <c r="W35" s="86">
        <f>IF('[1]Burn Report'!E35=1,'[1]Burn Report'!$C35,0)</f>
        <v>0</v>
      </c>
      <c r="X35" s="86">
        <f>IF('[1]Burn Report'!F35=1,'[1]Burn Report'!$C35,0)</f>
        <v>0</v>
      </c>
      <c r="Y35" s="86">
        <f>IF('[1]Burn Report'!G35=1,'[1]Burn Report'!$C35,0)</f>
        <v>0</v>
      </c>
      <c r="Z35" s="86">
        <f>IF('[1]Burn Report'!H35=1,'[1]Burn Report'!$C35,0)</f>
        <v>2.5</v>
      </c>
      <c r="AA35" s="86">
        <f>IF('[1]Burn Report'!I35=1,'[1]Burn Report'!$C35,0)</f>
        <v>0</v>
      </c>
    </row>
    <row r="36" spans="1:27" ht="26.25" x14ac:dyDescent="0.25">
      <c r="A36" s="168">
        <v>43179</v>
      </c>
      <c r="B36" s="172" t="s">
        <v>207</v>
      </c>
      <c r="C36" s="174">
        <v>1</v>
      </c>
      <c r="D36" s="171"/>
      <c r="E36" s="171"/>
      <c r="F36" s="171"/>
      <c r="G36" s="171"/>
      <c r="H36" s="171"/>
      <c r="I36" s="171">
        <v>1</v>
      </c>
      <c r="J36" s="162">
        <f>SUM(D36:I36)*Overview!$C$1*C36</f>
        <v>100</v>
      </c>
      <c r="N36" s="86">
        <f>IF(D36=1,Overview!$C$1*$C36,0)</f>
        <v>0</v>
      </c>
      <c r="O36" s="86">
        <f>IF(E36=1,Overview!$C$1*$C36,0)</f>
        <v>0</v>
      </c>
      <c r="P36" s="86">
        <f>IF(F36=1,Overview!$C$1*$C36,0)</f>
        <v>0</v>
      </c>
      <c r="Q36" s="86">
        <f>IF(G36=1,Overview!$C$1*$C36,0)</f>
        <v>0</v>
      </c>
      <c r="R36" s="86">
        <f>IF(H36=1,Overview!$C$1*$C36,0)</f>
        <v>0</v>
      </c>
      <c r="S36" s="86">
        <f>IF(I36=1,Overview!$C$1*$C36,0)</f>
        <v>100</v>
      </c>
      <c r="V36" s="148">
        <f>IF('[1]Burn Report'!D36=1,'[1]Burn Report'!$C36,0)</f>
        <v>0</v>
      </c>
      <c r="W36" s="86">
        <f>IF('[1]Burn Report'!E36=1,'[1]Burn Report'!$C36,0)</f>
        <v>0</v>
      </c>
      <c r="X36" s="86">
        <f>IF('[1]Burn Report'!F36=1,'[1]Burn Report'!$C36,0)</f>
        <v>0</v>
      </c>
      <c r="Y36" s="86">
        <f>IF('[1]Burn Report'!G36=1,'[1]Burn Report'!$C36,0)</f>
        <v>0</v>
      </c>
      <c r="Z36" s="86">
        <f>IF('[1]Burn Report'!H36=1,'[1]Burn Report'!$C36,0)</f>
        <v>0</v>
      </c>
      <c r="AA36" s="86">
        <f>IF('[1]Burn Report'!I36=1,'[1]Burn Report'!$C36,0)</f>
        <v>1</v>
      </c>
    </row>
    <row r="37" spans="1:27" ht="26.25" x14ac:dyDescent="0.25">
      <c r="A37" s="168">
        <v>43180</v>
      </c>
      <c r="B37" s="172" t="s">
        <v>208</v>
      </c>
      <c r="C37" s="174">
        <v>1.5</v>
      </c>
      <c r="D37" s="171">
        <v>1</v>
      </c>
      <c r="E37" s="171"/>
      <c r="F37" s="171"/>
      <c r="G37" s="171"/>
      <c r="H37" s="171"/>
      <c r="I37" s="171"/>
      <c r="J37" s="162">
        <f>SUM(D37:I37)*Overview!$C$1*C37</f>
        <v>150</v>
      </c>
      <c r="N37" s="86">
        <f>IF(D37=1,Overview!$C$1*$C37,0)</f>
        <v>150</v>
      </c>
      <c r="O37" s="86">
        <f>IF(E37=1,Overview!$C$1*$C37,0)</f>
        <v>0</v>
      </c>
      <c r="P37" s="86">
        <f>IF(F37=1,Overview!$C$1*$C37,0)</f>
        <v>0</v>
      </c>
      <c r="Q37" s="86">
        <f>IF(G37=1,Overview!$C$1*$C37,0)</f>
        <v>0</v>
      </c>
      <c r="R37" s="86">
        <f>IF(H37=1,Overview!$C$1*$C37,0)</f>
        <v>0</v>
      </c>
      <c r="S37" s="86">
        <f>IF(I37=1,Overview!$C$1*$C37,0)</f>
        <v>0</v>
      </c>
      <c r="V37" s="148">
        <f>IF('[1]Burn Report'!D37=1,'[1]Burn Report'!$C37,0)</f>
        <v>1.5</v>
      </c>
      <c r="W37" s="86">
        <f>IF('[1]Burn Report'!E37=1,'[1]Burn Report'!$C37,0)</f>
        <v>0</v>
      </c>
      <c r="X37" s="86">
        <f>IF('[1]Burn Report'!F37=1,'[1]Burn Report'!$C37,0)</f>
        <v>0</v>
      </c>
      <c r="Y37" s="86">
        <f>IF('[1]Burn Report'!G37=1,'[1]Burn Report'!$C37,0)</f>
        <v>0</v>
      </c>
      <c r="Z37" s="86">
        <f>IF('[1]Burn Report'!H37=1,'[1]Burn Report'!$C37,0)</f>
        <v>0</v>
      </c>
      <c r="AA37" s="86">
        <f>IF('[1]Burn Report'!I37=1,'[1]Burn Report'!$C37,0)</f>
        <v>0</v>
      </c>
    </row>
    <row r="38" spans="1:27" ht="39" x14ac:dyDescent="0.25">
      <c r="A38" s="168">
        <v>43180</v>
      </c>
      <c r="B38" s="172" t="s">
        <v>209</v>
      </c>
      <c r="C38" s="174">
        <v>1</v>
      </c>
      <c r="D38" s="171">
        <v>1</v>
      </c>
      <c r="E38" s="171"/>
      <c r="F38" s="171"/>
      <c r="G38" s="171"/>
      <c r="H38" s="171"/>
      <c r="I38" s="171"/>
      <c r="J38" s="162">
        <f>SUM(D38:I38)*Overview!$C$1*C38</f>
        <v>100</v>
      </c>
      <c r="N38" s="86">
        <f>IF(D38=1,Overview!$C$1*$C38,0)</f>
        <v>100</v>
      </c>
      <c r="O38" s="86">
        <f>IF(E38=1,Overview!$C$1*$C38,0)</f>
        <v>0</v>
      </c>
      <c r="P38" s="86">
        <f>IF(F38=1,Overview!$C$1*$C38,0)</f>
        <v>0</v>
      </c>
      <c r="Q38" s="86">
        <f>IF(G38=1,Overview!$C$1*$C38,0)</f>
        <v>0</v>
      </c>
      <c r="R38" s="86">
        <f>IF(H38=1,Overview!$C$1*$C38,0)</f>
        <v>0</v>
      </c>
      <c r="S38" s="86">
        <f>IF(I38=1,Overview!$C$1*$C38,0)</f>
        <v>0</v>
      </c>
      <c r="V38" s="148">
        <f>IF('[1]Burn Report'!D38=1,'[1]Burn Report'!$C38,0)</f>
        <v>1</v>
      </c>
      <c r="W38" s="86">
        <f>IF('[1]Burn Report'!E38=1,'[1]Burn Report'!$C38,0)</f>
        <v>0</v>
      </c>
      <c r="X38" s="86">
        <f>IF('[1]Burn Report'!F38=1,'[1]Burn Report'!$C38,0)</f>
        <v>0</v>
      </c>
      <c r="Y38" s="86">
        <f>IF('[1]Burn Report'!G38=1,'[1]Burn Report'!$C38,0)</f>
        <v>0</v>
      </c>
      <c r="Z38" s="86">
        <f>IF('[1]Burn Report'!H38=1,'[1]Burn Report'!$C38,0)</f>
        <v>0</v>
      </c>
      <c r="AA38" s="86">
        <f>IF('[1]Burn Report'!I38=1,'[1]Burn Report'!$C38,0)</f>
        <v>0</v>
      </c>
    </row>
    <row r="39" spans="1:27" ht="39" x14ac:dyDescent="0.25">
      <c r="A39" s="168">
        <v>43180</v>
      </c>
      <c r="B39" s="172" t="s">
        <v>210</v>
      </c>
      <c r="C39" s="174">
        <v>3</v>
      </c>
      <c r="D39" s="171"/>
      <c r="E39" s="171">
        <v>1</v>
      </c>
      <c r="F39" s="171"/>
      <c r="G39" s="171"/>
      <c r="H39" s="171"/>
      <c r="I39" s="171"/>
      <c r="J39" s="162">
        <f>SUM(D39:I39)*Overview!$C$1*C39</f>
        <v>300</v>
      </c>
      <c r="N39" s="86">
        <f>IF(D39=1,Overview!$C$1*$C39,0)</f>
        <v>0</v>
      </c>
      <c r="O39" s="86">
        <f>IF(E39=1,Overview!$C$1*$C39,0)</f>
        <v>300</v>
      </c>
      <c r="P39" s="86">
        <f>IF(F39=1,Overview!$C$1*$C39,0)</f>
        <v>0</v>
      </c>
      <c r="Q39" s="86">
        <f>IF(G39=1,Overview!$C$1*$C39,0)</f>
        <v>0</v>
      </c>
      <c r="R39" s="86">
        <f>IF(H39=1,Overview!$C$1*$C39,0)</f>
        <v>0</v>
      </c>
      <c r="S39" s="86">
        <f>IF(I39=1,Overview!$C$1*$C39,0)</f>
        <v>0</v>
      </c>
      <c r="V39" s="148">
        <f>IF('[1]Burn Report'!D39=1,'[1]Burn Report'!$C39,0)</f>
        <v>0</v>
      </c>
      <c r="W39" s="86">
        <f>IF('[1]Burn Report'!E39=1,'[1]Burn Report'!$C39,0)</f>
        <v>3</v>
      </c>
      <c r="X39" s="86">
        <f>IF('[1]Burn Report'!F39=1,'[1]Burn Report'!$C39,0)</f>
        <v>0</v>
      </c>
      <c r="Y39" s="86">
        <f>IF('[1]Burn Report'!G39=1,'[1]Burn Report'!$C39,0)</f>
        <v>0</v>
      </c>
      <c r="Z39" s="86">
        <f>IF('[1]Burn Report'!H39=1,'[1]Burn Report'!$C39,0)</f>
        <v>0</v>
      </c>
      <c r="AA39" s="86">
        <f>IF('[1]Burn Report'!I39=1,'[1]Burn Report'!$C39,0)</f>
        <v>0</v>
      </c>
    </row>
    <row r="40" spans="1:27" ht="26.25" x14ac:dyDescent="0.25">
      <c r="A40" s="168">
        <v>43180</v>
      </c>
      <c r="B40" s="172" t="s">
        <v>211</v>
      </c>
      <c r="C40" s="174">
        <v>2</v>
      </c>
      <c r="D40" s="171"/>
      <c r="E40" s="171">
        <v>1</v>
      </c>
      <c r="F40" s="171"/>
      <c r="G40" s="171"/>
      <c r="H40" s="171"/>
      <c r="I40" s="171"/>
      <c r="J40" s="162">
        <f>SUM(D40:I40)*Overview!$C$1*C40</f>
        <v>200</v>
      </c>
      <c r="N40" s="86">
        <f>IF(D40=1,Overview!$C$1*$C40,0)</f>
        <v>0</v>
      </c>
      <c r="O40" s="86">
        <f>IF(E40=1,Overview!$C$1*$C40,0)</f>
        <v>200</v>
      </c>
      <c r="P40" s="86">
        <f>IF(F40=1,Overview!$C$1*$C40,0)</f>
        <v>0</v>
      </c>
      <c r="Q40" s="86">
        <f>IF(G40=1,Overview!$C$1*$C40,0)</f>
        <v>0</v>
      </c>
      <c r="R40" s="86">
        <f>IF(H40=1,Overview!$C$1*$C40,0)</f>
        <v>0</v>
      </c>
      <c r="S40" s="86">
        <f>IF(I40=1,Overview!$C$1*$C40,0)</f>
        <v>0</v>
      </c>
      <c r="V40" s="148">
        <f>IF('[1]Burn Report'!D40=1,'[1]Burn Report'!$C40,0)</f>
        <v>0</v>
      </c>
      <c r="W40" s="86">
        <f>IF('[1]Burn Report'!E40=1,'[1]Burn Report'!$C40,0)</f>
        <v>2</v>
      </c>
      <c r="X40" s="86">
        <f>IF('[1]Burn Report'!F40=1,'[1]Burn Report'!$C40,0)</f>
        <v>0</v>
      </c>
      <c r="Y40" s="86">
        <f>IF('[1]Burn Report'!G40=1,'[1]Burn Report'!$C40,0)</f>
        <v>0</v>
      </c>
      <c r="Z40" s="86">
        <f>IF('[1]Burn Report'!H40=1,'[1]Burn Report'!$C40,0)</f>
        <v>0</v>
      </c>
      <c r="AA40" s="86">
        <f>IF('[1]Burn Report'!I40=1,'[1]Burn Report'!$C40,0)</f>
        <v>0</v>
      </c>
    </row>
    <row r="41" spans="1:27" x14ac:dyDescent="0.25">
      <c r="A41" s="168">
        <v>43180</v>
      </c>
      <c r="B41" s="172" t="s">
        <v>212</v>
      </c>
      <c r="C41" s="174">
        <v>1</v>
      </c>
      <c r="D41" s="171">
        <v>1</v>
      </c>
      <c r="E41" s="171"/>
      <c r="F41" s="171"/>
      <c r="G41" s="171"/>
      <c r="H41" s="171"/>
      <c r="I41" s="171"/>
      <c r="J41" s="162">
        <f>SUM(D41:I41)*Overview!$C$1*C41</f>
        <v>100</v>
      </c>
      <c r="N41" s="86">
        <f>IF(D41=1,Overview!$C$1*$C41,0)</f>
        <v>100</v>
      </c>
      <c r="O41" s="86">
        <f>IF(E41=1,Overview!$C$1*$C41,0)</f>
        <v>0</v>
      </c>
      <c r="P41" s="86">
        <f>IF(F41=1,Overview!$C$1*$C41,0)</f>
        <v>0</v>
      </c>
      <c r="Q41" s="86">
        <f>IF(G41=1,Overview!$C$1*$C41,0)</f>
        <v>0</v>
      </c>
      <c r="R41" s="86">
        <f>IF(H41=1,Overview!$C$1*$C41,0)</f>
        <v>0</v>
      </c>
      <c r="S41" s="86">
        <f>IF(I41=1,Overview!$C$1*$C41,0)</f>
        <v>0</v>
      </c>
      <c r="V41" s="148">
        <f>IF('[1]Burn Report'!D41=1,'[1]Burn Report'!$C41,0)</f>
        <v>1</v>
      </c>
      <c r="W41" s="86">
        <f>IF('[1]Burn Report'!E41=1,'[1]Burn Report'!$C41,0)</f>
        <v>0</v>
      </c>
      <c r="X41" s="86">
        <f>IF('[1]Burn Report'!F41=1,'[1]Burn Report'!$C41,0)</f>
        <v>0</v>
      </c>
      <c r="Y41" s="86">
        <f>IF('[1]Burn Report'!G41=1,'[1]Burn Report'!$C41,0)</f>
        <v>0</v>
      </c>
      <c r="Z41" s="86">
        <f>IF('[1]Burn Report'!H41=1,'[1]Burn Report'!$C41,0)</f>
        <v>0</v>
      </c>
      <c r="AA41" s="86">
        <f>IF('[1]Burn Report'!I41=1,'[1]Burn Report'!$C41,0)</f>
        <v>0</v>
      </c>
    </row>
    <row r="42" spans="1:27" x14ac:dyDescent="0.25">
      <c r="A42" s="168">
        <v>43181</v>
      </c>
      <c r="B42" s="172" t="s">
        <v>213</v>
      </c>
      <c r="C42" s="174">
        <v>1</v>
      </c>
      <c r="D42" s="171">
        <v>1</v>
      </c>
      <c r="E42" s="171"/>
      <c r="F42" s="171"/>
      <c r="G42" s="171"/>
      <c r="H42" s="171"/>
      <c r="I42" s="171"/>
      <c r="J42" s="162">
        <f>SUM(D42:I42)*Overview!$C$1*C42</f>
        <v>100</v>
      </c>
      <c r="N42" s="86">
        <f>IF(D42=1,Overview!$C$1*$C42,0)</f>
        <v>100</v>
      </c>
      <c r="O42" s="86">
        <f>IF(E42=1,Overview!$C$1*$C42,0)</f>
        <v>0</v>
      </c>
      <c r="P42" s="86">
        <f>IF(F42=1,Overview!$C$1*$C42,0)</f>
        <v>0</v>
      </c>
      <c r="Q42" s="86">
        <f>IF(G42=1,Overview!$C$1*$C42,0)</f>
        <v>0</v>
      </c>
      <c r="R42" s="86">
        <f>IF(H42=1,Overview!$C$1*$C42,0)</f>
        <v>0</v>
      </c>
      <c r="S42" s="86">
        <f>IF(I42=1,Overview!$C$1*$C42,0)</f>
        <v>0</v>
      </c>
      <c r="V42" s="148">
        <f>IF('[1]Burn Report'!D42=1,'[1]Burn Report'!$C42,0)</f>
        <v>1</v>
      </c>
      <c r="W42" s="86">
        <f>IF('[1]Burn Report'!E42=1,'[1]Burn Report'!$C42,0)</f>
        <v>0</v>
      </c>
      <c r="X42" s="86">
        <f>IF('[1]Burn Report'!F42=1,'[1]Burn Report'!$C42,0)</f>
        <v>0</v>
      </c>
      <c r="Y42" s="86">
        <f>IF('[1]Burn Report'!G42=1,'[1]Burn Report'!$C42,0)</f>
        <v>0</v>
      </c>
      <c r="Z42" s="86">
        <f>IF('[1]Burn Report'!H42=1,'[1]Burn Report'!$C42,0)</f>
        <v>0</v>
      </c>
      <c r="AA42" s="86">
        <f>IF('[1]Burn Report'!I42=1,'[1]Burn Report'!$C42,0)</f>
        <v>0</v>
      </c>
    </row>
    <row r="43" spans="1:27" ht="26.25" x14ac:dyDescent="0.25">
      <c r="A43" s="168">
        <v>43183</v>
      </c>
      <c r="B43" s="172" t="s">
        <v>214</v>
      </c>
      <c r="C43" s="174">
        <v>3</v>
      </c>
      <c r="D43" s="171"/>
      <c r="E43" s="171"/>
      <c r="F43" s="171"/>
      <c r="G43" s="171"/>
      <c r="H43" s="171"/>
      <c r="I43" s="171">
        <v>1</v>
      </c>
      <c r="J43" s="162">
        <f>SUM(D43:I43)*Overview!$C$1*C43</f>
        <v>300</v>
      </c>
      <c r="N43" s="86">
        <f>IF(D43=1,Overview!$C$1*$C43,0)</f>
        <v>0</v>
      </c>
      <c r="O43" s="86">
        <f>IF(E43=1,Overview!$C$1*$C43,0)</f>
        <v>0</v>
      </c>
      <c r="P43" s="86">
        <f>IF(F43=1,Overview!$C$1*$C43,0)</f>
        <v>0</v>
      </c>
      <c r="Q43" s="86">
        <f>IF(G43=1,Overview!$C$1*$C43,0)</f>
        <v>0</v>
      </c>
      <c r="R43" s="86">
        <f>IF(H43=1,Overview!$C$1*$C43,0)</f>
        <v>0</v>
      </c>
      <c r="S43" s="86">
        <f>IF(I43=1,Overview!$C$1*$C43,0)</f>
        <v>300</v>
      </c>
      <c r="V43" s="148">
        <f>IF('[1]Burn Report'!D43=1,'[1]Burn Report'!$C43,0)</f>
        <v>0</v>
      </c>
      <c r="W43" s="86">
        <f>IF('[1]Burn Report'!E43=1,'[1]Burn Report'!$C43,0)</f>
        <v>0</v>
      </c>
      <c r="X43" s="86">
        <f>IF('[1]Burn Report'!F43=1,'[1]Burn Report'!$C43,0)</f>
        <v>0</v>
      </c>
      <c r="Y43" s="86">
        <f>IF('[1]Burn Report'!G43=1,'[1]Burn Report'!$C43,0)</f>
        <v>0</v>
      </c>
      <c r="Z43" s="86">
        <f>IF('[1]Burn Report'!H43=1,'[1]Burn Report'!$C43,0)</f>
        <v>0</v>
      </c>
      <c r="AA43" s="86">
        <f>IF('[1]Burn Report'!I43=1,'[1]Burn Report'!$C43,0)</f>
        <v>3</v>
      </c>
    </row>
    <row r="44" spans="1:27" ht="26.25" x14ac:dyDescent="0.25">
      <c r="A44" s="168">
        <v>43185</v>
      </c>
      <c r="B44" s="172" t="s">
        <v>215</v>
      </c>
      <c r="C44" s="174">
        <v>2</v>
      </c>
      <c r="D44" s="171">
        <v>1</v>
      </c>
      <c r="E44" s="171"/>
      <c r="F44" s="171"/>
      <c r="G44" s="171"/>
      <c r="H44" s="171"/>
      <c r="I44" s="171"/>
      <c r="J44" s="162">
        <f>SUM(D44:I44)*Overview!$C$1*C44</f>
        <v>200</v>
      </c>
      <c r="N44" s="86">
        <f>IF(D44=1,Overview!$C$1*$C44,0)</f>
        <v>200</v>
      </c>
      <c r="O44" s="86">
        <f>IF(E44=1,Overview!$C$1*$C44,0)</f>
        <v>0</v>
      </c>
      <c r="P44" s="86">
        <f>IF(F44=1,Overview!$C$1*$C44,0)</f>
        <v>0</v>
      </c>
      <c r="Q44" s="86">
        <f>IF(G44=1,Overview!$C$1*$C44,0)</f>
        <v>0</v>
      </c>
      <c r="R44" s="86">
        <f>IF(H44=1,Overview!$C$1*$C44,0)</f>
        <v>0</v>
      </c>
      <c r="S44" s="86">
        <f>IF(I44=1,Overview!$C$1*$C44,0)</f>
        <v>0</v>
      </c>
      <c r="V44" s="148">
        <f>IF('[1]Burn Report'!D44=1,'[1]Burn Report'!$C44,0)</f>
        <v>2</v>
      </c>
      <c r="W44" s="86">
        <f>IF('[1]Burn Report'!E44=1,'[1]Burn Report'!$C44,0)</f>
        <v>0</v>
      </c>
      <c r="X44" s="86">
        <f>IF('[1]Burn Report'!F44=1,'[1]Burn Report'!$C44,0)</f>
        <v>0</v>
      </c>
      <c r="Y44" s="86">
        <f>IF('[1]Burn Report'!G44=1,'[1]Burn Report'!$C44,0)</f>
        <v>0</v>
      </c>
      <c r="Z44" s="86">
        <f>IF('[1]Burn Report'!H44=1,'[1]Burn Report'!$C44,0)</f>
        <v>0</v>
      </c>
      <c r="AA44" s="86">
        <f>IF('[1]Burn Report'!I44=1,'[1]Burn Report'!$C44,0)</f>
        <v>0</v>
      </c>
    </row>
    <row r="45" spans="1:27" ht="26.25" x14ac:dyDescent="0.25">
      <c r="A45" s="168">
        <v>43186</v>
      </c>
      <c r="B45" s="172" t="s">
        <v>216</v>
      </c>
      <c r="C45" s="171">
        <v>0.5</v>
      </c>
      <c r="D45" s="175"/>
      <c r="E45" s="176"/>
      <c r="F45" s="176"/>
      <c r="G45" s="176"/>
      <c r="H45" s="176"/>
      <c r="I45" s="176">
        <v>1</v>
      </c>
      <c r="J45" s="177">
        <f>SUM(D45:I45)*Overview!$C$1*C45</f>
        <v>50</v>
      </c>
      <c r="N45" s="86">
        <f>IF(D45=1,Overview!$C$1*$C45,0)</f>
        <v>0</v>
      </c>
      <c r="O45" s="86">
        <f>IF(E45=1,Overview!$C$1*$C45,0)</f>
        <v>0</v>
      </c>
      <c r="P45" s="86">
        <f>IF(F45=1,Overview!$C$1*$C45,0)</f>
        <v>0</v>
      </c>
      <c r="Q45" s="86">
        <f>IF(G45=1,Overview!$C$1*$C45,0)</f>
        <v>0</v>
      </c>
      <c r="R45" s="86">
        <f>IF(H45=1,Overview!$C$1*$C45,0)</f>
        <v>0</v>
      </c>
      <c r="S45" s="86">
        <f>IF(I45=1,Overview!$C$1*$C45,0)</f>
        <v>50</v>
      </c>
      <c r="V45" s="148">
        <f>IF('[1]Burn Report'!D45=1,'[1]Burn Report'!$C45,0)</f>
        <v>0</v>
      </c>
      <c r="W45" s="86">
        <f>IF('[1]Burn Report'!E45=1,'[1]Burn Report'!$C45,0)</f>
        <v>0</v>
      </c>
      <c r="X45" s="86">
        <f>IF('[1]Burn Report'!F45=1,'[1]Burn Report'!$C45,0)</f>
        <v>0</v>
      </c>
      <c r="Y45" s="86">
        <f>IF('[1]Burn Report'!G45=1,'[1]Burn Report'!$C45,0)</f>
        <v>0</v>
      </c>
      <c r="Z45" s="86">
        <f>IF('[1]Burn Report'!H45=1,'[1]Burn Report'!$C45,0)</f>
        <v>0</v>
      </c>
      <c r="AA45" s="86">
        <f>IF('[1]Burn Report'!I45=1,'[1]Burn Report'!$C45,0)</f>
        <v>0.5</v>
      </c>
    </row>
    <row r="46" spans="1:27" ht="51.75" x14ac:dyDescent="0.25">
      <c r="A46" s="168">
        <v>43187</v>
      </c>
      <c r="B46" s="178" t="s">
        <v>217</v>
      </c>
      <c r="C46" s="171">
        <v>1</v>
      </c>
      <c r="D46" s="176">
        <v>1</v>
      </c>
      <c r="E46" s="176"/>
      <c r="F46" s="176"/>
      <c r="G46" s="176"/>
      <c r="H46" s="176"/>
      <c r="I46" s="176"/>
      <c r="J46" s="177">
        <f>SUM(D46:I46)*Overview!$C$1*C46</f>
        <v>100</v>
      </c>
      <c r="N46" s="86">
        <f>IF(D46=1,Overview!$C$1*$C46,0)</f>
        <v>100</v>
      </c>
      <c r="O46" s="86">
        <f>IF(E46=1,Overview!$C$1*$C46,0)</f>
        <v>0</v>
      </c>
      <c r="P46" s="86">
        <f>IF(F46=1,Overview!$C$1*$C46,0)</f>
        <v>0</v>
      </c>
      <c r="Q46" s="86">
        <f>IF(G46=1,Overview!$C$1*$C46,0)</f>
        <v>0</v>
      </c>
      <c r="R46" s="86">
        <f>IF(H46=1,Overview!$C$1*$C46,0)</f>
        <v>0</v>
      </c>
      <c r="S46" s="86">
        <f>IF(I46=1,Overview!$C$1*$C46,0)</f>
        <v>0</v>
      </c>
      <c r="V46" s="148">
        <f>IF('[1]Burn Report'!D46=1,'[1]Burn Report'!$C46,0)</f>
        <v>1</v>
      </c>
      <c r="W46" s="86">
        <f>IF('[1]Burn Report'!E46=1,'[1]Burn Report'!$C46,0)</f>
        <v>0</v>
      </c>
      <c r="X46" s="86">
        <f>IF('[1]Burn Report'!F46=1,'[1]Burn Report'!$C46,0)</f>
        <v>0</v>
      </c>
      <c r="Y46" s="86">
        <f>IF('[1]Burn Report'!G46=1,'[1]Burn Report'!$C46,0)</f>
        <v>0</v>
      </c>
      <c r="Z46" s="86">
        <f>IF('[1]Burn Report'!H46=1,'[1]Burn Report'!$C46,0)</f>
        <v>0</v>
      </c>
      <c r="AA46" s="86">
        <f>IF('[1]Burn Report'!I46=1,'[1]Burn Report'!$C46,0)</f>
        <v>0</v>
      </c>
    </row>
    <row r="47" spans="1:27" ht="26.25" x14ac:dyDescent="0.25">
      <c r="A47" s="168">
        <v>43192</v>
      </c>
      <c r="B47" s="179" t="s">
        <v>218</v>
      </c>
      <c r="C47" s="171">
        <v>1.5</v>
      </c>
      <c r="D47" s="176">
        <v>1</v>
      </c>
      <c r="E47" s="176"/>
      <c r="F47" s="176"/>
      <c r="G47" s="176"/>
      <c r="H47" s="176"/>
      <c r="I47" s="176"/>
      <c r="J47" s="177">
        <f>SUM(D47:I47)*Overview!$C$1*C47</f>
        <v>150</v>
      </c>
      <c r="N47" s="86">
        <f>IF(D47=1,Overview!$C$1*$C47,0)</f>
        <v>150</v>
      </c>
      <c r="O47" s="86">
        <f>IF(E47=1,Overview!$C$1*$C47,0)</f>
        <v>0</v>
      </c>
      <c r="P47" s="86">
        <f>IF(F47=1,Overview!$C$1*$C47,0)</f>
        <v>0</v>
      </c>
      <c r="Q47" s="86">
        <f>IF(G47=1,Overview!$C$1*$C47,0)</f>
        <v>0</v>
      </c>
      <c r="R47" s="86">
        <f>IF(H47=1,Overview!$C$1*$C47,0)</f>
        <v>0</v>
      </c>
      <c r="S47" s="86">
        <f>IF(I47=1,Overview!$C$1*$C47,0)</f>
        <v>0</v>
      </c>
      <c r="V47" s="148">
        <f>IF('[1]Burn Report'!D47=1,'[1]Burn Report'!$C47,0)</f>
        <v>1.5</v>
      </c>
      <c r="W47" s="86">
        <f>IF('[1]Burn Report'!E47=1,'[1]Burn Report'!$C47,0)</f>
        <v>0</v>
      </c>
      <c r="X47" s="86">
        <f>IF('[1]Burn Report'!F47=1,'[1]Burn Report'!$C47,0)</f>
        <v>0</v>
      </c>
      <c r="Y47" s="86">
        <f>IF('[1]Burn Report'!G47=1,'[1]Burn Report'!$C47,0)</f>
        <v>0</v>
      </c>
      <c r="Z47" s="86">
        <f>IF('[1]Burn Report'!H47=1,'[1]Burn Report'!$C47,0)</f>
        <v>0</v>
      </c>
      <c r="AA47" s="86">
        <f>IF('[1]Burn Report'!I47=1,'[1]Burn Report'!$C47,0)</f>
        <v>0</v>
      </c>
    </row>
    <row r="48" spans="1:27" ht="26.25" x14ac:dyDescent="0.25">
      <c r="A48" s="168">
        <v>43194</v>
      </c>
      <c r="B48" s="180" t="s">
        <v>219</v>
      </c>
      <c r="C48" s="171">
        <v>1</v>
      </c>
      <c r="D48" s="176">
        <v>1</v>
      </c>
      <c r="E48" s="176"/>
      <c r="F48" s="176"/>
      <c r="G48" s="176"/>
      <c r="H48" s="176"/>
      <c r="I48" s="176"/>
      <c r="J48" s="177">
        <f>SUM(D48:I48)*Overview!$C$1*C48</f>
        <v>100</v>
      </c>
      <c r="N48" s="86">
        <f>IF(D48=1,Overview!$C$1*$C48,0)</f>
        <v>100</v>
      </c>
      <c r="O48" s="86">
        <f>IF(E48=1,Overview!$C$1*$C48,0)</f>
        <v>0</v>
      </c>
      <c r="P48" s="86">
        <f>IF(F48=1,Overview!$C$1*$C48,0)</f>
        <v>0</v>
      </c>
      <c r="Q48" s="86">
        <f>IF(G48=1,Overview!$C$1*$C48,0)</f>
        <v>0</v>
      </c>
      <c r="R48" s="86">
        <f>IF(H48=1,Overview!$C$1*$C48,0)</f>
        <v>0</v>
      </c>
      <c r="S48" s="86">
        <f>IF(I48=1,Overview!$C$1*$C48,0)</f>
        <v>0</v>
      </c>
      <c r="V48" s="148">
        <f>IF('[1]Burn Report'!D48=1,'[1]Burn Report'!$C48,0)</f>
        <v>1</v>
      </c>
      <c r="W48" s="86">
        <f>IF('[1]Burn Report'!E48=1,'[1]Burn Report'!$C48,0)</f>
        <v>0</v>
      </c>
      <c r="X48" s="86">
        <f>IF('[1]Burn Report'!F48=1,'[1]Burn Report'!$C48,0)</f>
        <v>0</v>
      </c>
      <c r="Y48" s="86">
        <f>IF('[1]Burn Report'!G48=1,'[1]Burn Report'!$C48,0)</f>
        <v>0</v>
      </c>
      <c r="Z48" s="86">
        <f>IF('[1]Burn Report'!H48=1,'[1]Burn Report'!$C48,0)</f>
        <v>0</v>
      </c>
      <c r="AA48" s="86">
        <f>IF('[1]Burn Report'!I48=1,'[1]Burn Report'!$C48,0)</f>
        <v>0</v>
      </c>
    </row>
    <row r="49" spans="1:28" x14ac:dyDescent="0.25">
      <c r="A49" s="168">
        <v>43193</v>
      </c>
      <c r="B49" s="178" t="s">
        <v>223</v>
      </c>
      <c r="C49" s="171">
        <v>0.5</v>
      </c>
      <c r="D49" s="176"/>
      <c r="E49" s="176"/>
      <c r="F49" s="176"/>
      <c r="G49" s="176"/>
      <c r="H49" s="176"/>
      <c r="I49" s="176">
        <v>1</v>
      </c>
      <c r="J49" s="177">
        <f>SUM(D49:I49)*Overview!$C$1*C49</f>
        <v>50</v>
      </c>
      <c r="N49" s="86">
        <f>IF(D49=1,Overview!$C$1*$C49,0)</f>
        <v>0</v>
      </c>
      <c r="O49" s="86">
        <f>IF(E49=1,Overview!$C$1*$C49,0)</f>
        <v>0</v>
      </c>
      <c r="P49" s="86">
        <f>IF(F49=1,Overview!$C$1*$C49,0)</f>
        <v>0</v>
      </c>
      <c r="Q49" s="86">
        <f>IF(G49=1,Overview!$C$1*$C49,0)</f>
        <v>0</v>
      </c>
      <c r="R49" s="86">
        <f>IF(H49=1,Overview!$C$1*$C49,0)</f>
        <v>0</v>
      </c>
      <c r="S49" s="86">
        <f>IF(I49=1,Overview!$C$1*$C49,0)</f>
        <v>50</v>
      </c>
      <c r="V49" s="148">
        <f>IF('[1]Burn Report'!D49=1,'[1]Burn Report'!$C49,0)</f>
        <v>0</v>
      </c>
      <c r="W49" s="86">
        <f>IF('[1]Burn Report'!E49=1,'[1]Burn Report'!$C49,0)</f>
        <v>0</v>
      </c>
      <c r="X49" s="86">
        <f>IF('[1]Burn Report'!F49=1,'[1]Burn Report'!$C49,0)</f>
        <v>0</v>
      </c>
      <c r="Y49" s="86">
        <f>IF('[1]Burn Report'!G49=1,'[1]Burn Report'!$C49,0)</f>
        <v>0.5</v>
      </c>
      <c r="Z49" s="86">
        <f>IF('[1]Burn Report'!H49=1,'[1]Burn Report'!$C49,0)</f>
        <v>0</v>
      </c>
      <c r="AA49" s="86">
        <f>IF('[1]Burn Report'!I49=1,'[1]Burn Report'!$C49,0)</f>
        <v>0</v>
      </c>
    </row>
    <row r="50" spans="1:28" x14ac:dyDescent="0.25">
      <c r="A50" s="168">
        <v>43195</v>
      </c>
      <c r="B50" s="178" t="s">
        <v>222</v>
      </c>
      <c r="C50" s="171">
        <v>2</v>
      </c>
      <c r="D50" s="176"/>
      <c r="E50" s="176"/>
      <c r="F50" s="176"/>
      <c r="G50" s="176"/>
      <c r="H50" s="176"/>
      <c r="I50" s="176">
        <v>1</v>
      </c>
      <c r="J50" s="177">
        <f>SUM(D50:I50)*Overview!$C$1*C50</f>
        <v>200</v>
      </c>
      <c r="N50" s="86">
        <f>IF(D50=1,Overview!$C$1*$C50,0)</f>
        <v>0</v>
      </c>
      <c r="O50" s="86">
        <f>IF(E50=1,Overview!$C$1*$C50,0)</f>
        <v>0</v>
      </c>
      <c r="P50" s="86">
        <f>IF(F50=1,Overview!$C$1*$C50,0)</f>
        <v>0</v>
      </c>
      <c r="Q50" s="86">
        <f>IF(G50=1,Overview!$C$1*$C50,0)</f>
        <v>0</v>
      </c>
      <c r="R50" s="86">
        <f>IF(H50=1,Overview!$C$1*$C50,0)</f>
        <v>0</v>
      </c>
      <c r="S50" s="86">
        <f>IF(I50=1,Overview!$C$1*$C50,0)</f>
        <v>200</v>
      </c>
      <c r="V50" s="148">
        <f>IF('[1]Burn Report'!D50=1,'[1]Burn Report'!$C50,0)</f>
        <v>0</v>
      </c>
      <c r="W50" s="86">
        <f>IF('[1]Burn Report'!E50=1,'[1]Burn Report'!$C50,0)</f>
        <v>0</v>
      </c>
      <c r="X50" s="86">
        <f>IF('[1]Burn Report'!F50=1,'[1]Burn Report'!$C50,0)</f>
        <v>0</v>
      </c>
      <c r="Y50" s="86">
        <f>IF('[1]Burn Report'!G50=1,'[1]Burn Report'!$C50,0)</f>
        <v>0</v>
      </c>
      <c r="Z50" s="86">
        <f>IF('[1]Burn Report'!H50=1,'[1]Burn Report'!$C50,0)</f>
        <v>0</v>
      </c>
      <c r="AA50" s="86">
        <f>IF('[1]Burn Report'!I50=1,'[1]Burn Report'!$C50,0)</f>
        <v>1</v>
      </c>
    </row>
    <row r="51" spans="1:28" x14ac:dyDescent="0.25">
      <c r="A51" s="168"/>
      <c r="B51" s="180"/>
      <c r="C51" s="171"/>
      <c r="D51" s="176"/>
      <c r="E51" s="176"/>
      <c r="F51" s="176"/>
      <c r="G51" s="176"/>
      <c r="H51" s="176"/>
      <c r="I51" s="176"/>
      <c r="J51" s="177">
        <f>SUM(D51:I51)*Overview!$C$1*C51</f>
        <v>0</v>
      </c>
      <c r="N51" s="86">
        <f>IF(D51=1,Overview!$C$1*$C51,0)</f>
        <v>0</v>
      </c>
      <c r="O51" s="86">
        <f>IF(E51=1,Overview!$C$1*$C51,0)</f>
        <v>0</v>
      </c>
      <c r="P51" s="86">
        <f>IF(F51=1,Overview!$C$1*$C51,0)</f>
        <v>0</v>
      </c>
      <c r="Q51" s="86">
        <f>IF(G51=1,Overview!$C$1*$C51,0)</f>
        <v>0</v>
      </c>
      <c r="R51" s="86">
        <f>IF(H51=1,Overview!$C$1*$C51,0)</f>
        <v>0</v>
      </c>
      <c r="S51" s="86">
        <f>IF(I51=1,Overview!$C$1*$C51,0)</f>
        <v>0</v>
      </c>
      <c r="V51" s="148">
        <f>IF('[1]Burn Report'!D51=1,'[1]Burn Report'!$C51,0)</f>
        <v>0</v>
      </c>
      <c r="W51" s="86">
        <f>IF('[1]Burn Report'!E51=1,'[1]Burn Report'!$C51,0)</f>
        <v>0</v>
      </c>
      <c r="X51" s="86">
        <f>IF('[1]Burn Report'!F51=1,'[1]Burn Report'!$C51,0)</f>
        <v>0</v>
      </c>
      <c r="Y51" s="86">
        <f>IF('[1]Burn Report'!G51=1,'[1]Burn Report'!$C51,0)</f>
        <v>0</v>
      </c>
      <c r="Z51" s="86">
        <f>IF('[1]Burn Report'!H51=1,'[1]Burn Report'!$C51,0)</f>
        <v>0</v>
      </c>
      <c r="AA51" s="86">
        <f>IF('[1]Burn Report'!I51=1,'[1]Burn Report'!$C51,0)</f>
        <v>1.5</v>
      </c>
    </row>
    <row r="52" spans="1:28" x14ac:dyDescent="0.25">
      <c r="A52" s="168"/>
      <c r="B52" s="180"/>
      <c r="C52" s="171"/>
      <c r="D52" s="176"/>
      <c r="E52" s="176"/>
      <c r="F52" s="176"/>
      <c r="G52" s="176"/>
      <c r="H52" s="176"/>
      <c r="I52" s="176"/>
      <c r="J52" s="177">
        <f>SUM(D52:I52)*Overview!$C$1*C52</f>
        <v>0</v>
      </c>
      <c r="N52" s="86">
        <f>IF(D52=1,Overview!$C$1*$C52,0)</f>
        <v>0</v>
      </c>
      <c r="O52" s="86">
        <f>IF(E52=1,Overview!$C$1*$C52,0)</f>
        <v>0</v>
      </c>
      <c r="P52" s="86">
        <f>IF(F52=1,Overview!$C$1*$C52,0)</f>
        <v>0</v>
      </c>
      <c r="Q52" s="86">
        <f>IF(G52=1,Overview!$C$1*$C52,0)</f>
        <v>0</v>
      </c>
      <c r="R52" s="86">
        <f>IF(H52=1,Overview!$C$1*$C52,0)</f>
        <v>0</v>
      </c>
      <c r="S52" s="86">
        <f>IF(I52=1,Overview!$C$1*$C52,0)</f>
        <v>0</v>
      </c>
      <c r="V52" s="148">
        <f>IF('[1]Burn Report'!D52=1,'[1]Burn Report'!$C52,0)</f>
        <v>1</v>
      </c>
      <c r="W52" s="86">
        <f>IF('[1]Burn Report'!E52=1,'[1]Burn Report'!$C52,0)</f>
        <v>0</v>
      </c>
      <c r="X52" s="86">
        <f>IF('[1]Burn Report'!F52=1,'[1]Burn Report'!$C52,0)</f>
        <v>0</v>
      </c>
      <c r="Y52" s="86">
        <f>IF('[1]Burn Report'!G52=1,'[1]Burn Report'!$C52,0)</f>
        <v>0</v>
      </c>
      <c r="Z52" s="86">
        <f>IF('[1]Burn Report'!H52=1,'[1]Burn Report'!$C52,0)</f>
        <v>0</v>
      </c>
      <c r="AA52" s="86">
        <f>IF('[1]Burn Report'!I52=1,'[1]Burn Report'!$C52,0)</f>
        <v>0</v>
      </c>
    </row>
    <row r="53" spans="1:28" x14ac:dyDescent="0.25">
      <c r="A53" s="168"/>
      <c r="B53" s="180"/>
      <c r="C53" s="171"/>
      <c r="D53" s="176"/>
      <c r="E53" s="176"/>
      <c r="F53" s="176"/>
      <c r="G53" s="176"/>
      <c r="H53" s="176"/>
      <c r="I53" s="176"/>
      <c r="J53" s="177">
        <f>SUM(D53:I53)*Overview!$C$1*C53</f>
        <v>0</v>
      </c>
      <c r="N53" s="86">
        <f>IF(D53=1,Overview!$C$1*$C53,0)</f>
        <v>0</v>
      </c>
      <c r="O53" s="86">
        <f>IF(E53=1,Overview!$C$1*$C53,0)</f>
        <v>0</v>
      </c>
      <c r="P53" s="86">
        <f>IF(F53=1,Overview!$C$1*$C53,0)</f>
        <v>0</v>
      </c>
      <c r="Q53" s="86">
        <f>IF(G53=1,Overview!$C$1*$C53,0)</f>
        <v>0</v>
      </c>
      <c r="R53" s="86">
        <f>IF(H53=1,Overview!$C$1*$C53,0)</f>
        <v>0</v>
      </c>
      <c r="S53" s="86">
        <f>IF(I53=1,Overview!$C$1*$C53,0)</f>
        <v>0</v>
      </c>
      <c r="V53" s="148">
        <f>IF('[1]Burn Report'!D53=1,'[1]Burn Report'!$C53,0)</f>
        <v>0</v>
      </c>
      <c r="W53" s="86">
        <f>IF('[1]Burn Report'!E53=1,'[1]Burn Report'!$C53,0)</f>
        <v>0</v>
      </c>
      <c r="X53" s="86">
        <f>IF('[1]Burn Report'!F53=1,'[1]Burn Report'!$C53,0)</f>
        <v>0</v>
      </c>
      <c r="Y53" s="86">
        <f>IF('[1]Burn Report'!G53=1,'[1]Burn Report'!$C53,0)</f>
        <v>0</v>
      </c>
      <c r="Z53" s="86">
        <f>IF('[1]Burn Report'!H53=1,'[1]Burn Report'!$C53,0)</f>
        <v>1</v>
      </c>
      <c r="AA53" s="86">
        <f>IF('[1]Burn Report'!I53=1,'[1]Burn Report'!$C53,0)</f>
        <v>0</v>
      </c>
    </row>
    <row r="54" spans="1:28" x14ac:dyDescent="0.25">
      <c r="A54" s="168"/>
      <c r="B54" s="180"/>
      <c r="C54" s="171"/>
      <c r="D54" s="176"/>
      <c r="E54" s="176"/>
      <c r="F54" s="176"/>
      <c r="G54" s="176"/>
      <c r="H54" s="176"/>
      <c r="I54" s="176"/>
      <c r="J54" s="177">
        <f>SUM(D54:I54)*Overview!$C$1*C54</f>
        <v>0</v>
      </c>
      <c r="N54" s="86">
        <f>IF(D54=1,Overview!$C$1*$C54,0)</f>
        <v>0</v>
      </c>
      <c r="O54" s="86">
        <f>IF(E54=1,Overview!$C$1*$C54,0)</f>
        <v>0</v>
      </c>
      <c r="P54" s="86">
        <f>IF(F54=1,Overview!$C$1*$C54,0)</f>
        <v>0</v>
      </c>
      <c r="Q54" s="86">
        <f>IF(G54=1,Overview!$C$1*$C54,0)</f>
        <v>0</v>
      </c>
      <c r="R54" s="86">
        <f>IF(H54=1,Overview!$C$1*$C54,0)</f>
        <v>0</v>
      </c>
      <c r="S54" s="86">
        <f>IF(I54=1,Overview!$C$1*$C54,0)</f>
        <v>0</v>
      </c>
      <c r="V54" s="148">
        <f>IF('[1]Burn Report'!D54=1,'[1]Burn Report'!$C54,0)</f>
        <v>0</v>
      </c>
      <c r="W54" s="86">
        <f>IF('[1]Burn Report'!E54=1,'[1]Burn Report'!$C54,0)</f>
        <v>0</v>
      </c>
      <c r="X54" s="86">
        <f>IF('[1]Burn Report'!F54=1,'[1]Burn Report'!$C54,0)</f>
        <v>0</v>
      </c>
      <c r="Y54" s="86">
        <f>IF('[1]Burn Report'!G54=1,'[1]Burn Report'!$C54,0)</f>
        <v>0</v>
      </c>
      <c r="Z54" s="86">
        <f>IF('[1]Burn Report'!H54=1,'[1]Burn Report'!$C54,0)</f>
        <v>0</v>
      </c>
      <c r="AA54" s="86">
        <f>IF('[1]Burn Report'!I54=1,'[1]Burn Report'!$C54,0)</f>
        <v>1.5</v>
      </c>
    </row>
    <row r="55" spans="1:28" x14ac:dyDescent="0.25">
      <c r="A55" s="168"/>
      <c r="B55" s="180"/>
      <c r="C55" s="171"/>
      <c r="D55" s="176"/>
      <c r="E55" s="176"/>
      <c r="F55" s="176"/>
      <c r="G55" s="176"/>
      <c r="H55" s="176"/>
      <c r="I55" s="176"/>
      <c r="J55" s="177">
        <f>SUM(D55:I55)*Overview!$C$1*C55</f>
        <v>0</v>
      </c>
      <c r="N55" s="86">
        <f>IF(D55=1,Overview!$C$1*$C55,0)</f>
        <v>0</v>
      </c>
      <c r="O55" s="86">
        <f>IF(E55=1,Overview!$C$1*$C55,0)</f>
        <v>0</v>
      </c>
      <c r="P55" s="86">
        <f>IF(F55=1,Overview!$C$1*$C55,0)</f>
        <v>0</v>
      </c>
      <c r="Q55" s="86">
        <f>IF(G55=1,Overview!$C$1*$C55,0)</f>
        <v>0</v>
      </c>
      <c r="R55" s="86">
        <f>IF(H55=1,Overview!$C$1*$C55,0)</f>
        <v>0</v>
      </c>
      <c r="S55" s="86">
        <f>IF(I55=1,Overview!$C$1*$C55,0)</f>
        <v>0</v>
      </c>
      <c r="V55" s="148">
        <f>IF('[1]Burn Report'!D55=1,'[1]Burn Report'!$C55,0)</f>
        <v>0</v>
      </c>
      <c r="W55" s="86">
        <f>IF('[1]Burn Report'!E55=1,'[1]Burn Report'!$C55,0)</f>
        <v>0</v>
      </c>
      <c r="X55" s="86">
        <f>IF('[1]Burn Report'!F55=1,'[1]Burn Report'!$C55,0)</f>
        <v>0</v>
      </c>
      <c r="Y55" s="86">
        <f>IF('[1]Burn Report'!G55=1,'[1]Burn Report'!$C55,0)</f>
        <v>0</v>
      </c>
      <c r="Z55" s="86">
        <f>IF('[1]Burn Report'!H55=1,'[1]Burn Report'!$C55,0)</f>
        <v>0</v>
      </c>
      <c r="AA55" s="86">
        <f>IF('[1]Burn Report'!I55=1,'[1]Burn Report'!$C55,0)</f>
        <v>1</v>
      </c>
    </row>
    <row r="56" spans="1:28" x14ac:dyDescent="0.25">
      <c r="A56" s="168"/>
      <c r="B56" s="180"/>
      <c r="C56" s="171"/>
      <c r="D56" s="176"/>
      <c r="E56" s="176"/>
      <c r="F56" s="176"/>
      <c r="G56" s="176"/>
      <c r="H56" s="176"/>
      <c r="I56" s="176"/>
      <c r="J56" s="177">
        <f>SUM(D56:I56)*Overview!$C$1*C56</f>
        <v>0</v>
      </c>
      <c r="N56" s="86">
        <f>IF(D56=1,Overview!$C$1*$C56,0)</f>
        <v>0</v>
      </c>
      <c r="O56" s="86">
        <f>IF(E56=1,Overview!$C$1*$C56,0)</f>
        <v>0</v>
      </c>
      <c r="P56" s="86">
        <f>IF(F56=1,Overview!$C$1*$C56,0)</f>
        <v>0</v>
      </c>
      <c r="Q56" s="86">
        <f>IF(G56=1,Overview!$C$1*$C56,0)</f>
        <v>0</v>
      </c>
      <c r="R56" s="86">
        <f>IF(H56=1,Overview!$C$1*$C56,0)</f>
        <v>0</v>
      </c>
      <c r="S56" s="86">
        <f>IF(I56=1,Overview!$C$1*$C56,0)</f>
        <v>0</v>
      </c>
      <c r="V56" s="148">
        <f>IF('[1]Burn Report'!D56=1,'[1]Burn Report'!$C56,0)</f>
        <v>0</v>
      </c>
      <c r="W56" s="86">
        <f>IF('[1]Burn Report'!E56=1,'[1]Burn Report'!$C56,0)</f>
        <v>0</v>
      </c>
      <c r="X56" s="86">
        <f>IF('[1]Burn Report'!F56=1,'[1]Burn Report'!$C56,0)</f>
        <v>0</v>
      </c>
      <c r="Y56" s="86">
        <f>IF('[1]Burn Report'!G56=1,'[1]Burn Report'!$C56,0)</f>
        <v>0</v>
      </c>
      <c r="Z56" s="86">
        <f>IF('[1]Burn Report'!H56=1,'[1]Burn Report'!$C56,0)</f>
        <v>0</v>
      </c>
      <c r="AA56" s="86">
        <f>IF('[1]Burn Report'!I56=1,'[1]Burn Report'!$C56,0)</f>
        <v>0.5</v>
      </c>
    </row>
    <row r="57" spans="1:28" x14ac:dyDescent="0.25">
      <c r="A57" s="168"/>
      <c r="B57" s="180"/>
      <c r="C57" s="171"/>
      <c r="D57" s="176"/>
      <c r="E57" s="176"/>
      <c r="F57" s="176"/>
      <c r="G57" s="176"/>
      <c r="H57" s="176"/>
      <c r="I57" s="176"/>
      <c r="J57" s="177">
        <f>SUM(D57:I57)*Overview!$C$1*C57</f>
        <v>0</v>
      </c>
      <c r="N57" s="86">
        <f>IF(D57=1,Overview!$C$1*$C57,0)</f>
        <v>0</v>
      </c>
      <c r="O57" s="86">
        <f>IF(E57=1,Overview!$C$1*$C57,0)</f>
        <v>0</v>
      </c>
      <c r="P57" s="86">
        <f>IF(F57=1,Overview!$C$1*$C57,0)</f>
        <v>0</v>
      </c>
      <c r="Q57" s="86">
        <f>IF(G57=1,Overview!$C$1*$C57,0)</f>
        <v>0</v>
      </c>
      <c r="R57" s="86">
        <f>IF(H57=1,Overview!$C$1*$C57,0)</f>
        <v>0</v>
      </c>
      <c r="S57" s="86">
        <f>IF(I57=1,Overview!$C$1*$C57,0)</f>
        <v>0</v>
      </c>
      <c r="V57" s="148">
        <f>IF('[1]Burn Report'!D57=1,'[1]Burn Report'!$C57,0)</f>
        <v>0</v>
      </c>
      <c r="W57" s="86">
        <f>IF('[1]Burn Report'!E57=1,'[1]Burn Report'!$C57,0)</f>
        <v>0</v>
      </c>
      <c r="X57" s="86">
        <f>IF('[1]Burn Report'!F57=1,'[1]Burn Report'!$C57,0)</f>
        <v>0</v>
      </c>
      <c r="Y57" s="86">
        <f>IF('[1]Burn Report'!G57=1,'[1]Burn Report'!$C57,0)</f>
        <v>0</v>
      </c>
      <c r="Z57" s="86">
        <f>IF('[1]Burn Report'!H57=1,'[1]Burn Report'!$C57,0)</f>
        <v>0</v>
      </c>
      <c r="AA57" s="86">
        <f>IF('[1]Burn Report'!I57=1,'[1]Burn Report'!$C57,0)</f>
        <v>0.5</v>
      </c>
    </row>
    <row r="58" spans="1:28" x14ac:dyDescent="0.25">
      <c r="A58" s="168"/>
      <c r="B58" s="180"/>
      <c r="C58" s="171"/>
      <c r="D58" s="176"/>
      <c r="E58" s="176"/>
      <c r="F58" s="176"/>
      <c r="G58" s="176"/>
      <c r="H58" s="176"/>
      <c r="I58" s="176"/>
      <c r="J58" s="177">
        <f>SUM(D58:I58)*Overview!$C$1*C58</f>
        <v>0</v>
      </c>
      <c r="N58" s="86">
        <f>IF(D58=1,Overview!$C$1*$C58,0)</f>
        <v>0</v>
      </c>
      <c r="O58" s="86">
        <f>IF(E58=1,Overview!$C$1*$C58,0)</f>
        <v>0</v>
      </c>
      <c r="P58" s="86">
        <f>IF(F58=1,Overview!$C$1*$C58,0)</f>
        <v>0</v>
      </c>
      <c r="Q58" s="86">
        <f>IF(G58=1,Overview!$C$1*$C58,0)</f>
        <v>0</v>
      </c>
      <c r="R58" s="86">
        <f>IF(H58=1,Overview!$C$1*$C58,0)</f>
        <v>0</v>
      </c>
      <c r="S58" s="86">
        <f>IF(I58=1,Overview!$C$1*$C58,0)</f>
        <v>0</v>
      </c>
      <c r="V58" s="148">
        <f>IF('[1]Burn Report'!D58=1,'[1]Burn Report'!$C58,0)</f>
        <v>0</v>
      </c>
      <c r="W58" s="86">
        <f>IF('[1]Burn Report'!E58=1,'[1]Burn Report'!$C58,0)</f>
        <v>0</v>
      </c>
      <c r="X58" s="86">
        <f>IF('[1]Burn Report'!F58=1,'[1]Burn Report'!$C58,0)</f>
        <v>0</v>
      </c>
      <c r="Y58" s="86">
        <f>IF('[1]Burn Report'!G58=1,'[1]Burn Report'!$C58,0)</f>
        <v>0</v>
      </c>
      <c r="Z58" s="86">
        <f>IF('[1]Burn Report'!H58=1,'[1]Burn Report'!$C58,0)</f>
        <v>0</v>
      </c>
      <c r="AA58" s="86">
        <f>IF('[1]Burn Report'!I58=1,'[1]Burn Report'!$C58,0)</f>
        <v>1</v>
      </c>
    </row>
    <row r="59" spans="1:28" x14ac:dyDescent="0.25">
      <c r="A59" s="168"/>
      <c r="B59" s="180"/>
      <c r="C59" s="171"/>
      <c r="D59" s="176"/>
      <c r="E59" s="176"/>
      <c r="F59" s="176"/>
      <c r="G59" s="176"/>
      <c r="H59" s="176"/>
      <c r="I59" s="176"/>
      <c r="J59" s="177">
        <f>SUM(D59:I59)*Overview!$C$1*C59</f>
        <v>0</v>
      </c>
      <c r="N59" s="86">
        <f>IF(D59=1,Overview!$C$1*$C59,0)</f>
        <v>0</v>
      </c>
      <c r="O59" s="86">
        <f>IF(E59=1,Overview!$C$1*$C59,0)</f>
        <v>0</v>
      </c>
      <c r="P59" s="86">
        <f>IF(F59=1,Overview!$C$1*$C59,0)</f>
        <v>0</v>
      </c>
      <c r="Q59" s="86">
        <f>IF(G59=1,Overview!$C$1*$C59,0)</f>
        <v>0</v>
      </c>
      <c r="R59" s="86">
        <f>IF(H59=1,Overview!$C$1*$C59,0)</f>
        <v>0</v>
      </c>
      <c r="S59" s="86">
        <f>IF(I59=1,Overview!$C$1*$C59,0)</f>
        <v>0</v>
      </c>
      <c r="V59" s="148">
        <f>IF('[1]Burn Report'!D59=1,'[1]Burn Report'!$C59,0)</f>
        <v>0</v>
      </c>
      <c r="W59" s="86">
        <f>IF('[1]Burn Report'!E59=1,'[1]Burn Report'!$C59,0)</f>
        <v>0</v>
      </c>
      <c r="X59" s="86">
        <f>IF('[1]Burn Report'!F59=1,'[1]Burn Report'!$C59,0)</f>
        <v>0</v>
      </c>
      <c r="Y59" s="86">
        <f>IF('[1]Burn Report'!G59=1,'[1]Burn Report'!$C59,0)</f>
        <v>0</v>
      </c>
      <c r="Z59" s="86">
        <f>IF('[1]Burn Report'!H59=1,'[1]Burn Report'!$C59,0)</f>
        <v>0</v>
      </c>
      <c r="AA59" s="86">
        <f>IF('[1]Burn Report'!I59=1,'[1]Burn Report'!$C59,0)</f>
        <v>0.75</v>
      </c>
    </row>
    <row r="60" spans="1:28" x14ac:dyDescent="0.25">
      <c r="A60" s="168"/>
      <c r="B60" s="180"/>
      <c r="C60" s="171"/>
      <c r="D60" s="176"/>
      <c r="E60" s="176"/>
      <c r="F60" s="176"/>
      <c r="G60" s="176"/>
      <c r="H60" s="176"/>
      <c r="I60" s="176"/>
      <c r="J60" s="177">
        <f>SUM(D60:I60)*Overview!$C$1*C60</f>
        <v>0</v>
      </c>
      <c r="N60" s="86">
        <f>IF(D60=1,Overview!$C$1*$C60,0)</f>
        <v>0</v>
      </c>
      <c r="O60" s="86">
        <f>IF(E60=1,Overview!$C$1*$C60,0)</f>
        <v>0</v>
      </c>
      <c r="P60" s="86">
        <f>IF(F60=1,Overview!$C$1*$C60,0)</f>
        <v>0</v>
      </c>
      <c r="Q60" s="86">
        <f>IF(G60=1,Overview!$C$1*$C60,0)</f>
        <v>0</v>
      </c>
      <c r="R60" s="86">
        <f>IF(H60=1,Overview!$C$1*$C60,0)</f>
        <v>0</v>
      </c>
      <c r="S60" s="86">
        <f>IF(I60=1,Overview!$C$1*$C60,0)</f>
        <v>0</v>
      </c>
      <c r="V60" s="148">
        <f>IF('[1]Burn Report'!D60=1,'[1]Burn Report'!$C60,0)</f>
        <v>0</v>
      </c>
      <c r="W60" s="86">
        <f>IF('[1]Burn Report'!E60=1,'[1]Burn Report'!$C60,0)</f>
        <v>0</v>
      </c>
      <c r="X60" s="86">
        <f>IF('[1]Burn Report'!F60=1,'[1]Burn Report'!$C60,0)</f>
        <v>0</v>
      </c>
      <c r="Y60" s="86">
        <f>IF('[1]Burn Report'!G60=1,'[1]Burn Report'!$C60,0)</f>
        <v>2</v>
      </c>
      <c r="Z60" s="86">
        <f>IF('[1]Burn Report'!H60=1,'[1]Burn Report'!$C60,0)</f>
        <v>0</v>
      </c>
      <c r="AA60" s="86">
        <f>IF('[1]Burn Report'!I60=1,'[1]Burn Report'!$C60,0)</f>
        <v>0</v>
      </c>
    </row>
    <row r="61" spans="1:28" x14ac:dyDescent="0.25">
      <c r="A61" s="168"/>
      <c r="B61" s="180"/>
      <c r="C61" s="171"/>
      <c r="D61" s="176"/>
      <c r="E61" s="176"/>
      <c r="F61" s="176"/>
      <c r="G61" s="176"/>
      <c r="H61" s="176"/>
      <c r="I61" s="176"/>
      <c r="J61" s="177">
        <f>SUM(D61:I61)*Overview!$C$1*C61</f>
        <v>0</v>
      </c>
      <c r="N61" s="86">
        <f>IF(D61=1,Overview!$C$1*$C61,0)</f>
        <v>0</v>
      </c>
      <c r="O61" s="86">
        <f>IF(E61=1,Overview!$C$1*$C61,0)</f>
        <v>0</v>
      </c>
      <c r="P61" s="86">
        <f>IF(F61=1,Overview!$C$1*$C61,0)</f>
        <v>0</v>
      </c>
      <c r="Q61" s="86">
        <f>IF(G61=1,Overview!$C$1*$C61,0)</f>
        <v>0</v>
      </c>
      <c r="R61" s="86">
        <f>IF(H61=1,Overview!$C$1*$C61,0)</f>
        <v>0</v>
      </c>
      <c r="S61" s="86">
        <f>IF(I61=1,Overview!$C$1*$C61,0)</f>
        <v>0</v>
      </c>
      <c r="V61" s="148">
        <f>IF('[1]Burn Report'!D61=1,'[1]Burn Report'!$C61,0)</f>
        <v>0</v>
      </c>
      <c r="W61" s="86">
        <f>IF('[1]Burn Report'!E61=1,'[1]Burn Report'!$C61,0)</f>
        <v>0</v>
      </c>
      <c r="X61" s="86">
        <f>IF('[1]Burn Report'!F61=1,'[1]Burn Report'!$C61,0)</f>
        <v>0</v>
      </c>
      <c r="Y61" s="86">
        <f>IF('[1]Burn Report'!G61=1,'[1]Burn Report'!$C61,0)</f>
        <v>0</v>
      </c>
      <c r="Z61" s="86" t="str">
        <f>IF('[1]Burn Report'!H61=1,'[1]Burn Report'!$C61,0)</f>
        <v>1</v>
      </c>
      <c r="AA61" s="86">
        <f>IF('[1]Burn Report'!I61=1,'[1]Burn Report'!$C61,0)</f>
        <v>0</v>
      </c>
    </row>
    <row r="62" spans="1:28" ht="15.75" thickBot="1" x14ac:dyDescent="0.3">
      <c r="A62" s="181"/>
      <c r="B62" s="182" t="s">
        <v>131</v>
      </c>
      <c r="C62" s="183">
        <f>'Burn Report'!AX62</f>
        <v>0</v>
      </c>
      <c r="D62" s="184">
        <f>'Burn Report'!$O$62</f>
        <v>1450</v>
      </c>
      <c r="E62" s="184">
        <f>'Burn Report'!$P$62</f>
        <v>250</v>
      </c>
      <c r="F62" s="184">
        <f>'Burn Report'!$Q$62</f>
        <v>750</v>
      </c>
      <c r="G62" s="184">
        <f>'Burn Report'!$R$62</f>
        <v>550</v>
      </c>
      <c r="H62" s="184">
        <f>'Burn Report'!$S$62</f>
        <v>1450</v>
      </c>
      <c r="I62" s="184">
        <f>'Burn Report'!$T$62</f>
        <v>6275</v>
      </c>
      <c r="J62" s="185">
        <f>SUM(J4:J45)</f>
        <v>5675</v>
      </c>
      <c r="M62" s="86" t="s">
        <v>131</v>
      </c>
      <c r="N62" s="149">
        <f t="shared" ref="N62:S62" si="0">SUM(N4:N61)</f>
        <v>1825</v>
      </c>
      <c r="O62" s="149">
        <f t="shared" si="0"/>
        <v>1450</v>
      </c>
      <c r="P62" s="149">
        <f t="shared" si="0"/>
        <v>250</v>
      </c>
      <c r="Q62" s="149">
        <f t="shared" si="0"/>
        <v>750</v>
      </c>
      <c r="R62" s="149">
        <f t="shared" si="0"/>
        <v>550</v>
      </c>
      <c r="S62" s="149">
        <f t="shared" si="0"/>
        <v>1450</v>
      </c>
      <c r="T62" s="149">
        <f>SUM(N62:S62)</f>
        <v>6275</v>
      </c>
      <c r="V62" s="148">
        <f>SUM(V4:V61)</f>
        <v>19.25</v>
      </c>
      <c r="W62" s="148">
        <f t="shared" ref="W62:AA62" si="1">SUM(W4:W61)</f>
        <v>14.5</v>
      </c>
      <c r="X62" s="148">
        <f t="shared" si="1"/>
        <v>2.5</v>
      </c>
      <c r="Y62" s="148">
        <f t="shared" si="1"/>
        <v>10</v>
      </c>
      <c r="Z62" s="148">
        <f t="shared" si="1"/>
        <v>6.5</v>
      </c>
      <c r="AA62" s="148">
        <f t="shared" si="1"/>
        <v>19.75</v>
      </c>
      <c r="AB62" s="148">
        <f>SUM(V62:AA62)</f>
        <v>72.5</v>
      </c>
    </row>
    <row r="63" spans="1:28" x14ac:dyDescent="0.25">
      <c r="C63" s="186" t="s">
        <v>181</v>
      </c>
      <c r="D63" s="186" t="s">
        <v>99</v>
      </c>
      <c r="E63" s="187" t="s">
        <v>64</v>
      </c>
      <c r="F63" s="187" t="s">
        <v>133</v>
      </c>
      <c r="G63" s="187" t="s">
        <v>72</v>
      </c>
      <c r="H63" s="187" t="s">
        <v>132</v>
      </c>
      <c r="I63" s="187" t="s">
        <v>124</v>
      </c>
      <c r="J63" s="188" t="s">
        <v>182</v>
      </c>
    </row>
  </sheetData>
  <autoFilter ref="A2:C2"/>
  <conditionalFormatting sqref="D4:I61">
    <cfRule type="cellIs" dxfId="61" priority="1" operator="equal">
      <formula>1</formula>
    </cfRule>
    <cfRule type="expression" dxfId="60" priority="2">
      <formula>LEN(TRIM(D4))=0</formula>
    </cfRule>
  </conditionalFormatting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  <pageSetUpPr fitToPage="1"/>
  </sheetPr>
  <dimension ref="B1:BP84"/>
  <sheetViews>
    <sheetView showGridLines="0" zoomScaleNormal="100" zoomScaleSheetLayoutView="80" workbookViewId="0">
      <pane ySplit="4" topLeftCell="A17" activePane="bottomLeft" state="frozen"/>
      <selection pane="bottomLeft" activeCell="X12" sqref="X12"/>
    </sheetView>
  </sheetViews>
  <sheetFormatPr defaultColWidth="3.140625" defaultRowHeight="30" customHeight="1" outlineLevelRow="1" x14ac:dyDescent="0.3"/>
  <cols>
    <col min="1" max="1" width="3" style="96" customWidth="1"/>
    <col min="2" max="2" width="46.42578125" style="142" customWidth="1"/>
    <col min="3" max="3" width="18.42578125" style="143" bestFit="1" customWidth="1"/>
    <col min="4" max="4" width="11.5703125" style="95" bestFit="1" customWidth="1"/>
    <col min="5" max="5" width="10.85546875" style="95" bestFit="1" customWidth="1"/>
    <col min="6" max="6" width="8" style="95" bestFit="1" customWidth="1"/>
    <col min="7" max="7" width="10.85546875" style="95" bestFit="1" customWidth="1"/>
    <col min="8" max="8" width="17.42578125" style="144" bestFit="1" customWidth="1"/>
    <col min="9" max="9" width="4.85546875" style="95" customWidth="1"/>
    <col min="10" max="28" width="3.140625" style="95"/>
    <col min="29" max="16384" width="3.140625" style="96"/>
  </cols>
  <sheetData>
    <row r="1" spans="2:68" ht="54.75" thickBot="1" x14ac:dyDescent="0.85">
      <c r="B1" s="92" t="s">
        <v>0</v>
      </c>
      <c r="C1" s="93"/>
      <c r="D1" s="94"/>
      <c r="E1" s="94"/>
      <c r="F1" s="94"/>
      <c r="G1" s="94"/>
      <c r="H1" s="94"/>
    </row>
    <row r="2" spans="2:68" ht="21" customHeight="1" thickTop="1" thickBot="1" x14ac:dyDescent="0.3">
      <c r="B2" s="298">
        <f ca="1">NOW()</f>
        <v>43209.749337037036</v>
      </c>
      <c r="C2" s="298"/>
      <c r="D2" s="298"/>
      <c r="E2" s="298"/>
      <c r="F2" s="298"/>
      <c r="G2" s="298"/>
      <c r="H2" s="97" t="s">
        <v>1</v>
      </c>
      <c r="I2" s="97">
        <f ca="1">DAY(NOW())+31</f>
        <v>50</v>
      </c>
      <c r="K2" s="98"/>
      <c r="L2" s="299" t="s">
        <v>2</v>
      </c>
      <c r="M2" s="300"/>
      <c r="N2" s="300"/>
      <c r="O2" s="300"/>
      <c r="P2" s="301"/>
      <c r="Q2" s="99"/>
      <c r="R2" s="299" t="s">
        <v>3</v>
      </c>
      <c r="S2" s="302"/>
      <c r="T2" s="302"/>
      <c r="U2" s="301"/>
      <c r="V2" s="100"/>
      <c r="W2" s="296" t="s">
        <v>164</v>
      </c>
      <c r="X2" s="297"/>
      <c r="Y2" s="297"/>
      <c r="Z2" s="303"/>
      <c r="AA2" s="101"/>
      <c r="AB2" s="304" t="s">
        <v>165</v>
      </c>
      <c r="AC2" s="305"/>
      <c r="AD2" s="305"/>
      <c r="AE2" s="305"/>
      <c r="AF2" s="305"/>
      <c r="AG2" s="305"/>
      <c r="AH2" s="306"/>
      <c r="AI2" s="102"/>
      <c r="AJ2" s="296" t="s">
        <v>166</v>
      </c>
      <c r="AK2" s="297"/>
      <c r="AL2" s="297"/>
      <c r="AM2" s="297"/>
      <c r="AN2" s="297"/>
      <c r="AO2" s="297"/>
      <c r="AP2" s="297"/>
      <c r="AQ2" s="297"/>
    </row>
    <row r="3" spans="2:68" s="106" customFormat="1" ht="39.950000000000003" customHeight="1" thickTop="1" x14ac:dyDescent="0.25">
      <c r="B3" s="291" t="s">
        <v>7</v>
      </c>
      <c r="C3" s="293" t="s">
        <v>8</v>
      </c>
      <c r="D3" s="295" t="s">
        <v>9</v>
      </c>
      <c r="E3" s="295" t="s">
        <v>10</v>
      </c>
      <c r="F3" s="295" t="s">
        <v>11</v>
      </c>
      <c r="G3" s="295" t="s">
        <v>12</v>
      </c>
      <c r="H3" s="289" t="s">
        <v>13</v>
      </c>
      <c r="I3" s="103" t="s">
        <v>14</v>
      </c>
      <c r="J3" s="104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N3" s="107" t="s">
        <v>15</v>
      </c>
    </row>
    <row r="4" spans="2:68" ht="15.75" customHeight="1" x14ac:dyDescent="0.25">
      <c r="B4" s="292"/>
      <c r="C4" s="294"/>
      <c r="D4" s="290"/>
      <c r="E4" s="290"/>
      <c r="F4" s="290"/>
      <c r="G4" s="290"/>
      <c r="H4" s="290"/>
      <c r="I4" s="108">
        <v>1</v>
      </c>
      <c r="J4" s="108">
        <v>2</v>
      </c>
      <c r="K4" s="108">
        <v>3</v>
      </c>
      <c r="L4" s="108">
        <v>4</v>
      </c>
      <c r="M4" s="108">
        <v>5</v>
      </c>
      <c r="N4" s="108">
        <v>6</v>
      </c>
      <c r="O4" s="108">
        <v>7</v>
      </c>
      <c r="P4" s="108">
        <v>8</v>
      </c>
      <c r="Q4" s="108">
        <v>9</v>
      </c>
      <c r="R4" s="108">
        <v>10</v>
      </c>
      <c r="S4" s="108">
        <v>11</v>
      </c>
      <c r="T4" s="108">
        <v>12</v>
      </c>
      <c r="U4" s="108">
        <v>13</v>
      </c>
      <c r="V4" s="108">
        <v>14</v>
      </c>
      <c r="W4" s="108">
        <v>15</v>
      </c>
      <c r="X4" s="108">
        <v>16</v>
      </c>
      <c r="Y4" s="108">
        <v>17</v>
      </c>
      <c r="Z4" s="108">
        <v>18</v>
      </c>
      <c r="AA4" s="108">
        <v>19</v>
      </c>
      <c r="AB4" s="108">
        <v>20</v>
      </c>
      <c r="AC4" s="108">
        <v>21</v>
      </c>
      <c r="AD4" s="108">
        <v>22</v>
      </c>
      <c r="AE4" s="108">
        <v>23</v>
      </c>
      <c r="AF4" s="108">
        <v>24</v>
      </c>
      <c r="AG4" s="108">
        <v>25</v>
      </c>
      <c r="AH4" s="108">
        <v>26</v>
      </c>
      <c r="AI4" s="108">
        <v>27</v>
      </c>
      <c r="AJ4" s="108">
        <v>28</v>
      </c>
      <c r="AK4" s="108">
        <v>29</v>
      </c>
      <c r="AL4" s="108">
        <v>30</v>
      </c>
      <c r="AM4" s="108">
        <v>31</v>
      </c>
      <c r="AN4" s="108">
        <v>32</v>
      </c>
      <c r="AO4" s="108">
        <v>33</v>
      </c>
      <c r="AP4" s="108">
        <v>34</v>
      </c>
      <c r="AQ4" s="108">
        <v>35</v>
      </c>
      <c r="AR4" s="108">
        <v>36</v>
      </c>
      <c r="AS4" s="108">
        <v>37</v>
      </c>
      <c r="AT4" s="108">
        <v>38</v>
      </c>
      <c r="AU4" s="108">
        <v>39</v>
      </c>
      <c r="AV4" s="108">
        <v>40</v>
      </c>
      <c r="AW4" s="108">
        <v>41</v>
      </c>
      <c r="AX4" s="108">
        <v>42</v>
      </c>
      <c r="AY4" s="108">
        <v>43</v>
      </c>
      <c r="AZ4" s="108">
        <v>44</v>
      </c>
      <c r="BA4" s="108">
        <v>45</v>
      </c>
      <c r="BB4" s="108">
        <v>46</v>
      </c>
      <c r="BC4" s="108">
        <v>47</v>
      </c>
      <c r="BD4" s="108">
        <v>48</v>
      </c>
      <c r="BE4" s="108">
        <v>49</v>
      </c>
      <c r="BF4" s="108">
        <v>50</v>
      </c>
      <c r="BG4" s="108">
        <v>51</v>
      </c>
      <c r="BH4" s="108">
        <v>52</v>
      </c>
      <c r="BI4" s="108">
        <v>53</v>
      </c>
      <c r="BJ4" s="108">
        <v>54</v>
      </c>
      <c r="BK4" s="108">
        <v>55</v>
      </c>
      <c r="BL4" s="108">
        <v>56</v>
      </c>
      <c r="BM4" s="108">
        <v>57</v>
      </c>
      <c r="BN4" s="108">
        <v>58</v>
      </c>
      <c r="BO4" s="108">
        <v>59</v>
      </c>
      <c r="BP4" s="108">
        <v>60</v>
      </c>
    </row>
    <row r="5" spans="2:68" ht="17.25" x14ac:dyDescent="0.3">
      <c r="B5" s="109" t="s">
        <v>19</v>
      </c>
      <c r="C5" s="110"/>
      <c r="D5" s="111"/>
      <c r="E5" s="111"/>
      <c r="F5" s="111"/>
      <c r="G5" s="111"/>
      <c r="H5" s="112"/>
    </row>
    <row r="6" spans="2:68" ht="17.25" outlineLevel="1" x14ac:dyDescent="0.25">
      <c r="B6" s="113" t="s">
        <v>60</v>
      </c>
      <c r="C6" s="114" t="s">
        <v>61</v>
      </c>
      <c r="D6" s="111">
        <v>1</v>
      </c>
      <c r="E6" s="111">
        <v>6</v>
      </c>
      <c r="F6" s="111">
        <v>1</v>
      </c>
      <c r="G6" s="111">
        <v>14</v>
      </c>
      <c r="H6" s="112">
        <v>1</v>
      </c>
    </row>
    <row r="7" spans="2:68" ht="17.25" outlineLevel="1" x14ac:dyDescent="0.25">
      <c r="B7" s="115" t="s">
        <v>62</v>
      </c>
      <c r="C7" s="116" t="s">
        <v>61</v>
      </c>
      <c r="D7" s="111">
        <v>1</v>
      </c>
      <c r="E7" s="111">
        <v>8</v>
      </c>
      <c r="F7" s="111">
        <v>8</v>
      </c>
      <c r="G7" s="111">
        <v>2</v>
      </c>
      <c r="H7" s="112">
        <v>1</v>
      </c>
    </row>
    <row r="8" spans="2:68" ht="17.25" outlineLevel="1" x14ac:dyDescent="0.25">
      <c r="B8" s="117" t="s">
        <v>63</v>
      </c>
      <c r="C8" s="116" t="s">
        <v>64</v>
      </c>
      <c r="D8" s="111">
        <v>1</v>
      </c>
      <c r="E8" s="111">
        <v>8</v>
      </c>
      <c r="F8" s="111">
        <v>6</v>
      </c>
      <c r="G8" s="111">
        <v>3</v>
      </c>
      <c r="H8" s="112">
        <v>1</v>
      </c>
    </row>
    <row r="9" spans="2:68" ht="17.25" outlineLevel="1" x14ac:dyDescent="0.25">
      <c r="B9" s="117" t="s">
        <v>65</v>
      </c>
      <c r="C9" s="116" t="s">
        <v>64</v>
      </c>
      <c r="D9" s="111">
        <v>6</v>
      </c>
      <c r="E9" s="111">
        <v>13</v>
      </c>
      <c r="F9" s="111">
        <v>20</v>
      </c>
      <c r="G9" s="111">
        <v>0</v>
      </c>
      <c r="H9" s="112">
        <v>0.5</v>
      </c>
    </row>
    <row r="10" spans="2:68" ht="17.25" outlineLevel="1" x14ac:dyDescent="0.25">
      <c r="B10" s="115" t="s">
        <v>66</v>
      </c>
      <c r="C10" s="116" t="s">
        <v>67</v>
      </c>
      <c r="D10" s="111">
        <v>1</v>
      </c>
      <c r="E10" s="111">
        <v>6</v>
      </c>
      <c r="F10" s="111">
        <v>4</v>
      </c>
      <c r="G10" s="111">
        <v>2</v>
      </c>
      <c r="H10" s="112">
        <v>1</v>
      </c>
    </row>
    <row r="11" spans="2:68" ht="17.25" outlineLevel="1" x14ac:dyDescent="0.25">
      <c r="B11" s="117" t="s">
        <v>68</v>
      </c>
      <c r="C11" s="116" t="s">
        <v>61</v>
      </c>
      <c r="D11" s="111">
        <v>13</v>
      </c>
      <c r="E11" s="111">
        <v>5</v>
      </c>
      <c r="F11" s="111">
        <v>13</v>
      </c>
      <c r="G11" s="111">
        <v>1</v>
      </c>
      <c r="H11" s="112">
        <v>1</v>
      </c>
    </row>
    <row r="12" spans="2:68" ht="17.25" outlineLevel="1" x14ac:dyDescent="0.25">
      <c r="B12" s="118" t="s">
        <v>69</v>
      </c>
      <c r="C12" s="116" t="s">
        <v>70</v>
      </c>
      <c r="D12" s="111">
        <v>13</v>
      </c>
      <c r="E12" s="111">
        <v>5</v>
      </c>
      <c r="F12" s="111">
        <v>13</v>
      </c>
      <c r="G12" s="111">
        <v>1</v>
      </c>
      <c r="H12" s="112">
        <v>1</v>
      </c>
    </row>
    <row r="13" spans="2:68" ht="17.25" outlineLevel="1" x14ac:dyDescent="0.25">
      <c r="B13" s="118" t="s">
        <v>71</v>
      </c>
      <c r="C13" s="116" t="s">
        <v>72</v>
      </c>
      <c r="D13" s="111">
        <v>13</v>
      </c>
      <c r="E13" s="111">
        <v>5</v>
      </c>
      <c r="F13" s="111">
        <v>13</v>
      </c>
      <c r="G13" s="111">
        <v>1</v>
      </c>
      <c r="H13" s="112">
        <v>1</v>
      </c>
    </row>
    <row r="14" spans="2:68" ht="17.25" outlineLevel="1" x14ac:dyDescent="0.25">
      <c r="B14" s="118" t="s">
        <v>73</v>
      </c>
      <c r="C14" s="116" t="s">
        <v>70</v>
      </c>
      <c r="D14" s="111">
        <v>13</v>
      </c>
      <c r="E14" s="111">
        <v>5</v>
      </c>
      <c r="F14" s="111">
        <v>13</v>
      </c>
      <c r="G14" s="111">
        <v>1</v>
      </c>
      <c r="H14" s="112">
        <v>1</v>
      </c>
    </row>
    <row r="15" spans="2:68" ht="17.25" x14ac:dyDescent="0.3">
      <c r="B15" s="109" t="s">
        <v>25</v>
      </c>
      <c r="C15" s="110"/>
      <c r="D15" s="111"/>
      <c r="E15" s="111"/>
      <c r="F15" s="111"/>
      <c r="G15" s="111"/>
      <c r="H15" s="112"/>
    </row>
    <row r="16" spans="2:68" ht="17.25" outlineLevel="1" x14ac:dyDescent="0.25">
      <c r="B16" s="115" t="s">
        <v>74</v>
      </c>
      <c r="C16" s="116" t="s">
        <v>64</v>
      </c>
      <c r="D16" s="111">
        <v>1</v>
      </c>
      <c r="E16" s="111">
        <v>6</v>
      </c>
      <c r="F16" s="111">
        <v>1</v>
      </c>
      <c r="G16" s="111">
        <v>1</v>
      </c>
      <c r="H16" s="112">
        <v>1</v>
      </c>
    </row>
    <row r="17" spans="2:8" ht="17.25" outlineLevel="1" x14ac:dyDescent="0.25">
      <c r="B17" s="115" t="s">
        <v>75</v>
      </c>
      <c r="C17" s="116" t="s">
        <v>76</v>
      </c>
      <c r="D17" s="111">
        <v>1</v>
      </c>
      <c r="E17" s="111">
        <v>6</v>
      </c>
      <c r="F17" s="111">
        <v>6</v>
      </c>
      <c r="G17" s="111">
        <v>2</v>
      </c>
      <c r="H17" s="112">
        <v>1</v>
      </c>
    </row>
    <row r="18" spans="2:8" ht="17.25" outlineLevel="1" x14ac:dyDescent="0.25">
      <c r="B18" s="117" t="s">
        <v>77</v>
      </c>
      <c r="C18" s="116" t="s">
        <v>76</v>
      </c>
      <c r="D18" s="111">
        <v>1</v>
      </c>
      <c r="E18" s="111">
        <v>8</v>
      </c>
      <c r="F18" s="111">
        <v>6</v>
      </c>
      <c r="G18" s="111">
        <v>2</v>
      </c>
      <c r="H18" s="112">
        <v>1</v>
      </c>
    </row>
    <row r="19" spans="2:8" ht="17.25" outlineLevel="1" x14ac:dyDescent="0.25">
      <c r="B19" s="117" t="s">
        <v>78</v>
      </c>
      <c r="C19" s="116" t="s">
        <v>76</v>
      </c>
      <c r="D19" s="111">
        <v>1</v>
      </c>
      <c r="E19" s="111">
        <v>8</v>
      </c>
      <c r="F19" s="111">
        <v>6</v>
      </c>
      <c r="G19" s="111">
        <v>2</v>
      </c>
      <c r="H19" s="112">
        <v>1</v>
      </c>
    </row>
    <row r="20" spans="2:8" ht="17.25" outlineLevel="1" x14ac:dyDescent="0.25">
      <c r="B20" s="117" t="s">
        <v>79</v>
      </c>
      <c r="C20" s="116" t="s">
        <v>76</v>
      </c>
      <c r="D20" s="111">
        <v>1</v>
      </c>
      <c r="E20" s="111">
        <v>8</v>
      </c>
      <c r="F20" s="111">
        <v>6</v>
      </c>
      <c r="G20" s="111">
        <v>8</v>
      </c>
      <c r="H20" s="112">
        <v>1</v>
      </c>
    </row>
    <row r="21" spans="2:8" ht="17.25" outlineLevel="1" x14ac:dyDescent="0.25">
      <c r="B21" s="117" t="s">
        <v>80</v>
      </c>
      <c r="C21" s="116" t="s">
        <v>76</v>
      </c>
      <c r="D21" s="111">
        <v>1</v>
      </c>
      <c r="E21" s="111">
        <v>8</v>
      </c>
      <c r="F21" s="111">
        <v>12</v>
      </c>
      <c r="G21" s="111">
        <v>0</v>
      </c>
      <c r="H21" s="112">
        <v>0.5</v>
      </c>
    </row>
    <row r="22" spans="2:8" ht="17.25" x14ac:dyDescent="0.3">
      <c r="B22" s="109" t="s">
        <v>30</v>
      </c>
      <c r="C22" s="110"/>
      <c r="D22" s="111"/>
      <c r="E22" s="111"/>
      <c r="F22" s="111"/>
      <c r="G22" s="111"/>
      <c r="H22" s="112"/>
    </row>
    <row r="23" spans="2:8" ht="17.25" outlineLevel="1" x14ac:dyDescent="0.25">
      <c r="B23" s="119" t="s">
        <v>81</v>
      </c>
      <c r="C23" s="116" t="s">
        <v>82</v>
      </c>
      <c r="D23" s="111">
        <v>1</v>
      </c>
      <c r="E23" s="111">
        <v>8</v>
      </c>
      <c r="F23" s="111">
        <v>4</v>
      </c>
      <c r="G23" s="111">
        <v>3</v>
      </c>
      <c r="H23" s="112">
        <v>1</v>
      </c>
    </row>
    <row r="24" spans="2:8" ht="17.25" outlineLevel="1" x14ac:dyDescent="0.25">
      <c r="B24" s="117" t="s">
        <v>83</v>
      </c>
      <c r="C24" s="116" t="s">
        <v>84</v>
      </c>
      <c r="D24" s="111">
        <v>1</v>
      </c>
      <c r="E24" s="111">
        <v>8</v>
      </c>
      <c r="F24" s="111">
        <v>1</v>
      </c>
      <c r="G24" s="111">
        <v>7</v>
      </c>
      <c r="H24" s="112">
        <v>1</v>
      </c>
    </row>
    <row r="25" spans="2:8" ht="17.25" outlineLevel="1" x14ac:dyDescent="0.25">
      <c r="B25" s="120" t="s">
        <v>85</v>
      </c>
      <c r="C25" s="116" t="s">
        <v>84</v>
      </c>
      <c r="D25" s="111">
        <v>1</v>
      </c>
      <c r="E25" s="111">
        <v>6</v>
      </c>
      <c r="F25" s="111">
        <v>1</v>
      </c>
      <c r="G25" s="111">
        <v>3</v>
      </c>
      <c r="H25" s="112">
        <v>1</v>
      </c>
    </row>
    <row r="26" spans="2:8" ht="17.25" outlineLevel="1" x14ac:dyDescent="0.25">
      <c r="B26" s="115" t="s">
        <v>86</v>
      </c>
      <c r="C26" s="116" t="s">
        <v>84</v>
      </c>
      <c r="D26" s="111">
        <v>1</v>
      </c>
      <c r="E26" s="111">
        <v>8</v>
      </c>
      <c r="F26" s="111">
        <v>1</v>
      </c>
      <c r="G26" s="111">
        <v>3</v>
      </c>
      <c r="H26" s="112">
        <v>1</v>
      </c>
    </row>
    <row r="27" spans="2:8" ht="17.25" outlineLevel="1" x14ac:dyDescent="0.25">
      <c r="B27" s="120" t="s">
        <v>87</v>
      </c>
      <c r="C27" s="116" t="s">
        <v>84</v>
      </c>
      <c r="D27" s="111">
        <v>1</v>
      </c>
      <c r="E27" s="111">
        <v>6</v>
      </c>
      <c r="F27" s="111">
        <v>14</v>
      </c>
      <c r="G27" s="111">
        <v>2</v>
      </c>
      <c r="H27" s="112">
        <v>1</v>
      </c>
    </row>
    <row r="28" spans="2:8" ht="17.25" outlineLevel="1" x14ac:dyDescent="0.25">
      <c r="B28" s="115" t="s">
        <v>88</v>
      </c>
      <c r="C28" s="116" t="s">
        <v>84</v>
      </c>
      <c r="D28" s="111">
        <v>1</v>
      </c>
      <c r="E28" s="111">
        <v>6</v>
      </c>
      <c r="F28" s="111">
        <v>1</v>
      </c>
      <c r="G28" s="111">
        <v>2</v>
      </c>
      <c r="H28" s="112">
        <v>1</v>
      </c>
    </row>
    <row r="29" spans="2:8" ht="17.25" x14ac:dyDescent="0.3">
      <c r="B29" s="109" t="s">
        <v>38</v>
      </c>
      <c r="C29" s="110"/>
      <c r="D29" s="111"/>
      <c r="E29" s="111"/>
      <c r="F29" s="111"/>
      <c r="G29" s="111"/>
      <c r="H29" s="112"/>
    </row>
    <row r="30" spans="2:8" ht="17.25" x14ac:dyDescent="0.25">
      <c r="B30" s="117" t="s">
        <v>80</v>
      </c>
      <c r="C30" s="116" t="s">
        <v>76</v>
      </c>
      <c r="D30" s="111">
        <v>1</v>
      </c>
      <c r="E30" s="111">
        <v>8</v>
      </c>
      <c r="F30" s="111">
        <v>12</v>
      </c>
      <c r="G30" s="111">
        <v>0</v>
      </c>
      <c r="H30" s="112">
        <v>0.5</v>
      </c>
    </row>
    <row r="31" spans="2:8" ht="17.25" outlineLevel="1" x14ac:dyDescent="0.25">
      <c r="B31" s="117" t="s">
        <v>89</v>
      </c>
      <c r="C31" s="116" t="s">
        <v>76</v>
      </c>
      <c r="D31" s="111">
        <v>1</v>
      </c>
      <c r="E31" s="111">
        <v>8</v>
      </c>
      <c r="F31" s="111">
        <v>15</v>
      </c>
      <c r="G31" s="111">
        <v>3</v>
      </c>
      <c r="H31" s="112">
        <v>1</v>
      </c>
    </row>
    <row r="32" spans="2:8" ht="17.25" outlineLevel="1" x14ac:dyDescent="0.25">
      <c r="B32" s="115" t="s">
        <v>90</v>
      </c>
      <c r="C32" s="116" t="s">
        <v>76</v>
      </c>
      <c r="D32" s="111">
        <v>1</v>
      </c>
      <c r="E32" s="111">
        <v>6</v>
      </c>
      <c r="F32" s="111">
        <v>1</v>
      </c>
      <c r="G32" s="111">
        <v>6</v>
      </c>
      <c r="H32" s="112">
        <v>1</v>
      </c>
    </row>
    <row r="33" spans="2:28" ht="17.25" x14ac:dyDescent="0.3">
      <c r="B33" s="109" t="s">
        <v>91</v>
      </c>
      <c r="C33" s="110"/>
      <c r="D33" s="111"/>
      <c r="E33" s="111"/>
      <c r="F33" s="111"/>
      <c r="G33" s="111"/>
      <c r="H33" s="112"/>
    </row>
    <row r="34" spans="2:28" ht="17.25" outlineLevel="1" x14ac:dyDescent="0.25">
      <c r="B34" s="115" t="s">
        <v>92</v>
      </c>
      <c r="C34" s="116" t="s">
        <v>64</v>
      </c>
      <c r="D34" s="111">
        <v>1</v>
      </c>
      <c r="E34" s="111">
        <v>8</v>
      </c>
      <c r="F34" s="111">
        <v>6</v>
      </c>
      <c r="G34" s="111">
        <v>4</v>
      </c>
      <c r="H34" s="112">
        <v>0.75</v>
      </c>
    </row>
    <row r="35" spans="2:28" ht="17.25" outlineLevel="1" x14ac:dyDescent="0.25">
      <c r="B35" s="115" t="s">
        <v>93</v>
      </c>
      <c r="C35" s="116" t="s">
        <v>64</v>
      </c>
      <c r="D35" s="111">
        <v>6</v>
      </c>
      <c r="E35" s="111">
        <v>8</v>
      </c>
      <c r="F35" s="111">
        <v>1</v>
      </c>
      <c r="G35" s="111">
        <v>8</v>
      </c>
      <c r="H35" s="112">
        <v>0.75</v>
      </c>
    </row>
    <row r="36" spans="2:28" ht="17.25" outlineLevel="1" x14ac:dyDescent="0.25">
      <c r="B36" s="115" t="s">
        <v>94</v>
      </c>
      <c r="C36" s="116" t="s">
        <v>64</v>
      </c>
      <c r="D36" s="111">
        <v>1</v>
      </c>
      <c r="E36" s="111">
        <v>6</v>
      </c>
      <c r="F36" s="111">
        <v>1</v>
      </c>
      <c r="G36" s="111">
        <v>4</v>
      </c>
      <c r="H36" s="112">
        <v>1</v>
      </c>
    </row>
    <row r="37" spans="2:28" ht="17.25" outlineLevel="1" x14ac:dyDescent="0.25">
      <c r="B37" s="117" t="s">
        <v>95</v>
      </c>
      <c r="C37" s="116" t="s">
        <v>96</v>
      </c>
      <c r="D37" s="111">
        <v>8</v>
      </c>
      <c r="E37" s="111">
        <v>6</v>
      </c>
      <c r="F37" s="111">
        <v>14</v>
      </c>
      <c r="G37" s="111">
        <v>5</v>
      </c>
      <c r="H37" s="112">
        <v>1</v>
      </c>
    </row>
    <row r="38" spans="2:28" ht="17.25" outlineLevel="1" x14ac:dyDescent="0.25">
      <c r="B38" s="115" t="s">
        <v>97</v>
      </c>
      <c r="C38" s="116" t="s">
        <v>84</v>
      </c>
      <c r="D38" s="111">
        <v>1</v>
      </c>
      <c r="E38" s="111">
        <v>8</v>
      </c>
      <c r="F38" s="111">
        <v>1</v>
      </c>
      <c r="G38" s="111">
        <v>10</v>
      </c>
      <c r="H38" s="112">
        <v>0.75</v>
      </c>
    </row>
    <row r="39" spans="2:28" ht="17.25" x14ac:dyDescent="0.3">
      <c r="B39" s="109" t="s">
        <v>41</v>
      </c>
      <c r="C39" s="110"/>
      <c r="D39" s="111"/>
      <c r="E39" s="111"/>
      <c r="F39" s="111"/>
      <c r="G39" s="111"/>
      <c r="H39" s="112"/>
    </row>
    <row r="40" spans="2:28" ht="17.25" outlineLevel="1" x14ac:dyDescent="0.25">
      <c r="B40" s="117" t="s">
        <v>98</v>
      </c>
      <c r="C40" s="116" t="s">
        <v>99</v>
      </c>
      <c r="D40" s="111">
        <v>1</v>
      </c>
      <c r="E40" s="111">
        <v>6</v>
      </c>
      <c r="F40" s="111">
        <v>1</v>
      </c>
      <c r="G40" s="111">
        <v>6</v>
      </c>
      <c r="H40" s="112">
        <v>1</v>
      </c>
    </row>
    <row r="41" spans="2:28" ht="17.25" outlineLevel="1" x14ac:dyDescent="0.25">
      <c r="B41" s="117" t="s">
        <v>100</v>
      </c>
      <c r="C41" s="116" t="s">
        <v>99</v>
      </c>
      <c r="D41" s="111">
        <v>12</v>
      </c>
      <c r="E41" s="111">
        <v>7</v>
      </c>
      <c r="F41" s="111">
        <v>14</v>
      </c>
      <c r="G41" s="111">
        <v>7</v>
      </c>
      <c r="H41" s="112">
        <v>1</v>
      </c>
    </row>
    <row r="42" spans="2:28" ht="17.25" outlineLevel="1" x14ac:dyDescent="0.25">
      <c r="B42" s="117" t="s">
        <v>101</v>
      </c>
      <c r="C42" s="116" t="s">
        <v>99</v>
      </c>
      <c r="D42" s="111">
        <v>1</v>
      </c>
      <c r="E42" s="111">
        <v>8</v>
      </c>
      <c r="F42" s="111">
        <v>1</v>
      </c>
      <c r="G42" s="111">
        <v>20</v>
      </c>
      <c r="H42" s="112">
        <v>1</v>
      </c>
    </row>
    <row r="43" spans="2:28" ht="17.25" outlineLevel="1" x14ac:dyDescent="0.25">
      <c r="B43" s="117" t="s">
        <v>102</v>
      </c>
      <c r="C43" s="116" t="s">
        <v>99</v>
      </c>
      <c r="D43" s="111">
        <v>8</v>
      </c>
      <c r="E43" s="111">
        <v>2</v>
      </c>
      <c r="F43" s="111">
        <v>11</v>
      </c>
      <c r="G43" s="111">
        <v>10</v>
      </c>
      <c r="H43" s="112">
        <v>0.75</v>
      </c>
    </row>
    <row r="44" spans="2:28" ht="17.25" outlineLevel="1" x14ac:dyDescent="0.25">
      <c r="B44" s="115" t="s">
        <v>103</v>
      </c>
      <c r="C44" s="116" t="s">
        <v>104</v>
      </c>
      <c r="D44" s="111">
        <v>4</v>
      </c>
      <c r="E44" s="111">
        <v>14</v>
      </c>
      <c r="F44" s="111">
        <v>6</v>
      </c>
      <c r="G44" s="111">
        <v>15</v>
      </c>
      <c r="H44" s="112">
        <v>1</v>
      </c>
    </row>
    <row r="45" spans="2:28" ht="17.25" outlineLevel="1" x14ac:dyDescent="0.25">
      <c r="B45" s="117" t="s">
        <v>105</v>
      </c>
      <c r="C45" s="116" t="s">
        <v>61</v>
      </c>
      <c r="D45" s="111">
        <v>18</v>
      </c>
      <c r="E45" s="111">
        <v>5</v>
      </c>
      <c r="F45" s="111">
        <v>20</v>
      </c>
      <c r="G45" s="111">
        <v>2</v>
      </c>
      <c r="H45" s="112">
        <v>1</v>
      </c>
    </row>
    <row r="46" spans="2:28" s="126" customFormat="1" ht="17.25" x14ac:dyDescent="0.3">
      <c r="B46" s="121" t="s">
        <v>17</v>
      </c>
      <c r="C46" s="122" t="s">
        <v>61</v>
      </c>
      <c r="D46" s="123">
        <v>22</v>
      </c>
      <c r="E46" s="123">
        <v>1</v>
      </c>
      <c r="F46" s="123">
        <v>22</v>
      </c>
      <c r="G46" s="123">
        <v>1</v>
      </c>
      <c r="H46" s="124">
        <v>0.75</v>
      </c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</row>
    <row r="47" spans="2:28" ht="17.25" x14ac:dyDescent="0.3">
      <c r="B47" s="109" t="s">
        <v>19</v>
      </c>
      <c r="C47" s="127"/>
      <c r="D47" s="111"/>
      <c r="E47" s="111"/>
      <c r="F47" s="111"/>
      <c r="G47" s="111"/>
      <c r="H47" s="112"/>
    </row>
    <row r="48" spans="2:28" ht="17.25" outlineLevel="1" x14ac:dyDescent="0.25">
      <c r="B48" s="117" t="s">
        <v>110</v>
      </c>
      <c r="C48" s="116" t="s">
        <v>111</v>
      </c>
      <c r="D48" s="111">
        <v>23</v>
      </c>
      <c r="E48" s="111">
        <v>0</v>
      </c>
      <c r="F48" s="111">
        <v>0</v>
      </c>
      <c r="G48" s="111">
        <v>0</v>
      </c>
      <c r="H48" s="112">
        <v>0</v>
      </c>
    </row>
    <row r="49" spans="2:8" ht="17.25" outlineLevel="1" x14ac:dyDescent="0.25">
      <c r="B49" s="118" t="s">
        <v>69</v>
      </c>
      <c r="C49" s="116" t="s">
        <v>70</v>
      </c>
      <c r="D49" s="111">
        <v>23</v>
      </c>
      <c r="E49" s="111">
        <v>1</v>
      </c>
      <c r="F49" s="111">
        <v>0</v>
      </c>
      <c r="G49" s="111">
        <v>0</v>
      </c>
      <c r="H49" s="112">
        <v>0</v>
      </c>
    </row>
    <row r="50" spans="2:8" ht="17.25" outlineLevel="1" x14ac:dyDescent="0.25">
      <c r="B50" s="118" t="s">
        <v>71</v>
      </c>
      <c r="C50" s="116" t="s">
        <v>72</v>
      </c>
      <c r="D50" s="111">
        <v>23</v>
      </c>
      <c r="E50" s="111">
        <v>1</v>
      </c>
      <c r="F50" s="111">
        <v>0</v>
      </c>
      <c r="G50" s="111">
        <v>0</v>
      </c>
      <c r="H50" s="112">
        <v>0</v>
      </c>
    </row>
    <row r="51" spans="2:8" ht="17.25" outlineLevel="1" x14ac:dyDescent="0.25">
      <c r="B51" s="118" t="s">
        <v>73</v>
      </c>
      <c r="C51" s="116" t="s">
        <v>70</v>
      </c>
      <c r="D51" s="111">
        <v>23</v>
      </c>
      <c r="E51" s="111">
        <v>2</v>
      </c>
      <c r="F51" s="111">
        <v>0</v>
      </c>
      <c r="G51" s="111">
        <v>0</v>
      </c>
      <c r="H51" s="112">
        <v>0</v>
      </c>
    </row>
    <row r="52" spans="2:8" ht="17.25" x14ac:dyDescent="0.25">
      <c r="B52" s="128" t="s">
        <v>112</v>
      </c>
      <c r="C52" s="127" t="s">
        <v>64</v>
      </c>
      <c r="D52" s="111">
        <v>23</v>
      </c>
      <c r="E52" s="111">
        <v>5</v>
      </c>
      <c r="F52" s="111">
        <v>0</v>
      </c>
      <c r="G52" s="111">
        <v>0</v>
      </c>
      <c r="H52" s="112">
        <v>0</v>
      </c>
    </row>
    <row r="53" spans="2:8" ht="17.25" x14ac:dyDescent="0.25">
      <c r="B53" s="129" t="s">
        <v>113</v>
      </c>
      <c r="C53" s="127" t="s">
        <v>64</v>
      </c>
      <c r="D53" s="111">
        <v>23</v>
      </c>
      <c r="E53" s="111">
        <v>5</v>
      </c>
      <c r="F53" s="111">
        <v>0</v>
      </c>
      <c r="G53" s="111">
        <v>0</v>
      </c>
      <c r="H53" s="112">
        <v>0</v>
      </c>
    </row>
    <row r="54" spans="2:8" ht="17.25" x14ac:dyDescent="0.25">
      <c r="B54" s="129" t="s">
        <v>114</v>
      </c>
      <c r="C54" s="127" t="s">
        <v>64</v>
      </c>
      <c r="D54" s="111">
        <v>23</v>
      </c>
      <c r="E54" s="111">
        <v>7</v>
      </c>
      <c r="F54" s="111">
        <v>0</v>
      </c>
      <c r="G54" s="111">
        <v>0</v>
      </c>
      <c r="H54" s="112">
        <v>0</v>
      </c>
    </row>
    <row r="55" spans="2:8" ht="17.25" x14ac:dyDescent="0.25">
      <c r="B55" s="129" t="s">
        <v>115</v>
      </c>
      <c r="C55" s="127" t="s">
        <v>64</v>
      </c>
      <c r="D55" s="111">
        <v>23</v>
      </c>
      <c r="E55" s="111">
        <v>7</v>
      </c>
      <c r="F55" s="111">
        <v>0</v>
      </c>
      <c r="G55" s="111">
        <v>0</v>
      </c>
      <c r="H55" s="112">
        <v>0</v>
      </c>
    </row>
    <row r="56" spans="2:8" ht="17.25" x14ac:dyDescent="0.25">
      <c r="B56" s="130" t="s">
        <v>116</v>
      </c>
      <c r="C56" s="127" t="s">
        <v>64</v>
      </c>
      <c r="D56" s="111">
        <v>31</v>
      </c>
      <c r="E56" s="111">
        <v>7</v>
      </c>
      <c r="F56" s="111">
        <v>0</v>
      </c>
      <c r="G56" s="111">
        <v>0</v>
      </c>
      <c r="H56" s="112">
        <v>0</v>
      </c>
    </row>
    <row r="57" spans="2:8" ht="17.25" x14ac:dyDescent="0.25">
      <c r="B57" s="130" t="s">
        <v>117</v>
      </c>
      <c r="C57" s="127" t="s">
        <v>118</v>
      </c>
      <c r="D57" s="111">
        <v>31</v>
      </c>
      <c r="E57" s="111">
        <v>7</v>
      </c>
      <c r="F57" s="111">
        <v>0</v>
      </c>
      <c r="G57" s="111">
        <v>0</v>
      </c>
      <c r="H57" s="112">
        <v>0</v>
      </c>
    </row>
    <row r="58" spans="2:8" ht="17.25" x14ac:dyDescent="0.25">
      <c r="B58" s="130" t="s">
        <v>119</v>
      </c>
      <c r="C58" s="127" t="s">
        <v>120</v>
      </c>
      <c r="D58" s="111">
        <v>31</v>
      </c>
      <c r="E58" s="111">
        <v>7</v>
      </c>
      <c r="F58" s="111">
        <v>0</v>
      </c>
      <c r="G58" s="111">
        <v>0</v>
      </c>
      <c r="H58" s="112">
        <v>0</v>
      </c>
    </row>
    <row r="59" spans="2:8" ht="17.25" x14ac:dyDescent="0.3">
      <c r="B59" s="109" t="s">
        <v>25</v>
      </c>
      <c r="C59" s="127"/>
      <c r="D59" s="111"/>
      <c r="E59" s="111"/>
      <c r="F59" s="111"/>
      <c r="G59" s="111"/>
      <c r="H59" s="112"/>
    </row>
    <row r="60" spans="2:8" ht="17.25" outlineLevel="1" x14ac:dyDescent="0.25">
      <c r="B60" s="117" t="s">
        <v>26</v>
      </c>
      <c r="C60" s="131" t="s">
        <v>121</v>
      </c>
      <c r="D60" s="111">
        <v>25</v>
      </c>
      <c r="E60" s="111">
        <v>7</v>
      </c>
      <c r="F60" s="111">
        <v>0</v>
      </c>
      <c r="G60" s="111">
        <v>0</v>
      </c>
      <c r="H60" s="112">
        <v>0</v>
      </c>
    </row>
    <row r="61" spans="2:8" ht="17.25" outlineLevel="1" x14ac:dyDescent="0.25">
      <c r="B61" s="117" t="s">
        <v>27</v>
      </c>
      <c r="C61" s="131" t="s">
        <v>121</v>
      </c>
      <c r="D61" s="111">
        <v>25</v>
      </c>
      <c r="E61" s="111">
        <v>7</v>
      </c>
      <c r="F61" s="111">
        <v>0</v>
      </c>
      <c r="G61" s="111">
        <v>0</v>
      </c>
      <c r="H61" s="112">
        <v>0</v>
      </c>
    </row>
    <row r="62" spans="2:8" ht="17.25" outlineLevel="1" x14ac:dyDescent="0.25">
      <c r="B62" s="117" t="s">
        <v>28</v>
      </c>
      <c r="C62" s="131" t="s">
        <v>121</v>
      </c>
      <c r="D62" s="111">
        <v>25</v>
      </c>
      <c r="E62" s="111">
        <v>10</v>
      </c>
      <c r="F62" s="111">
        <v>0</v>
      </c>
      <c r="G62" s="111">
        <v>0</v>
      </c>
      <c r="H62" s="112">
        <v>0</v>
      </c>
    </row>
    <row r="63" spans="2:8" ht="17.25" outlineLevel="1" x14ac:dyDescent="0.25">
      <c r="B63" s="117" t="s">
        <v>24</v>
      </c>
      <c r="C63" s="131" t="s">
        <v>121</v>
      </c>
      <c r="D63" s="111">
        <v>25</v>
      </c>
      <c r="E63" s="111">
        <v>10</v>
      </c>
      <c r="F63" s="111">
        <v>0</v>
      </c>
      <c r="G63" s="111">
        <v>0</v>
      </c>
      <c r="H63" s="112">
        <v>0</v>
      </c>
    </row>
    <row r="64" spans="2:8" ht="17.25" outlineLevel="1" x14ac:dyDescent="0.25">
      <c r="B64" s="120" t="s">
        <v>29</v>
      </c>
      <c r="C64" s="131" t="s">
        <v>121</v>
      </c>
      <c r="D64" s="111">
        <v>25</v>
      </c>
      <c r="E64" s="111">
        <v>20</v>
      </c>
      <c r="F64" s="111">
        <v>0</v>
      </c>
      <c r="G64" s="111">
        <v>0</v>
      </c>
      <c r="H64" s="112">
        <v>0</v>
      </c>
    </row>
    <row r="65" spans="2:8" ht="17.25" x14ac:dyDescent="0.3">
      <c r="B65" s="109" t="s">
        <v>30</v>
      </c>
      <c r="C65" s="127"/>
      <c r="D65" s="111"/>
      <c r="E65" s="111"/>
      <c r="F65" s="111"/>
      <c r="G65" s="111"/>
      <c r="H65" s="112"/>
    </row>
    <row r="66" spans="2:8" ht="17.25" x14ac:dyDescent="0.25">
      <c r="B66" s="132" t="s">
        <v>122</v>
      </c>
      <c r="C66" s="127" t="s">
        <v>72</v>
      </c>
      <c r="D66" s="111">
        <v>23</v>
      </c>
      <c r="E66" s="111">
        <v>10</v>
      </c>
      <c r="F66" s="111">
        <v>0</v>
      </c>
      <c r="G66" s="111">
        <v>0</v>
      </c>
      <c r="H66" s="112">
        <v>0</v>
      </c>
    </row>
    <row r="67" spans="2:8" ht="17.25" x14ac:dyDescent="0.25">
      <c r="B67" s="133" t="s">
        <v>123</v>
      </c>
      <c r="C67" s="127" t="s">
        <v>124</v>
      </c>
      <c r="D67" s="111">
        <v>23</v>
      </c>
      <c r="E67" s="111">
        <v>10</v>
      </c>
      <c r="F67" s="111">
        <v>0</v>
      </c>
      <c r="G67" s="111">
        <v>0</v>
      </c>
      <c r="H67" s="112">
        <v>0</v>
      </c>
    </row>
    <row r="68" spans="2:8" ht="17.25" x14ac:dyDescent="0.25">
      <c r="B68" s="133" t="s">
        <v>125</v>
      </c>
      <c r="C68" s="127" t="s">
        <v>72</v>
      </c>
      <c r="D68" s="111">
        <v>32</v>
      </c>
      <c r="E68" s="111">
        <v>15</v>
      </c>
      <c r="F68" s="111">
        <v>0</v>
      </c>
      <c r="G68" s="111">
        <v>0</v>
      </c>
      <c r="H68" s="112">
        <v>0</v>
      </c>
    </row>
    <row r="69" spans="2:8" ht="17.25" x14ac:dyDescent="0.25">
      <c r="B69" s="134" t="s">
        <v>35</v>
      </c>
      <c r="C69" s="127" t="s">
        <v>124</v>
      </c>
      <c r="D69" s="111">
        <v>32</v>
      </c>
      <c r="E69" s="111">
        <v>5</v>
      </c>
      <c r="F69" s="111">
        <v>0</v>
      </c>
      <c r="G69" s="111">
        <v>0</v>
      </c>
      <c r="H69" s="112">
        <v>0</v>
      </c>
    </row>
    <row r="70" spans="2:8" ht="17.25" x14ac:dyDescent="0.25">
      <c r="B70" s="132" t="s">
        <v>36</v>
      </c>
      <c r="C70" s="127" t="s">
        <v>84</v>
      </c>
      <c r="D70" s="111">
        <v>32</v>
      </c>
      <c r="E70" s="111">
        <v>7</v>
      </c>
      <c r="F70" s="111">
        <v>0</v>
      </c>
      <c r="G70" s="111">
        <v>0</v>
      </c>
      <c r="H70" s="112">
        <v>0</v>
      </c>
    </row>
    <row r="71" spans="2:8" ht="17.25" outlineLevel="1" x14ac:dyDescent="0.25">
      <c r="B71" s="135" t="s">
        <v>37</v>
      </c>
      <c r="C71" s="116" t="s">
        <v>84</v>
      </c>
      <c r="D71" s="111">
        <v>35</v>
      </c>
      <c r="E71" s="111">
        <v>5</v>
      </c>
      <c r="F71" s="111">
        <v>0</v>
      </c>
      <c r="G71" s="111">
        <v>0</v>
      </c>
      <c r="H71" s="112">
        <v>0</v>
      </c>
    </row>
    <row r="72" spans="2:8" ht="17.25" x14ac:dyDescent="0.3">
      <c r="B72" s="109" t="s">
        <v>38</v>
      </c>
      <c r="C72" s="127"/>
      <c r="D72" s="111"/>
      <c r="E72" s="111"/>
      <c r="F72" s="111"/>
      <c r="G72" s="111"/>
      <c r="H72" s="112"/>
    </row>
    <row r="73" spans="2:8" ht="17.25" x14ac:dyDescent="0.25">
      <c r="B73" s="136" t="s">
        <v>39</v>
      </c>
      <c r="C73" s="137" t="s">
        <v>126</v>
      </c>
      <c r="D73" s="111">
        <v>29</v>
      </c>
      <c r="E73" s="111">
        <v>3</v>
      </c>
      <c r="F73" s="111">
        <v>0</v>
      </c>
      <c r="G73" s="111">
        <v>0</v>
      </c>
      <c r="H73" s="112">
        <v>0</v>
      </c>
    </row>
    <row r="74" spans="2:8" ht="17.25" outlineLevel="1" x14ac:dyDescent="0.25">
      <c r="B74" s="117" t="s">
        <v>40</v>
      </c>
      <c r="C74" s="116" t="s">
        <v>76</v>
      </c>
      <c r="D74" s="111">
        <v>29</v>
      </c>
      <c r="E74" s="111">
        <v>7</v>
      </c>
      <c r="F74" s="111">
        <v>0</v>
      </c>
      <c r="G74" s="111">
        <v>0</v>
      </c>
      <c r="H74" s="112">
        <v>0</v>
      </c>
    </row>
    <row r="75" spans="2:8" ht="17.25" outlineLevel="1" x14ac:dyDescent="0.3">
      <c r="B75" s="138" t="s">
        <v>41</v>
      </c>
      <c r="C75" s="116"/>
      <c r="D75" s="111"/>
      <c r="E75" s="111"/>
      <c r="F75" s="111"/>
      <c r="G75" s="111"/>
      <c r="H75" s="112"/>
    </row>
    <row r="76" spans="2:8" ht="17.25" outlineLevel="1" x14ac:dyDescent="0.25">
      <c r="B76" s="117" t="s">
        <v>128</v>
      </c>
      <c r="C76" s="116" t="s">
        <v>61</v>
      </c>
      <c r="D76" s="111">
        <v>41</v>
      </c>
      <c r="E76" s="111">
        <v>6</v>
      </c>
      <c r="F76" s="111">
        <v>0</v>
      </c>
      <c r="G76" s="111">
        <v>0</v>
      </c>
      <c r="H76" s="112">
        <v>0</v>
      </c>
    </row>
    <row r="77" spans="2:8" ht="17.25" outlineLevel="1" x14ac:dyDescent="0.25">
      <c r="B77" s="118" t="s">
        <v>129</v>
      </c>
      <c r="C77" s="116" t="s">
        <v>46</v>
      </c>
      <c r="D77" s="111">
        <v>41</v>
      </c>
      <c r="E77" s="111">
        <v>6</v>
      </c>
      <c r="F77" s="111">
        <v>0</v>
      </c>
      <c r="G77" s="111">
        <v>0</v>
      </c>
      <c r="H77" s="112">
        <v>0</v>
      </c>
    </row>
    <row r="78" spans="2:8" ht="17.25" outlineLevel="1" x14ac:dyDescent="0.25">
      <c r="B78" s="118" t="s">
        <v>30</v>
      </c>
      <c r="C78" s="116" t="s">
        <v>46</v>
      </c>
      <c r="D78" s="111">
        <v>41</v>
      </c>
      <c r="E78" s="111">
        <v>6</v>
      </c>
      <c r="F78" s="111">
        <v>0</v>
      </c>
      <c r="G78" s="111">
        <v>0</v>
      </c>
      <c r="H78" s="112"/>
    </row>
    <row r="79" spans="2:8" ht="17.25" outlineLevel="1" x14ac:dyDescent="0.25">
      <c r="B79" s="118" t="s">
        <v>130</v>
      </c>
      <c r="C79" s="116" t="s">
        <v>99</v>
      </c>
      <c r="D79" s="111">
        <v>41</v>
      </c>
      <c r="E79" s="111">
        <v>6</v>
      </c>
      <c r="F79" s="111">
        <v>0</v>
      </c>
      <c r="G79" s="111">
        <v>0</v>
      </c>
      <c r="H79" s="112">
        <v>0</v>
      </c>
    </row>
    <row r="80" spans="2:8" ht="17.25" x14ac:dyDescent="0.3">
      <c r="B80" s="109" t="s">
        <v>49</v>
      </c>
      <c r="C80" s="127" t="s">
        <v>61</v>
      </c>
      <c r="D80" s="111">
        <v>47</v>
      </c>
      <c r="E80" s="111">
        <v>1</v>
      </c>
      <c r="F80" s="111">
        <v>47</v>
      </c>
      <c r="G80" s="111">
        <v>1</v>
      </c>
      <c r="H80" s="112">
        <v>0</v>
      </c>
    </row>
    <row r="81" spans="2:8" ht="17.25" x14ac:dyDescent="0.3">
      <c r="B81" s="109" t="s">
        <v>50</v>
      </c>
      <c r="C81" s="127"/>
      <c r="D81" s="111"/>
      <c r="E81" s="111"/>
      <c r="F81" s="111"/>
      <c r="G81" s="111"/>
      <c r="H81" s="112"/>
    </row>
    <row r="82" spans="2:8" ht="17.25" x14ac:dyDescent="0.25">
      <c r="B82" s="132" t="s">
        <v>52</v>
      </c>
      <c r="C82" s="127" t="s">
        <v>167</v>
      </c>
      <c r="D82" s="139" t="s">
        <v>53</v>
      </c>
      <c r="E82" s="139" t="s">
        <v>53</v>
      </c>
      <c r="F82" s="111">
        <v>0</v>
      </c>
      <c r="G82" s="111">
        <v>0</v>
      </c>
      <c r="H82" s="112">
        <v>0</v>
      </c>
    </row>
    <row r="83" spans="2:8" ht="17.25" x14ac:dyDescent="0.25">
      <c r="B83" s="128" t="s">
        <v>54</v>
      </c>
      <c r="C83" s="140" t="s">
        <v>99</v>
      </c>
      <c r="D83" s="139" t="s">
        <v>53</v>
      </c>
      <c r="E83" s="139" t="s">
        <v>53</v>
      </c>
      <c r="F83" s="111">
        <v>0</v>
      </c>
      <c r="G83" s="111">
        <v>0</v>
      </c>
      <c r="H83" s="112">
        <v>0</v>
      </c>
    </row>
    <row r="84" spans="2:8" ht="17.25" x14ac:dyDescent="0.3">
      <c r="B84" s="109"/>
      <c r="C84" s="141"/>
      <c r="D84" s="111"/>
      <c r="E84" s="111"/>
      <c r="F84" s="111"/>
      <c r="G84" s="111"/>
      <c r="H84" s="112"/>
    </row>
  </sheetData>
  <mergeCells count="13">
    <mergeCell ref="AJ2:AQ2"/>
    <mergeCell ref="B2:G2"/>
    <mergeCell ref="L2:P2"/>
    <mergeCell ref="R2:U2"/>
    <mergeCell ref="W2:Z2"/>
    <mergeCell ref="AB2:AH2"/>
    <mergeCell ref="H3:H4"/>
    <mergeCell ref="B3:B4"/>
    <mergeCell ref="C3:C4"/>
    <mergeCell ref="D3:D4"/>
    <mergeCell ref="E3:E4"/>
    <mergeCell ref="F3:F4"/>
    <mergeCell ref="G3:G4"/>
  </mergeCells>
  <conditionalFormatting sqref="I4:BP4">
    <cfRule type="expression" dxfId="59" priority="73">
      <formula>I$4=period_selected</formula>
    </cfRule>
  </conditionalFormatting>
  <conditionalFormatting sqref="H5:H100">
    <cfRule type="cellIs" priority="17" operator="equal">
      <formula>isblank</formula>
    </cfRule>
    <cfRule type="colorScale" priority="18">
      <colorScale>
        <cfvo type="min"/>
        <cfvo type="percentile" val="50"/>
        <cfvo type="max"/>
        <color rgb="FFC00000"/>
        <color rgb="FFFFEB84"/>
        <color theme="9"/>
      </colorScale>
    </cfRule>
  </conditionalFormatting>
  <conditionalFormatting sqref="I5:BP61">
    <cfRule type="expression" dxfId="58" priority="1">
      <formula>PercentComplete</formula>
    </cfRule>
    <cfRule type="expression" dxfId="57" priority="2">
      <formula>PercentCompleteBeyond</formula>
    </cfRule>
    <cfRule type="expression" dxfId="56" priority="3">
      <formula>Actual</formula>
    </cfRule>
    <cfRule type="expression" dxfId="55" priority="4">
      <formula>ActualBeyond</formula>
    </cfRule>
    <cfRule type="expression" dxfId="54" priority="5">
      <formula>Plan</formula>
    </cfRule>
    <cfRule type="expression" dxfId="53" priority="7">
      <formula>MOD(COLUMN(),2)</formula>
    </cfRule>
    <cfRule type="expression" dxfId="52" priority="8">
      <formula>MOD(COLUMN(),2)=0</formula>
    </cfRule>
  </conditionalFormatting>
  <conditionalFormatting sqref="I4:BP61">
    <cfRule type="expression" dxfId="51" priority="6">
      <formula>I$4=period_selected</formula>
    </cfRule>
  </conditionalFormatting>
  <dataValidations count="17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/>
    <dataValidation allowBlank="1" showInputMessage="1" showErrorMessage="1" prompt="This legend cell indicates actual duration" sqref="Q2"/>
    <dataValidation allowBlank="1" showInputMessage="1" showErrorMessage="1" prompt="This legend cell indicates the percentage of project completed" sqref="V2"/>
    <dataValidation allowBlank="1" showInputMessage="1" showErrorMessage="1" prompt="This legend cell indicates actual duration beyond plan" sqref="AA2"/>
    <dataValidation allowBlank="1" showInputMessage="1" showErrorMessage="1" prompt="This legend cell indicates the percentage of project completed beyond plan" sqref="AI2"/>
    <dataValidation allowBlank="1" showInputMessage="1" showErrorMessage="1" prompt="Periods are charted from 1 to 60 starting from cell H4 to cell BO4 " sqref="I3"/>
    <dataValidation allowBlank="1" showInputMessage="1" showErrorMessage="1" prompt="Enter activity in column B, starting with cell B5_x000a_" sqref="B3:B4 C3"/>
    <dataValidation allowBlank="1" showInputMessage="1" showErrorMessage="1" prompt="Enter plan start period in column C, starting with cell C5" sqref="D3:D4"/>
    <dataValidation allowBlank="1" showInputMessage="1" showErrorMessage="1" prompt="Enter plan duration period in column D, starting with cell D5" sqref="E3:E4"/>
    <dataValidation allowBlank="1" showInputMessage="1" showErrorMessage="1" prompt="Enter actual start period in column E, starting with cell E5" sqref="F3:F4"/>
    <dataValidation allowBlank="1" showInputMessage="1" showErrorMessage="1" prompt="Enter actual duration period in column F, starting with cell F5" sqref="G3:G4"/>
    <dataValidation allowBlank="1" showInputMessage="1" showErrorMessage="1" prompt="Enter the percentage of project completed in column G, starting with cell G5" sqref="H3:H4"/>
    <dataValidation allowBlank="1" showInputMessage="1" showErrorMessage="1" prompt="Title of the project. Enter a new title in this cell. Highlight a period in H2. Chart legend is in J2 to AI2" sqref="B1:C1"/>
    <dataValidation allowBlank="1" showInputMessage="1" showErrorMessage="1" prompt="Select a period to highlight in H2. A Chart legend is in J2 to AI2" sqref="B2:G2"/>
    <dataValidation showInputMessage="1" showErrorMessage="1" sqref="B16:C16 B27:B28 B25 B64">
      <formula1>0</formula1>
      <formula2>0</formula2>
    </dataValidation>
  </dataValidations>
  <hyperlinks>
    <hyperlink ref="B44" r:id="rId1"/>
    <hyperlink ref="B36" r:id="rId2"/>
    <hyperlink ref="B16" r:id="rId3"/>
    <hyperlink ref="B17" r:id="rId4"/>
    <hyperlink ref="B28" r:id="rId5"/>
    <hyperlink ref="B7" r:id="rId6"/>
    <hyperlink ref="B26" r:id="rId7"/>
    <hyperlink ref="B32" r:id="rId8"/>
    <hyperlink ref="B38" r:id="rId9"/>
    <hyperlink ref="B10" r:id="rId10"/>
    <hyperlink ref="B34" r:id="rId11"/>
    <hyperlink ref="B35" r:id="rId12"/>
  </hyperlinks>
  <printOptions horizontalCentered="1"/>
  <pageMargins left="0.45" right="0.45" top="0.5" bottom="0.5" header="0.3" footer="0.3"/>
  <pageSetup scale="42" fitToHeight="0" orientation="landscape" r:id="rId13"/>
  <headerFooter differentFirst="1">
    <oddFooter>Page &amp;P of &amp;N</oddFooter>
  </headerFooter>
  <drawing r:id="rId14"/>
  <legacyDrawing r:id="rId15"/>
  <controls>
    <mc:AlternateContent xmlns:mc="http://schemas.openxmlformats.org/markup-compatibility/2006">
      <mc:Choice Requires="x14">
        <control shapeId="11265" r:id="rId16" name="Overview_but">
          <controlPr defaultSize="0" autoLine="0" autoPict="0" r:id="rId17">
            <anchor moveWithCells="1">
              <from>
                <xdr:col>6</xdr:col>
                <xdr:colOff>704850</xdr:colOff>
                <xdr:row>0</xdr:row>
                <xdr:rowOff>142875</xdr:rowOff>
              </from>
              <to>
                <xdr:col>7</xdr:col>
                <xdr:colOff>962025</xdr:colOff>
                <xdr:row>0</xdr:row>
                <xdr:rowOff>542925</xdr:rowOff>
              </to>
            </anchor>
          </controlPr>
        </control>
      </mc:Choice>
      <mc:Fallback>
        <control shapeId="11265" r:id="rId16" name="Overview_bu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H200"/>
  <sheetViews>
    <sheetView topLeftCell="A11" zoomScale="70" zoomScaleNormal="70" workbookViewId="0">
      <selection activeCell="D160" sqref="D160"/>
    </sheetView>
  </sheetViews>
  <sheetFormatPr defaultColWidth="6.42578125" defaultRowHeight="15" x14ac:dyDescent="0.25"/>
  <cols>
    <col min="1" max="1" width="24.28515625" style="68" bestFit="1" customWidth="1"/>
    <col min="2" max="3" width="11.28515625" style="68" bestFit="1" customWidth="1"/>
    <col min="4" max="4" width="11.140625" style="68" bestFit="1" customWidth="1"/>
    <col min="5" max="7" width="10.42578125" style="68" bestFit="1" customWidth="1"/>
    <col min="8" max="8" width="11.140625" style="68" bestFit="1" customWidth="1"/>
    <col min="9" max="9" width="5.7109375" style="68" bestFit="1" customWidth="1"/>
    <col min="10" max="10" width="15" style="68" customWidth="1"/>
    <col min="11" max="11" width="5" style="68" customWidth="1"/>
    <col min="12" max="12" width="26" style="68" bestFit="1" customWidth="1"/>
    <col min="13" max="13" width="11.28515625" style="68" bestFit="1" customWidth="1"/>
    <col min="14" max="15" width="9.7109375" style="68" bestFit="1" customWidth="1"/>
    <col min="16" max="16" width="9" style="68" bestFit="1" customWidth="1"/>
    <col min="17" max="17" width="10.42578125" style="68" bestFit="1" customWidth="1"/>
    <col min="18" max="18" width="9.7109375" style="68" bestFit="1" customWidth="1"/>
    <col min="19" max="19" width="9" style="68" bestFit="1" customWidth="1"/>
    <col min="20" max="20" width="10.140625" style="68" customWidth="1"/>
    <col min="21" max="21" width="9.5703125" style="68" customWidth="1"/>
    <col min="22" max="22" width="25" style="68" bestFit="1" customWidth="1"/>
    <col min="23" max="23" width="11.140625" style="68" bestFit="1" customWidth="1"/>
    <col min="24" max="29" width="10" style="68" bestFit="1" customWidth="1"/>
    <col min="30" max="30" width="6.42578125" style="68" customWidth="1"/>
    <col min="31" max="16384" width="6.42578125" style="68"/>
  </cols>
  <sheetData>
    <row r="1" spans="1:34" ht="15.75" thickBot="1" x14ac:dyDescent="0.3">
      <c r="A1" s="272" t="s">
        <v>237</v>
      </c>
      <c r="B1" s="273"/>
      <c r="C1" s="273"/>
      <c r="D1" s="273"/>
      <c r="E1" s="273"/>
      <c r="F1" s="273"/>
      <c r="G1" s="273"/>
      <c r="H1" s="273"/>
      <c r="I1" s="279"/>
    </row>
    <row r="2" spans="1:34" x14ac:dyDescent="0.25">
      <c r="A2" s="73" t="s">
        <v>135</v>
      </c>
      <c r="B2" s="71" t="s">
        <v>61</v>
      </c>
      <c r="C2" s="72" t="s">
        <v>99</v>
      </c>
      <c r="D2" s="71" t="s">
        <v>64</v>
      </c>
      <c r="E2" s="71" t="s">
        <v>133</v>
      </c>
      <c r="F2" s="71" t="s">
        <v>72</v>
      </c>
      <c r="G2" s="71" t="s">
        <v>132</v>
      </c>
      <c r="H2" s="197" t="s">
        <v>124</v>
      </c>
      <c r="I2" s="70" t="s">
        <v>134</v>
      </c>
      <c r="L2" s="85" t="s">
        <v>145</v>
      </c>
      <c r="M2" s="84" t="s">
        <v>61</v>
      </c>
      <c r="N2" s="83" t="s">
        <v>99</v>
      </c>
      <c r="O2" s="83" t="s">
        <v>64</v>
      </c>
      <c r="P2" s="83" t="s">
        <v>133</v>
      </c>
      <c r="Q2" s="83" t="s">
        <v>72</v>
      </c>
      <c r="R2" s="83" t="s">
        <v>132</v>
      </c>
      <c r="S2" s="82" t="s">
        <v>124</v>
      </c>
    </row>
    <row r="3" spans="1:34" x14ac:dyDescent="0.25">
      <c r="A3" s="69">
        <v>43114</v>
      </c>
      <c r="B3" s="222" t="e">
        <f t="shared" ref="B3:B19" si="0">SUM($C3:$H3)</f>
        <v>#VALUE!</v>
      </c>
      <c r="C3" s="223" t="e">
        <f>SUMIFS('[1]Burn Report'!B$3:B$61,'[1]Burn Report'!$A$3:$A$61,"&gt;="&amp;$A3,'[1]Burn Report'!$A$3:$A$61,"&lt;="&amp;$A4)</f>
        <v>#VALUE!</v>
      </c>
      <c r="D3" s="223" t="e">
        <f>SUMIFS('Burn Report'!O$3:O$61,'[1]Burn Report'!$A$3:$A$61,"&gt;="&amp;$A3,'[1]Burn Report'!$A$3:$A$61,"&lt;="&amp;$A4)</f>
        <v>#VALUE!</v>
      </c>
      <c r="E3" s="223" t="e">
        <f>SUMIFS('Burn Report'!P$3:P$61,'[1]Burn Report'!$A$3:$A$61,"&gt;="&amp;$A3,'[1]Burn Report'!$A$3:$A$61,"&lt;="&amp;$A4)</f>
        <v>#VALUE!</v>
      </c>
      <c r="F3" s="223" t="e">
        <f>SUMIFS('Burn Report'!Q$3:Q$61,'[1]Burn Report'!$A$3:$A$61,"&gt;="&amp;$A3,'[1]Burn Report'!$A$3:$A$61,"&lt;="&amp;$A4)</f>
        <v>#VALUE!</v>
      </c>
      <c r="G3" s="223" t="e">
        <f>SUMIFS('Burn Report'!R$3:R$61,'[1]Burn Report'!$A$3:$A$61,"&gt;="&amp;$A3,'[1]Burn Report'!$A$3:$A$61,"&lt;="&amp;$A4)</f>
        <v>#VALUE!</v>
      </c>
      <c r="H3" s="223" t="e">
        <f>SUMIFS('Burn Report'!S$3:S$61,'[1]Burn Report'!$A$3:$A$61,"&gt;="&amp;$A3,'[1]Burn Report'!$A$3:$A$61,"&lt;="&amp;$A4)</f>
        <v>#VALUE!</v>
      </c>
      <c r="I3" s="198">
        <v>1</v>
      </c>
      <c r="L3" s="81" t="s">
        <v>143</v>
      </c>
      <c r="M3" s="259">
        <f>SUM(N3:S3)</f>
        <v>79.25</v>
      </c>
      <c r="N3" s="208">
        <f>'[1]Burn Report'!AD$10</f>
        <v>19.25</v>
      </c>
      <c r="O3" s="208">
        <f>'[1]Burn Report'!AE$10</f>
        <v>14.5</v>
      </c>
      <c r="P3" s="208">
        <f>'[1]Burn Report'!AF$10</f>
        <v>4.5</v>
      </c>
      <c r="Q3" s="208">
        <f>'[1]Burn Report'!AG$10</f>
        <v>10</v>
      </c>
      <c r="R3" s="208">
        <f>'[1]Burn Report'!AH$10</f>
        <v>6.5</v>
      </c>
      <c r="S3" s="215">
        <f>'[1]Burn Report'!AI$10</f>
        <v>24.5</v>
      </c>
    </row>
    <row r="4" spans="1:34" x14ac:dyDescent="0.25">
      <c r="A4" s="69">
        <v>43121</v>
      </c>
      <c r="B4" s="222" t="e">
        <f t="shared" si="0"/>
        <v>#VALUE!</v>
      </c>
      <c r="C4" s="223" t="e">
        <f>SUMIFS('Burn Report'!N$3:N$61,'[1]Burn Report'!$A$3:$A$61,"&gt;="&amp;($A4+DAY(1)),'[1]Burn Report'!$A$3:$A$61,"&lt;="&amp;$A5)</f>
        <v>#VALUE!</v>
      </c>
      <c r="D4" s="223" t="e">
        <f>SUMIFS('Burn Report'!O$3:O$61,'[1]Burn Report'!$A$3:$A$61,"&gt;="&amp;($A4+DAY(1)),'[1]Burn Report'!$A$3:$A$61,"&lt;="&amp;$A5)</f>
        <v>#VALUE!</v>
      </c>
      <c r="E4" s="223" t="e">
        <f>SUMIFS('Burn Report'!P$3:P$61,'[1]Burn Report'!$A$3:$A$61,"&gt;="&amp;($A4+DAY(1)),'[1]Burn Report'!$A$3:$A$61,"&lt;="&amp;$A5)</f>
        <v>#VALUE!</v>
      </c>
      <c r="F4" s="223" t="e">
        <f>SUMIFS('Burn Report'!Q$3:Q$61,'[1]Burn Report'!$A$3:$A$61,"&gt;="&amp;($A4+DAY(1)),'[1]Burn Report'!$A$3:$A$61,"&lt;="&amp;$A5)</f>
        <v>#VALUE!</v>
      </c>
      <c r="G4" s="223" t="e">
        <f>SUMIFS('Burn Report'!R$3:R$61,'[1]Burn Report'!$A$3:$A$61,"&gt;="&amp;($A4+DAY(1)),'[1]Burn Report'!$A$3:$A$61,"&lt;="&amp;$A5)</f>
        <v>#VALUE!</v>
      </c>
      <c r="H4" s="223" t="e">
        <f>SUMIFS('Burn Report'!S$3:S$61,'[1]Burn Report'!$A$3:$A$61,"&gt;="&amp;($A4+DAY(1)),'[1]Burn Report'!$A$3:$A$61,"&lt;="&amp;$A5)</f>
        <v>#VALUE!</v>
      </c>
      <c r="I4" s="199">
        <v>2</v>
      </c>
      <c r="L4" s="241" t="s">
        <v>142</v>
      </c>
      <c r="M4" s="260">
        <f>SUM(N4:S4)</f>
        <v>8375</v>
      </c>
      <c r="N4" s="239">
        <f>'[1]Burn Report'!AD$9</f>
        <v>2075</v>
      </c>
      <c r="O4" s="239">
        <f>'[1]Burn Report'!AE$9</f>
        <v>1450</v>
      </c>
      <c r="P4" s="239">
        <f>'[1]Burn Report'!AF$9</f>
        <v>650</v>
      </c>
      <c r="Q4" s="239">
        <f>'[1]Burn Report'!AG$9</f>
        <v>1000</v>
      </c>
      <c r="R4" s="239">
        <f>'[1]Burn Report'!AH$9</f>
        <v>750</v>
      </c>
      <c r="S4" s="240">
        <f>'[1]Burn Report'!AI$9</f>
        <v>2450</v>
      </c>
    </row>
    <row r="5" spans="1:34" x14ac:dyDescent="0.25">
      <c r="A5" s="69">
        <v>43128</v>
      </c>
      <c r="B5" s="222" t="e">
        <f t="shared" si="0"/>
        <v>#VALUE!</v>
      </c>
      <c r="C5" s="223" t="e">
        <f>SUMIFS('Burn Report'!N$3:N$61,'[1]Burn Report'!$A$3:$A$61,"&gt;="&amp;($A5+DAY(1)),'[1]Burn Report'!$A$3:$A$61,"&lt;="&amp;$A6)</f>
        <v>#VALUE!</v>
      </c>
      <c r="D5" s="223" t="e">
        <f>SUMIFS('Burn Report'!O$3:O$61,'[1]Burn Report'!$A$3:$A$61,"&gt;="&amp;($A5+DAY(1)),'[1]Burn Report'!$A$3:$A$61,"&lt;="&amp;$A6)</f>
        <v>#VALUE!</v>
      </c>
      <c r="E5" s="223" t="e">
        <f>SUMIFS('Burn Report'!P$3:P$61,'[1]Burn Report'!$A$3:$A$61,"&gt;="&amp;($A5+DAY(1)),'[1]Burn Report'!$A$3:$A$61,"&lt;="&amp;$A6)</f>
        <v>#VALUE!</v>
      </c>
      <c r="F5" s="223" t="e">
        <f>SUMIFS('Burn Report'!Q$3:Q$61,'[1]Burn Report'!$A$3:$A$61,"&gt;="&amp;($A5+DAY(1)),'[1]Burn Report'!$A$3:$A$61,"&lt;="&amp;$A6)</f>
        <v>#VALUE!</v>
      </c>
      <c r="G5" s="223" t="e">
        <f>SUMIFS('Burn Report'!R$3:R$61,'[1]Burn Report'!$A$3:$A$61,"&gt;="&amp;($A5+DAY(1)),'[1]Burn Report'!$A$3:$A$61,"&lt;="&amp;$A6)</f>
        <v>#VALUE!</v>
      </c>
      <c r="H5" s="223" t="e">
        <f>SUMIFS('Burn Report'!S$3:S$61,'[1]Burn Report'!$A$3:$A$61,"&gt;="&amp;($A5+DAY(1)),'[1]Burn Report'!$A$3:$A$61,"&lt;="&amp;$A6)</f>
        <v>#VALUE!</v>
      </c>
      <c r="I5" s="199">
        <v>3</v>
      </c>
      <c r="L5" s="81" t="s">
        <v>141</v>
      </c>
      <c r="M5" s="261">
        <f>SUM(N5:S5)</f>
        <v>82.75</v>
      </c>
      <c r="N5" s="209">
        <f>'[3]Weekly Meeting Costs'!AG10</f>
        <v>13.5</v>
      </c>
      <c r="O5" s="209">
        <f>'[3]Weekly Meeting Costs'!AH10</f>
        <v>11.25</v>
      </c>
      <c r="P5" s="209">
        <f>'[3]Weekly Meeting Costs'!AI10</f>
        <v>14.5</v>
      </c>
      <c r="Q5" s="209">
        <f>'[3]Weekly Meeting Costs'!AJ10</f>
        <v>14.5</v>
      </c>
      <c r="R5" s="209">
        <f>'[3]Weekly Meeting Costs'!AK10</f>
        <v>14.5</v>
      </c>
      <c r="S5" s="210">
        <f>'[3]Weekly Meeting Costs'!AL10</f>
        <v>14.5</v>
      </c>
    </row>
    <row r="6" spans="1:34" x14ac:dyDescent="0.25">
      <c r="A6" s="69">
        <v>43135</v>
      </c>
      <c r="B6" s="222" t="e">
        <f t="shared" si="0"/>
        <v>#VALUE!</v>
      </c>
      <c r="C6" s="223" t="e">
        <f>SUMIFS('Burn Report'!N$3:N$61,'[1]Burn Report'!$A$3:$A$61,"&gt;="&amp;($A6+DAY(1)),'[1]Burn Report'!$A$3:$A$61,"&lt;="&amp;$A7)</f>
        <v>#VALUE!</v>
      </c>
      <c r="D6" s="223" t="e">
        <f>SUMIFS('Burn Report'!O$3:O$61,'[1]Burn Report'!$A$3:$A$61,"&gt;="&amp;($A6+DAY(1)),'[1]Burn Report'!$A$3:$A$61,"&lt;="&amp;$A7)</f>
        <v>#VALUE!</v>
      </c>
      <c r="E6" s="223" t="e">
        <f>SUMIFS('Burn Report'!P$3:P$61,'[1]Burn Report'!$A$3:$A$61,"&gt;="&amp;($A6+DAY(1)),'[1]Burn Report'!$A$3:$A$61,"&lt;="&amp;$A7)</f>
        <v>#VALUE!</v>
      </c>
      <c r="F6" s="223" t="e">
        <f>SUMIFS('Burn Report'!Q$3:Q$61,'[1]Burn Report'!$A$3:$A$61,"&gt;="&amp;($A6+DAY(1)),'[1]Burn Report'!$A$3:$A$61,"&lt;="&amp;$A7)</f>
        <v>#VALUE!</v>
      </c>
      <c r="G6" s="223" t="e">
        <f>SUMIFS('Burn Report'!R$3:R$61,'[1]Burn Report'!$A$3:$A$61,"&gt;="&amp;($A6+DAY(1)),'[1]Burn Report'!$A$3:$A$61,"&lt;="&amp;$A7)</f>
        <v>#VALUE!</v>
      </c>
      <c r="H6" s="223" t="e">
        <f>SUMIFS('Burn Report'!S$3:S$61,'[1]Burn Report'!$A$3:$A$61,"&gt;="&amp;($A6+DAY(1)),'[1]Burn Report'!$A$3:$A$61,"&lt;="&amp;$A7)</f>
        <v>#VALUE!</v>
      </c>
      <c r="I6" s="199">
        <v>4</v>
      </c>
      <c r="L6" s="80" t="s">
        <v>140</v>
      </c>
      <c r="M6" s="262">
        <f>SUM(N6:S6)</f>
        <v>8275</v>
      </c>
      <c r="N6" s="216">
        <f>'[3]Weekly Meeting Costs'!AG9</f>
        <v>1350</v>
      </c>
      <c r="O6" s="216">
        <f>'[3]Weekly Meeting Costs'!AH9</f>
        <v>1125</v>
      </c>
      <c r="P6" s="216">
        <f>'[3]Weekly Meeting Costs'!AI9</f>
        <v>1450</v>
      </c>
      <c r="Q6" s="216">
        <f>'[3]Weekly Meeting Costs'!AJ9</f>
        <v>1450</v>
      </c>
      <c r="R6" s="216">
        <f>'[3]Weekly Meeting Costs'!AK9</f>
        <v>1450</v>
      </c>
      <c r="S6" s="217">
        <f>'[3]Weekly Meeting Costs'!AL9</f>
        <v>1450</v>
      </c>
    </row>
    <row r="7" spans="1:34" ht="15.75" thickBot="1" x14ac:dyDescent="0.3">
      <c r="A7" s="69">
        <v>43142</v>
      </c>
      <c r="B7" s="222" t="e">
        <f t="shared" si="0"/>
        <v>#VALUE!</v>
      </c>
      <c r="C7" s="223" t="e">
        <f>SUMIFS('Burn Report'!N$3:N$61,'[1]Burn Report'!$A$3:$A$61,"&gt;="&amp;($A7+DAY(1)),'[1]Burn Report'!$A$3:$A$61,"&lt;="&amp;$A8)</f>
        <v>#VALUE!</v>
      </c>
      <c r="D7" s="223" t="e">
        <f>SUMIFS('Burn Report'!O$3:O$61,'[1]Burn Report'!$A$3:$A$61,"&gt;="&amp;($A7+DAY(1)),'[1]Burn Report'!$A$3:$A$61,"&lt;="&amp;$A8)</f>
        <v>#VALUE!</v>
      </c>
      <c r="E7" s="223" t="e">
        <f>SUMIFS('Burn Report'!P$3:P$61,'[1]Burn Report'!$A$3:$A$61,"&gt;="&amp;($A7+DAY(1)),'[1]Burn Report'!$A$3:$A$61,"&lt;="&amp;$A8)</f>
        <v>#VALUE!</v>
      </c>
      <c r="F7" s="223" t="e">
        <f>SUMIFS('Burn Report'!Q$3:Q$61,'[1]Burn Report'!$A$3:$A$61,"&gt;="&amp;($A7+DAY(1)),'[1]Burn Report'!$A$3:$A$61,"&lt;="&amp;$A8)</f>
        <v>#VALUE!</v>
      </c>
      <c r="G7" s="223" t="e">
        <f>SUMIFS('Burn Report'!R$3:R$61,'[1]Burn Report'!$A$3:$A$61,"&gt;="&amp;($A7+DAY(1)),'[1]Burn Report'!$A$3:$A$61,"&lt;="&amp;$A8)</f>
        <v>#VALUE!</v>
      </c>
      <c r="H7" s="223" t="e">
        <f>SUMIFS('Burn Report'!S$3:S$61,'[1]Burn Report'!$A$3:$A$61,"&gt;="&amp;($A7+DAY(1)),'[1]Burn Report'!$A$3:$A$61,"&lt;="&amp;$A8)</f>
        <v>#VALUE!</v>
      </c>
      <c r="I7" s="199">
        <v>5</v>
      </c>
      <c r="L7" s="79"/>
      <c r="M7" s="230"/>
      <c r="N7" s="78"/>
      <c r="O7" s="78"/>
      <c r="P7" s="78"/>
      <c r="Q7" s="78"/>
      <c r="R7" s="78"/>
      <c r="S7" s="77"/>
    </row>
    <row r="8" spans="1:34" x14ac:dyDescent="0.25">
      <c r="A8" s="69">
        <v>43149</v>
      </c>
      <c r="B8" s="222" t="e">
        <f t="shared" si="0"/>
        <v>#VALUE!</v>
      </c>
      <c r="C8" s="223" t="e">
        <f>SUMIFS('Burn Report'!N$3:N$61,'[1]Burn Report'!$A$3:$A$61,"&gt;="&amp;($A8+DAY(1)),'[1]Burn Report'!$A$3:$A$61,"&lt;="&amp;$A9)</f>
        <v>#VALUE!</v>
      </c>
      <c r="D8" s="223" t="e">
        <f>SUMIFS('Burn Report'!O$3:O$61,'[1]Burn Report'!$A$3:$A$61,"&gt;="&amp;($A8+DAY(1)),'[1]Burn Report'!$A$3:$A$61,"&lt;="&amp;$A9)</f>
        <v>#VALUE!</v>
      </c>
      <c r="E8" s="223" t="e">
        <f>SUMIFS('Burn Report'!P$3:P$61,'[1]Burn Report'!$A$3:$A$61,"&gt;="&amp;($A8+DAY(1)),'[1]Burn Report'!$A$3:$A$61,"&lt;="&amp;$A9)</f>
        <v>#VALUE!</v>
      </c>
      <c r="F8" s="223" t="e">
        <f>SUMIFS('Burn Report'!Q$3:Q$61,'[1]Burn Report'!$A$3:$A$61,"&gt;="&amp;($A8+DAY(1)),'[1]Burn Report'!$A$3:$A$61,"&lt;="&amp;$A9)</f>
        <v>#VALUE!</v>
      </c>
      <c r="G8" s="223" t="e">
        <f>SUMIFS('Burn Report'!R$3:R$61,'[1]Burn Report'!$A$3:$A$61,"&gt;="&amp;($A8+DAY(1)),'[1]Burn Report'!$A$3:$A$61,"&lt;="&amp;$A9)</f>
        <v>#VALUE!</v>
      </c>
      <c r="H8" s="223" t="e">
        <f>SUMIFS('Burn Report'!S$3:S$61,'[1]Burn Report'!$A$3:$A$61,"&gt;="&amp;($A8+DAY(1)),'[1]Burn Report'!$A$3:$A$61,"&lt;="&amp;$A9)</f>
        <v>#VALUE!</v>
      </c>
      <c r="I8" s="199">
        <v>6</v>
      </c>
      <c r="L8" s="76" t="s">
        <v>139</v>
      </c>
      <c r="M8" s="249">
        <f>M3+M5</f>
        <v>162</v>
      </c>
      <c r="N8" s="250">
        <f>N3+N5</f>
        <v>32.75</v>
      </c>
      <c r="O8" s="251">
        <f t="shared" ref="M8:S9" si="1">O3+O5</f>
        <v>25.75</v>
      </c>
      <c r="P8" s="252">
        <f t="shared" si="1"/>
        <v>19</v>
      </c>
      <c r="Q8" s="252">
        <f t="shared" si="1"/>
        <v>24.5</v>
      </c>
      <c r="R8" s="252">
        <f t="shared" si="1"/>
        <v>21</v>
      </c>
      <c r="S8" s="253">
        <f t="shared" si="1"/>
        <v>39</v>
      </c>
    </row>
    <row r="9" spans="1:34" ht="15.75" thickBot="1" x14ac:dyDescent="0.3">
      <c r="A9" s="69">
        <v>43156</v>
      </c>
      <c r="B9" s="222" t="e">
        <f t="shared" si="0"/>
        <v>#VALUE!</v>
      </c>
      <c r="C9" s="223" t="e">
        <f>SUMIFS('Burn Report'!N$3:N$61,'[1]Burn Report'!$A$3:$A$61,"&gt;="&amp;($A9+DAY(1)),'[1]Burn Report'!$A$3:$A$61,"&lt;="&amp;$A10)</f>
        <v>#VALUE!</v>
      </c>
      <c r="D9" s="223" t="e">
        <f>SUMIFS('Burn Report'!O$3:O$61,'[1]Burn Report'!$A$3:$A$61,"&gt;="&amp;($A9+DAY(1)),'[1]Burn Report'!$A$3:$A$61,"&lt;="&amp;$A10)</f>
        <v>#VALUE!</v>
      </c>
      <c r="E9" s="223" t="e">
        <f>SUMIFS('Burn Report'!P$3:P$61,'[1]Burn Report'!$A$3:$A$61,"&gt;="&amp;($A9+DAY(1)),'[1]Burn Report'!$A$3:$A$61,"&lt;="&amp;$A10)</f>
        <v>#VALUE!</v>
      </c>
      <c r="F9" s="223" t="e">
        <f>SUMIFS('Burn Report'!Q$3:Q$61,'[1]Burn Report'!$A$3:$A$61,"&gt;="&amp;($A9+DAY(1)),'[1]Burn Report'!$A$3:$A$61,"&lt;="&amp;$A10)</f>
        <v>#VALUE!</v>
      </c>
      <c r="G9" s="223" t="e">
        <f>SUMIFS('Burn Report'!R$3:R$61,'[1]Burn Report'!$A$3:$A$61,"&gt;="&amp;($A9+DAY(1)),'[1]Burn Report'!$A$3:$A$61,"&lt;="&amp;$A10)</f>
        <v>#VALUE!</v>
      </c>
      <c r="H9" s="223" t="e">
        <f>SUMIFS('Burn Report'!S$3:S$61,'[1]Burn Report'!$A$3:$A$61,"&gt;="&amp;($A9+DAY(1)),'[1]Burn Report'!$A$3:$A$61,"&lt;="&amp;$A10)</f>
        <v>#VALUE!</v>
      </c>
      <c r="I9" s="199">
        <v>7</v>
      </c>
      <c r="K9" s="263"/>
      <c r="L9" s="75" t="s">
        <v>138</v>
      </c>
      <c r="M9" s="254">
        <f t="shared" si="1"/>
        <v>16650</v>
      </c>
      <c r="N9" s="255">
        <f t="shared" si="1"/>
        <v>3425</v>
      </c>
      <c r="O9" s="256">
        <f t="shared" si="1"/>
        <v>2575</v>
      </c>
      <c r="P9" s="257">
        <f t="shared" si="1"/>
        <v>2100</v>
      </c>
      <c r="Q9" s="255">
        <f t="shared" si="1"/>
        <v>2450</v>
      </c>
      <c r="R9" s="255">
        <f t="shared" si="1"/>
        <v>2200</v>
      </c>
      <c r="S9" s="258">
        <f t="shared" si="1"/>
        <v>3900</v>
      </c>
    </row>
    <row r="10" spans="1:34" x14ac:dyDescent="0.25">
      <c r="A10" s="69">
        <v>43163</v>
      </c>
      <c r="B10" s="222" t="e">
        <f t="shared" si="0"/>
        <v>#VALUE!</v>
      </c>
      <c r="C10" s="223" t="e">
        <f>SUMIFS('Burn Report'!N$3:N$61,'[1]Burn Report'!$A$3:$A$61,"&gt;="&amp;($A10+DAY(1)),'[1]Burn Report'!$A$3:$A$61,"&lt;="&amp;$A11)</f>
        <v>#VALUE!</v>
      </c>
      <c r="D10" s="223" t="e">
        <f>SUMIFS('Burn Report'!O$3:O$61,'[1]Burn Report'!$A$3:$A$61,"&gt;="&amp;($A10+DAY(1)),'[1]Burn Report'!$A$3:$A$61,"&lt;="&amp;$A11)</f>
        <v>#VALUE!</v>
      </c>
      <c r="E10" s="223" t="e">
        <f>SUMIFS('Burn Report'!P$3:P$61,'[1]Burn Report'!$A$3:$A$61,"&gt;="&amp;($A10+DAY(1)),'[1]Burn Report'!$A$3:$A$61,"&lt;="&amp;$A11)</f>
        <v>#VALUE!</v>
      </c>
      <c r="F10" s="223" t="e">
        <f>SUMIFS('Burn Report'!Q$3:Q$61,'[1]Burn Report'!$A$3:$A$61,"&gt;="&amp;($A10+DAY(1)),'[1]Burn Report'!$A$3:$A$61,"&lt;="&amp;$A11)</f>
        <v>#VALUE!</v>
      </c>
      <c r="G10" s="223" t="e">
        <f>SUMIFS('Burn Report'!R$3:R$61,'[1]Burn Report'!$A$3:$A$61,"&gt;="&amp;($A10+DAY(1)),'[1]Burn Report'!$A$3:$A$61,"&lt;="&amp;$A11)</f>
        <v>#VALUE!</v>
      </c>
      <c r="H10" s="223" t="e">
        <f>SUMIFS('Burn Report'!S$3:S$61,'[1]Burn Report'!$A$3:$A$61,"&gt;="&amp;($A10+DAY(1)),'[1]Burn Report'!$A$3:$A$61,"&lt;="&amp;$A11)</f>
        <v>#VALUE!</v>
      </c>
      <c r="I10" s="199">
        <v>8</v>
      </c>
      <c r="K10" s="264"/>
      <c r="L10" s="267"/>
      <c r="T10" s="264"/>
      <c r="U10" s="264"/>
      <c r="V10" s="264"/>
      <c r="W10" s="264"/>
      <c r="X10" s="264"/>
      <c r="Y10" s="264"/>
      <c r="Z10" s="264"/>
      <c r="AA10" s="264"/>
      <c r="AB10" s="264"/>
      <c r="AC10" s="264"/>
      <c r="AD10" s="264"/>
      <c r="AE10" s="264"/>
      <c r="AF10" s="264"/>
      <c r="AG10" s="264"/>
      <c r="AH10" s="264"/>
    </row>
    <row r="11" spans="1:34" x14ac:dyDescent="0.25">
      <c r="A11" s="69">
        <v>43170</v>
      </c>
      <c r="B11" s="222" t="e">
        <f t="shared" si="0"/>
        <v>#VALUE!</v>
      </c>
      <c r="C11" s="223" t="e">
        <f>SUMIFS('Burn Report'!N$3:N$61,'[1]Burn Report'!$A$3:$A$61,"&gt;="&amp;($A11+DAY(1)),'[1]Burn Report'!$A$3:$A$61,"&lt;="&amp;$A12)</f>
        <v>#VALUE!</v>
      </c>
      <c r="D11" s="223" t="e">
        <f>SUMIFS('Burn Report'!O$3:O$61,'[1]Burn Report'!$A$3:$A$61,"&gt;="&amp;($A11+DAY(1)),'[1]Burn Report'!$A$3:$A$61,"&lt;="&amp;$A12)</f>
        <v>#VALUE!</v>
      </c>
      <c r="E11" s="223" t="e">
        <f>SUMIFS('Burn Report'!P$3:P$61,'[1]Burn Report'!$A$3:$A$61,"&gt;="&amp;($A11+DAY(1)),'[1]Burn Report'!$A$3:$A$61,"&lt;="&amp;$A12)</f>
        <v>#VALUE!</v>
      </c>
      <c r="F11" s="223" t="e">
        <f>SUMIFS('Burn Report'!Q$3:Q$61,'[1]Burn Report'!$A$3:$A$61,"&gt;="&amp;($A11+DAY(1)),'[1]Burn Report'!$A$3:$A$61,"&lt;="&amp;$A12)</f>
        <v>#VALUE!</v>
      </c>
      <c r="G11" s="223" t="e">
        <f>SUMIFS('Burn Report'!R$3:R$61,'[1]Burn Report'!$A$3:$A$61,"&gt;="&amp;($A11+DAY(1)),'[1]Burn Report'!$A$3:$A$61,"&lt;="&amp;$A12)</f>
        <v>#VALUE!</v>
      </c>
      <c r="H11" s="223" t="e">
        <f>SUMIFS('Burn Report'!S$3:S$61,'[1]Burn Report'!$A$3:$A$61,"&gt;="&amp;($A11+DAY(1)),'[1]Burn Report'!$A$3:$A$61,"&lt;="&amp;$A12)</f>
        <v>#VALUE!</v>
      </c>
      <c r="I11" s="199">
        <v>9</v>
      </c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X11" s="264"/>
      <c r="Y11" s="264"/>
      <c r="Z11" s="264"/>
      <c r="AA11" s="264"/>
      <c r="AB11" s="264"/>
      <c r="AC11" s="264"/>
      <c r="AD11" s="264"/>
      <c r="AE11" s="264"/>
      <c r="AF11" s="264"/>
      <c r="AG11" s="264"/>
      <c r="AH11" s="264"/>
    </row>
    <row r="12" spans="1:34" ht="15.75" thickBot="1" x14ac:dyDescent="0.3">
      <c r="A12" s="69">
        <v>43177</v>
      </c>
      <c r="B12" s="222" t="e">
        <f t="shared" si="0"/>
        <v>#VALUE!</v>
      </c>
      <c r="C12" s="223" t="e">
        <f>SUMIFS('Burn Report'!N$3:N$61,'[1]Burn Report'!$A$3:$A$61,"&gt;="&amp;($A12+DAY(1)),'[1]Burn Report'!$A$3:$A$61,"&lt;="&amp;$A13)</f>
        <v>#VALUE!</v>
      </c>
      <c r="D12" s="223" t="e">
        <f>SUMIFS('Burn Report'!O$3:O$61,'[1]Burn Report'!$A$3:$A$61,"&gt;="&amp;($A12+DAY(1)),'[1]Burn Report'!$A$3:$A$61,"&lt;="&amp;$A13)</f>
        <v>#VALUE!</v>
      </c>
      <c r="E12" s="223" t="e">
        <f>SUMIFS('Burn Report'!P$3:P$61,'[1]Burn Report'!$A$3:$A$61,"&gt;="&amp;($A12+DAY(1)),'[1]Burn Report'!$A$3:$A$61,"&lt;="&amp;$A13)</f>
        <v>#VALUE!</v>
      </c>
      <c r="F12" s="223" t="e">
        <f>SUMIFS('Burn Report'!Q$3:Q$61,'[1]Burn Report'!$A$3:$A$61,"&gt;="&amp;($A12+DAY(1)),'[1]Burn Report'!$A$3:$A$61,"&lt;="&amp;$A13)</f>
        <v>#VALUE!</v>
      </c>
      <c r="G12" s="223" t="e">
        <f>SUMIFS('Burn Report'!R$3:R$61,'[1]Burn Report'!$A$3:$A$61,"&gt;="&amp;($A12+DAY(1)),'[1]Burn Report'!$A$3:$A$61,"&lt;="&amp;$A13)</f>
        <v>#VALUE!</v>
      </c>
      <c r="H12" s="223" t="e">
        <f>SUMIFS('Burn Report'!S$3:S$61,'[1]Burn Report'!$A$3:$A$61,"&gt;="&amp;($A12+DAY(1)),'[1]Burn Report'!$A$3:$A$61,"&lt;="&amp;$A13)</f>
        <v>#VALUE!</v>
      </c>
      <c r="I12" s="199">
        <v>10</v>
      </c>
      <c r="K12" s="264"/>
      <c r="L12" s="264"/>
      <c r="M12" s="264"/>
      <c r="N12" s="264"/>
      <c r="O12" s="264"/>
      <c r="P12" s="264"/>
      <c r="Q12" s="264"/>
      <c r="R12" s="264"/>
      <c r="S12" s="264"/>
      <c r="T12" s="264"/>
      <c r="U12" s="264"/>
      <c r="X12" s="264"/>
      <c r="Y12" s="264"/>
      <c r="Z12" s="264"/>
      <c r="AA12" s="264"/>
      <c r="AB12" s="264"/>
      <c r="AC12" s="264"/>
      <c r="AD12" s="264"/>
      <c r="AE12" s="264"/>
      <c r="AF12" s="264"/>
      <c r="AG12" s="264"/>
      <c r="AH12" s="264"/>
    </row>
    <row r="13" spans="1:34" x14ac:dyDescent="0.25">
      <c r="A13" s="69">
        <v>43184</v>
      </c>
      <c r="B13" s="222" t="e">
        <f t="shared" si="0"/>
        <v>#VALUE!</v>
      </c>
      <c r="C13" s="223" t="e">
        <f>SUMIFS('Burn Report'!N$3:N$61,'[1]Burn Report'!$A$3:$A$61,"&gt;="&amp;($A13+DAY(1)),'[1]Burn Report'!$A$3:$A$61,"&lt;="&amp;$A14)</f>
        <v>#VALUE!</v>
      </c>
      <c r="D13" s="223" t="e">
        <f>SUMIFS('Burn Report'!O$3:O$61,'[1]Burn Report'!$A$3:$A$61,"&gt;="&amp;($A13+DAY(1)),'[1]Burn Report'!$A$3:$A$61,"&lt;="&amp;$A14)</f>
        <v>#VALUE!</v>
      </c>
      <c r="E13" s="223" t="e">
        <f>SUMIFS('Burn Report'!P$3:P$61,'[1]Burn Report'!$A$3:$A$61,"&gt;="&amp;($A13+DAY(1)),'[1]Burn Report'!$A$3:$A$61,"&lt;="&amp;$A14)</f>
        <v>#VALUE!</v>
      </c>
      <c r="F13" s="223" t="e">
        <f>SUMIFS('Burn Report'!Q$3:Q$61,'[1]Burn Report'!$A$3:$A$61,"&gt;="&amp;($A13+DAY(1)),'[1]Burn Report'!$A$3:$A$61,"&lt;="&amp;$A14)</f>
        <v>#VALUE!</v>
      </c>
      <c r="G13" s="223" t="e">
        <f>SUMIFS('Burn Report'!R$3:R$61,'[1]Burn Report'!$A$3:$A$61,"&gt;="&amp;($A13+DAY(1)),'[1]Burn Report'!$A$3:$A$61,"&lt;="&amp;$A14)</f>
        <v>#VALUE!</v>
      </c>
      <c r="H13" s="223" t="e">
        <f>SUMIFS('Burn Report'!S$3:S$61,'[1]Burn Report'!$A$3:$A$61,"&gt;="&amp;($A13+DAY(1)),'[1]Burn Report'!$A$3:$A$61,"&lt;="&amp;$A14)</f>
        <v>#VALUE!</v>
      </c>
      <c r="I13" s="199">
        <v>11</v>
      </c>
      <c r="K13" s="264"/>
      <c r="L13" s="85" t="s">
        <v>235</v>
      </c>
      <c r="M13" s="237" t="s">
        <v>61</v>
      </c>
      <c r="N13" s="83" t="s">
        <v>99</v>
      </c>
      <c r="O13" s="83" t="s">
        <v>64</v>
      </c>
      <c r="P13" s="83" t="s">
        <v>133</v>
      </c>
      <c r="Q13" s="83" t="s">
        <v>72</v>
      </c>
      <c r="R13" s="83" t="s">
        <v>132</v>
      </c>
      <c r="S13" s="82" t="s">
        <v>124</v>
      </c>
      <c r="T13" s="264"/>
      <c r="U13" s="264"/>
      <c r="X13" s="264"/>
      <c r="Y13" s="264"/>
      <c r="Z13" s="264"/>
      <c r="AA13" s="264"/>
      <c r="AB13" s="264"/>
      <c r="AC13" s="264"/>
      <c r="AD13" s="264"/>
      <c r="AE13" s="264"/>
      <c r="AF13" s="264"/>
      <c r="AG13" s="264"/>
      <c r="AH13" s="264"/>
    </row>
    <row r="14" spans="1:34" x14ac:dyDescent="0.25">
      <c r="A14" s="69">
        <v>43191</v>
      </c>
      <c r="B14" s="222" t="e">
        <f t="shared" si="0"/>
        <v>#VALUE!</v>
      </c>
      <c r="C14" s="223" t="e">
        <f>SUMIFS('Burn Report'!N$3:N$61,'[1]Burn Report'!$A$3:$A$61,"&gt;="&amp;($A14+DAY(1)),'[1]Burn Report'!$A$3:$A$61,"&lt;="&amp;$A15)</f>
        <v>#VALUE!</v>
      </c>
      <c r="D14" s="223" t="e">
        <f>SUMIFS('Burn Report'!O$3:O$61,'[1]Burn Report'!$A$3:$A$61,"&gt;="&amp;($A14+DAY(1)),'[1]Burn Report'!$A$3:$A$61,"&lt;="&amp;$A15)</f>
        <v>#VALUE!</v>
      </c>
      <c r="E14" s="223" t="e">
        <f>SUMIFS('Burn Report'!P$3:P$61,'[1]Burn Report'!$A$3:$A$61,"&gt;="&amp;($A14+DAY(1)),'[1]Burn Report'!$A$3:$A$61,"&lt;="&amp;$A15)</f>
        <v>#VALUE!</v>
      </c>
      <c r="F14" s="223" t="e">
        <f>SUMIFS('Burn Report'!Q$3:Q$61,'[1]Burn Report'!$A$3:$A$61,"&gt;="&amp;($A14+DAY(1)),'[1]Burn Report'!$A$3:$A$61,"&lt;="&amp;$A15)</f>
        <v>#VALUE!</v>
      </c>
      <c r="G14" s="223" t="e">
        <f>SUMIFS('Burn Report'!R$3:R$61,'[1]Burn Report'!$A$3:$A$61,"&gt;="&amp;($A14+DAY(1)),'[1]Burn Report'!$A$3:$A$61,"&lt;="&amp;$A15)</f>
        <v>#VALUE!</v>
      </c>
      <c r="H14" s="223" t="e">
        <f>SUMIFS('Burn Report'!S$3:S$61,'[1]Burn Report'!$A$3:$A$61,"&gt;="&amp;($A14+DAY(1)),'[1]Burn Report'!$A$3:$A$61,"&lt;="&amp;$A15)</f>
        <v>#VALUE!</v>
      </c>
      <c r="I14" s="199">
        <v>12</v>
      </c>
      <c r="K14" s="264"/>
      <c r="L14" s="234" t="s">
        <v>143</v>
      </c>
      <c r="M14" s="236">
        <f>SUM(N14:S14)</f>
        <v>28</v>
      </c>
      <c r="N14" s="208">
        <f>'[1]Burn Report'!AD$7</f>
        <v>6.5</v>
      </c>
      <c r="O14" s="208">
        <f>'[1]Burn Report'!AE$7</f>
        <v>0</v>
      </c>
      <c r="P14" s="208">
        <f>'[1]Burn Report'!AF$7</f>
        <v>2</v>
      </c>
      <c r="Q14" s="208">
        <f>'[1]Burn Report'!AG$7</f>
        <v>2.5</v>
      </c>
      <c r="R14" s="208">
        <f>'[1]Burn Report'!AH$7</f>
        <v>1</v>
      </c>
      <c r="S14" s="215">
        <f>'[1]Burn Report'!AI$7</f>
        <v>16</v>
      </c>
      <c r="T14" s="264"/>
      <c r="U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</row>
    <row r="15" spans="1:34" x14ac:dyDescent="0.25">
      <c r="A15" s="69">
        <v>43198</v>
      </c>
      <c r="B15" s="222" t="e">
        <f t="shared" si="0"/>
        <v>#VALUE!</v>
      </c>
      <c r="C15" s="223" t="e">
        <f>SUMIFS('Burn Report'!N$3:N$61,'[1]Burn Report'!$A$3:$A$61,"&gt;="&amp;($A15+DAY(1)),'[1]Burn Report'!$A$3:$A$61,"&lt;="&amp;$A16)</f>
        <v>#VALUE!</v>
      </c>
      <c r="D15" s="223" t="e">
        <f>SUMIFS('Burn Report'!O$3:O$61,'[1]Burn Report'!$A$3:$A$61,"&gt;="&amp;($A15+DAY(1)),'[1]Burn Report'!$A$3:$A$61,"&lt;="&amp;$A16)</f>
        <v>#VALUE!</v>
      </c>
      <c r="E15" s="223" t="e">
        <f>SUMIFS('Burn Report'!P$3:P$61,'[1]Burn Report'!$A$3:$A$61,"&gt;="&amp;($A15+DAY(1)),'[1]Burn Report'!$A$3:$A$61,"&lt;="&amp;$A16)</f>
        <v>#VALUE!</v>
      </c>
      <c r="F15" s="223" t="e">
        <f>SUMIFS('Burn Report'!Q$3:Q$61,'[1]Burn Report'!$A$3:$A$61,"&gt;="&amp;($A15+DAY(1)),'[1]Burn Report'!$A$3:$A$61,"&lt;="&amp;$A16)</f>
        <v>#VALUE!</v>
      </c>
      <c r="G15" s="223" t="e">
        <f>SUMIFS('Burn Report'!R$3:R$61,'[1]Burn Report'!$A$3:$A$61,"&gt;="&amp;($A15+DAY(1)),'[1]Burn Report'!$A$3:$A$61,"&lt;="&amp;$A16)</f>
        <v>#VALUE!</v>
      </c>
      <c r="H15" s="223" t="e">
        <f>SUMIFS('Burn Report'!S$3:S$61,'[1]Burn Report'!$A$3:$A$61,"&gt;="&amp;($A15+DAY(1)),'[1]Burn Report'!$A$3:$A$61,"&lt;="&amp;$A16)</f>
        <v>#VALUE!</v>
      </c>
      <c r="I15" s="199">
        <v>13</v>
      </c>
      <c r="K15" s="264"/>
      <c r="L15" s="242" t="s">
        <v>142</v>
      </c>
      <c r="M15" s="243">
        <f>SUM(N15:S15)</f>
        <v>3250</v>
      </c>
      <c r="N15" s="239">
        <f>'[1]Burn Report'!AD$4</f>
        <v>800</v>
      </c>
      <c r="O15" s="239">
        <f>'[1]Burn Report'!AE$4</f>
        <v>0</v>
      </c>
      <c r="P15" s="239">
        <f>'[1]Burn Report'!AF$4</f>
        <v>400</v>
      </c>
      <c r="Q15" s="239">
        <f>'[1]Burn Report'!AG$4</f>
        <v>250</v>
      </c>
      <c r="R15" s="239">
        <f>'[1]Burn Report'!AH$4</f>
        <v>200</v>
      </c>
      <c r="S15" s="240">
        <f>'[1]Burn Report'!AI$4</f>
        <v>1600</v>
      </c>
      <c r="T15" s="264"/>
      <c r="U15" s="264"/>
      <c r="X15" s="264"/>
      <c r="Y15" s="264"/>
      <c r="Z15" s="264"/>
      <c r="AA15" s="264"/>
      <c r="AB15" s="264"/>
      <c r="AC15" s="264"/>
      <c r="AD15" s="264"/>
      <c r="AE15" s="264"/>
      <c r="AF15" s="264"/>
      <c r="AG15" s="264"/>
      <c r="AH15" s="264"/>
    </row>
    <row r="16" spans="1:34" x14ac:dyDescent="0.25">
      <c r="A16" s="69">
        <v>43205</v>
      </c>
      <c r="B16" s="222" t="e">
        <f t="shared" si="0"/>
        <v>#VALUE!</v>
      </c>
      <c r="C16" s="223" t="e">
        <f>SUMIFS('Burn Report'!N$3:N$61,'[1]Burn Report'!$A$3:$A$61,"&gt;="&amp;($A16+DAY(1)),'[1]Burn Report'!$A$3:$A$61,"&lt;="&amp;$A17)</f>
        <v>#VALUE!</v>
      </c>
      <c r="D16" s="223" t="e">
        <f>SUMIFS('Burn Report'!O$3:O$61,'[1]Burn Report'!$A$3:$A$61,"&gt;="&amp;($A16+DAY(1)),'[1]Burn Report'!$A$3:$A$61,"&lt;="&amp;$A17)</f>
        <v>#VALUE!</v>
      </c>
      <c r="E16" s="223" t="e">
        <f>SUMIFS('Burn Report'!P$3:P$61,'[1]Burn Report'!$A$3:$A$61,"&gt;="&amp;($A16+DAY(1)),'[1]Burn Report'!$A$3:$A$61,"&lt;="&amp;$A17)</f>
        <v>#VALUE!</v>
      </c>
      <c r="F16" s="223" t="e">
        <f>SUMIFS('Burn Report'!Q$3:Q$61,'[1]Burn Report'!$A$3:$A$61,"&gt;="&amp;($A16+DAY(1)),'[1]Burn Report'!$A$3:$A$61,"&lt;="&amp;$A17)</f>
        <v>#VALUE!</v>
      </c>
      <c r="G16" s="223" t="e">
        <f>SUMIFS('Burn Report'!R$3:R$61,'[1]Burn Report'!$A$3:$A$61,"&gt;="&amp;($A16+DAY(1)),'[1]Burn Report'!$A$3:$A$61,"&lt;="&amp;$A17)</f>
        <v>#VALUE!</v>
      </c>
      <c r="H16" s="223" t="e">
        <f>SUMIFS('Burn Report'!S$3:S$61,'[1]Burn Report'!$A$3:$A$61,"&gt;="&amp;($A16+DAY(1)),'[1]Burn Report'!$A$3:$A$61,"&lt;="&amp;$A17)</f>
        <v>#VALUE!</v>
      </c>
      <c r="I16" s="199">
        <v>14</v>
      </c>
      <c r="K16" s="264"/>
      <c r="L16" s="235" t="s">
        <v>141</v>
      </c>
      <c r="M16" s="236">
        <f t="shared" ref="M16:M17" si="2">SUM(N16:S16)</f>
        <v>16</v>
      </c>
      <c r="N16" s="209">
        <f>'[3]Weekly Meeting Costs'!AG7</f>
        <v>2.75</v>
      </c>
      <c r="O16" s="209">
        <f>'[3]Weekly Meeting Costs'!AH7</f>
        <v>2.25</v>
      </c>
      <c r="P16" s="209">
        <f>'[3]Weekly Meeting Costs'!AI7</f>
        <v>2.75</v>
      </c>
      <c r="Q16" s="209">
        <f>'[3]Weekly Meeting Costs'!AJ7</f>
        <v>2.75</v>
      </c>
      <c r="R16" s="209">
        <f>'[3]Weekly Meeting Costs'!AK7</f>
        <v>2.75</v>
      </c>
      <c r="S16" s="210">
        <f>'[3]Weekly Meeting Costs'!AL7</f>
        <v>2.75</v>
      </c>
      <c r="T16" s="264"/>
      <c r="U16" s="264"/>
      <c r="X16" s="264"/>
      <c r="Y16" s="264"/>
      <c r="Z16" s="264"/>
      <c r="AA16" s="264"/>
      <c r="AB16" s="264"/>
      <c r="AC16" s="264"/>
      <c r="AD16" s="264"/>
      <c r="AE16" s="264"/>
      <c r="AF16" s="264"/>
      <c r="AG16" s="264"/>
      <c r="AH16" s="264"/>
    </row>
    <row r="17" spans="1:34" x14ac:dyDescent="0.25">
      <c r="A17" s="69">
        <v>43212</v>
      </c>
      <c r="B17" s="222" t="e">
        <f t="shared" si="0"/>
        <v>#VALUE!</v>
      </c>
      <c r="C17" s="223" t="e">
        <f>SUMIFS('Burn Report'!N$3:N$61,'[1]Burn Report'!$A$3:$A$61,"&gt;="&amp;($A17+DAY(1)),'[1]Burn Report'!$A$3:$A$61,"&lt;="&amp;$A18)</f>
        <v>#VALUE!</v>
      </c>
      <c r="D17" s="223" t="e">
        <f>SUMIFS('Burn Report'!O$3:O$61,'[1]Burn Report'!$A$3:$A$61,"&gt;="&amp;($A17+DAY(1)),'[1]Burn Report'!$A$3:$A$61,"&lt;="&amp;$A18)</f>
        <v>#VALUE!</v>
      </c>
      <c r="E17" s="223" t="e">
        <f>SUMIFS('Burn Report'!P$3:P$61,'[1]Burn Report'!$A$3:$A$61,"&gt;="&amp;($A17+DAY(1)),'[1]Burn Report'!$A$3:$A$61,"&lt;="&amp;$A18)</f>
        <v>#VALUE!</v>
      </c>
      <c r="F17" s="223" t="e">
        <f>SUMIFS('Burn Report'!Q$3:Q$61,'[1]Burn Report'!$A$3:$A$61,"&gt;="&amp;($A17+DAY(1)),'[1]Burn Report'!$A$3:$A$61,"&lt;="&amp;$A18)</f>
        <v>#VALUE!</v>
      </c>
      <c r="G17" s="223" t="e">
        <f>SUMIFS('Burn Report'!R$3:R$61,'[1]Burn Report'!$A$3:$A$61,"&gt;="&amp;($A17+DAY(1)),'[1]Burn Report'!$A$3:$A$61,"&lt;="&amp;$A18)</f>
        <v>#VALUE!</v>
      </c>
      <c r="H17" s="269" t="e">
        <f>SUMIFS('Burn Report'!S$3:S$61,'[1]Burn Report'!$A$3:$A$61,"&gt;="&amp;($A17+DAY(1)),'[1]Burn Report'!$A$3:$A$61,"&lt;="&amp;$A18)</f>
        <v>#VALUE!</v>
      </c>
      <c r="I17" s="268">
        <v>15</v>
      </c>
      <c r="K17" s="264"/>
      <c r="L17" s="80" t="s">
        <v>140</v>
      </c>
      <c r="M17" s="231">
        <f t="shared" si="2"/>
        <v>1600</v>
      </c>
      <c r="N17" s="216">
        <f>'[3]Weekly Meeting Costs'!AG4</f>
        <v>275</v>
      </c>
      <c r="O17" s="216">
        <f>'[3]Weekly Meeting Costs'!AH4</f>
        <v>225</v>
      </c>
      <c r="P17" s="216">
        <f>'[3]Weekly Meeting Costs'!AI4</f>
        <v>275</v>
      </c>
      <c r="Q17" s="216">
        <f>'[3]Weekly Meeting Costs'!AJ4</f>
        <v>275</v>
      </c>
      <c r="R17" s="216">
        <f>'[3]Weekly Meeting Costs'!AK4</f>
        <v>275</v>
      </c>
      <c r="S17" s="217">
        <f>'[3]Weekly Meeting Costs'!AL4</f>
        <v>275</v>
      </c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G17" s="264"/>
      <c r="AH17" s="264"/>
    </row>
    <row r="18" spans="1:34" ht="15.75" thickBot="1" x14ac:dyDescent="0.3">
      <c r="A18" s="69">
        <v>43219</v>
      </c>
      <c r="B18" s="222" t="e">
        <f t="shared" si="0"/>
        <v>#VALUE!</v>
      </c>
      <c r="C18" s="223" t="e">
        <f>SUMIFS('Burn Report'!N$3:N$61,'[1]Burn Report'!$A$3:$A$61,"&gt;="&amp;($A18+DAY(1)),'[1]Burn Report'!$A$3:$A$61,"&lt;="&amp;$A19)</f>
        <v>#VALUE!</v>
      </c>
      <c r="D18" s="223" t="e">
        <f>SUMIFS('Burn Report'!O$3:O$61,'[1]Burn Report'!$A$3:$A$61,"&gt;="&amp;($A18+DAY(1)),'[1]Burn Report'!$A$3:$A$61,"&lt;="&amp;$A19)</f>
        <v>#VALUE!</v>
      </c>
      <c r="E18" s="223" t="e">
        <f>SUMIFS('Burn Report'!P$3:P$61,'[1]Burn Report'!$A$3:$A$61,"&gt;="&amp;($A18+DAY(1)),'[1]Burn Report'!$A$3:$A$61,"&lt;="&amp;$A19)</f>
        <v>#VALUE!</v>
      </c>
      <c r="F18" s="223" t="e">
        <f>SUMIFS('Burn Report'!Q$3:Q$61,'[1]Burn Report'!$A$3:$A$61,"&gt;="&amp;($A18+DAY(1)),'[1]Burn Report'!$A$3:$A$61,"&lt;="&amp;$A19)</f>
        <v>#VALUE!</v>
      </c>
      <c r="G18" s="223" t="e">
        <f>SUMIFS('Burn Report'!R$3:R$61,'[1]Burn Report'!$A$3:$A$61,"&gt;="&amp;($A18+DAY(1)),'[1]Burn Report'!$A$3:$A$61,"&lt;="&amp;$A19)</f>
        <v>#VALUE!</v>
      </c>
      <c r="H18" s="269" t="e">
        <f>SUMIFS('Burn Report'!S$3:S$61,'[1]Burn Report'!$A$3:$A$61,"&gt;="&amp;($A18+DAY(1)),'[1]Burn Report'!$A$3:$A$61,"&lt;="&amp;$A19)</f>
        <v>#VALUE!</v>
      </c>
      <c r="I18" s="199">
        <v>16</v>
      </c>
      <c r="K18" s="264"/>
      <c r="L18" s="79"/>
      <c r="M18" s="230"/>
      <c r="N18" s="78"/>
      <c r="O18" s="78"/>
      <c r="P18" s="78"/>
      <c r="Q18" s="78"/>
      <c r="R18" s="78"/>
      <c r="S18" s="77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264"/>
    </row>
    <row r="19" spans="1:34" x14ac:dyDescent="0.25">
      <c r="A19" s="69">
        <v>43226</v>
      </c>
      <c r="B19" s="222" t="e">
        <f t="shared" si="0"/>
        <v>#VALUE!</v>
      </c>
      <c r="C19" s="223" t="e">
        <f>SUMIFS('Burn Report'!N$3:N$61,'[1]Burn Report'!$A$3:$A$61,"&gt;="&amp;($A19+DAY(1)),'[1]Burn Report'!$A$3:$A$61,"&lt;="&amp;($A19+DAY(8)))</f>
        <v>#VALUE!</v>
      </c>
      <c r="D19" s="223" t="e">
        <f>SUMIFS('Burn Report'!O$3:O$61,'[1]Burn Report'!$A$3:$A$61,"&gt;="&amp;($A19+DAY(1)),'[1]Burn Report'!$A$3:$A$61,"&lt;="&amp;($A19+DAY(8)))</f>
        <v>#VALUE!</v>
      </c>
      <c r="E19" s="223" t="e">
        <f>SUMIFS('Burn Report'!P$3:P$61,'[1]Burn Report'!$A$3:$A$61,"&gt;="&amp;($A19+DAY(1)),'[1]Burn Report'!$A$3:$A$61,"&lt;="&amp;($A19+DAY(8)))</f>
        <v>#VALUE!</v>
      </c>
      <c r="F19" s="223" t="e">
        <f>SUMIFS('Burn Report'!Q$3:Q$61,'[1]Burn Report'!$A$3:$A$61,"&gt;="&amp;($A19+DAY(1)),'[1]Burn Report'!$A$3:$A$61,"&lt;="&amp;($A19+DAY(8)))</f>
        <v>#VALUE!</v>
      </c>
      <c r="G19" s="223" t="e">
        <f>SUMIFS('Burn Report'!R$3:R$61,'[1]Burn Report'!$A$3:$A$61,"&gt;="&amp;($A19+DAY(1)),'[1]Burn Report'!$A$3:$A$61,"&lt;="&amp;($A19+DAY(8)))</f>
        <v>#VALUE!</v>
      </c>
      <c r="H19" s="274" t="e">
        <f>SUMIFS('Burn Report'!S$3:S$61,'[1]Burn Report'!$A$3:$A$61,"&gt;="&amp;($A19+DAY(1)),'[1]Burn Report'!$A$3:$A$61,"&lt;="&amp;($A19+DAY(8)))</f>
        <v>#VALUE!</v>
      </c>
      <c r="I19" s="199">
        <v>17</v>
      </c>
      <c r="K19" s="264"/>
      <c r="L19" s="76" t="s">
        <v>139</v>
      </c>
      <c r="M19" s="247">
        <f t="shared" ref="M19:S19" si="3">M14+M16</f>
        <v>44</v>
      </c>
      <c r="N19" s="211">
        <f t="shared" si="3"/>
        <v>9.25</v>
      </c>
      <c r="O19" s="212">
        <f t="shared" si="3"/>
        <v>2.25</v>
      </c>
      <c r="P19" s="213">
        <f t="shared" si="3"/>
        <v>4.75</v>
      </c>
      <c r="Q19" s="213">
        <f t="shared" si="3"/>
        <v>5.25</v>
      </c>
      <c r="R19" s="213">
        <f t="shared" si="3"/>
        <v>3.75</v>
      </c>
      <c r="S19" s="214">
        <f t="shared" si="3"/>
        <v>18.75</v>
      </c>
      <c r="T19" s="264"/>
      <c r="U19" s="264"/>
      <c r="V19" s="264"/>
      <c r="W19" s="264"/>
      <c r="X19" s="264"/>
      <c r="Y19" s="264"/>
      <c r="Z19" s="264"/>
      <c r="AA19" s="264"/>
      <c r="AB19" s="264"/>
      <c r="AC19" s="264"/>
      <c r="AD19" s="264"/>
      <c r="AE19" s="264"/>
      <c r="AF19" s="264"/>
      <c r="AG19" s="264"/>
      <c r="AH19" s="264"/>
    </row>
    <row r="20" spans="1:34" ht="15.75" thickBot="1" x14ac:dyDescent="0.3">
      <c r="A20" s="145" t="s">
        <v>131</v>
      </c>
      <c r="B20" s="270" t="e">
        <f>SUM(C20:H20)</f>
        <v>#VALUE!</v>
      </c>
      <c r="C20" s="224" t="e">
        <f t="shared" ref="C20:H20" si="4">SUM(C5:C19)</f>
        <v>#VALUE!</v>
      </c>
      <c r="D20" s="225" t="e">
        <f t="shared" si="4"/>
        <v>#VALUE!</v>
      </c>
      <c r="E20" s="225" t="e">
        <f t="shared" si="4"/>
        <v>#VALUE!</v>
      </c>
      <c r="F20" s="225" t="e">
        <f t="shared" si="4"/>
        <v>#VALUE!</v>
      </c>
      <c r="G20" s="225" t="e">
        <f t="shared" si="4"/>
        <v>#VALUE!</v>
      </c>
      <c r="H20" s="225" t="e">
        <f t="shared" si="4"/>
        <v>#VALUE!</v>
      </c>
      <c r="I20" s="196"/>
      <c r="K20" s="264"/>
      <c r="L20" s="75" t="s">
        <v>138</v>
      </c>
      <c r="M20" s="246">
        <f t="shared" ref="M20:S20" si="5">M15+M17</f>
        <v>4850</v>
      </c>
      <c r="N20" s="218">
        <f t="shared" si="5"/>
        <v>1075</v>
      </c>
      <c r="O20" s="219">
        <f t="shared" si="5"/>
        <v>225</v>
      </c>
      <c r="P20" s="220">
        <f t="shared" si="5"/>
        <v>675</v>
      </c>
      <c r="Q20" s="218">
        <f t="shared" si="5"/>
        <v>525</v>
      </c>
      <c r="R20" s="218">
        <f t="shared" si="5"/>
        <v>475</v>
      </c>
      <c r="S20" s="221">
        <f t="shared" si="5"/>
        <v>1875</v>
      </c>
      <c r="T20" s="264"/>
      <c r="U20" s="264"/>
      <c r="V20" s="264"/>
      <c r="W20" s="264"/>
      <c r="X20" s="264"/>
      <c r="Y20" s="264"/>
      <c r="Z20" s="264"/>
      <c r="AA20" s="264"/>
      <c r="AB20" s="264"/>
      <c r="AC20" s="264"/>
      <c r="AD20" s="264"/>
      <c r="AE20" s="264"/>
      <c r="AF20" s="264"/>
      <c r="AG20" s="264"/>
      <c r="AH20" s="264"/>
    </row>
    <row r="21" spans="1:34" ht="15.75" thickBot="1" x14ac:dyDescent="0.3">
      <c r="K21" s="264"/>
      <c r="L21" s="264"/>
      <c r="M21" s="264"/>
      <c r="N21" s="264"/>
      <c r="O21" s="264"/>
      <c r="P21" s="264"/>
      <c r="Q21" s="264"/>
      <c r="R21" s="264"/>
      <c r="S21" s="264"/>
      <c r="T21" s="264"/>
      <c r="U21" s="264"/>
      <c r="V21" s="264"/>
      <c r="W21" s="264"/>
      <c r="X21" s="264"/>
      <c r="Y21" s="264"/>
      <c r="Z21" s="264"/>
      <c r="AA21" s="264"/>
      <c r="AB21" s="264"/>
      <c r="AC21" s="264"/>
      <c r="AD21" s="264"/>
      <c r="AE21" s="264"/>
      <c r="AF21" s="264"/>
      <c r="AG21" s="264"/>
      <c r="AH21" s="264"/>
    </row>
    <row r="22" spans="1:34" ht="15.75" thickBot="1" x14ac:dyDescent="0.3">
      <c r="A22" s="272" t="s">
        <v>137</v>
      </c>
      <c r="B22" s="273"/>
      <c r="C22" s="273"/>
      <c r="D22" s="273"/>
      <c r="E22" s="273"/>
      <c r="F22" s="273"/>
      <c r="G22" s="273"/>
      <c r="H22" s="273"/>
      <c r="I22" s="279"/>
      <c r="K22" s="264"/>
      <c r="L22" s="264"/>
      <c r="M22" s="264"/>
      <c r="N22" s="264"/>
      <c r="O22" s="264"/>
      <c r="P22" s="264"/>
      <c r="Q22" s="264"/>
      <c r="R22" s="264"/>
      <c r="S22" s="264"/>
      <c r="T22" s="264"/>
      <c r="U22" s="264"/>
      <c r="V22" s="264"/>
      <c r="W22" s="264"/>
      <c r="X22" s="264"/>
      <c r="Y22" s="264"/>
      <c r="Z22" s="264"/>
      <c r="AA22" s="264"/>
      <c r="AB22" s="264"/>
      <c r="AC22" s="264"/>
      <c r="AD22" s="264"/>
      <c r="AE22" s="264"/>
      <c r="AF22" s="264"/>
      <c r="AG22" s="264"/>
      <c r="AH22" s="264"/>
    </row>
    <row r="23" spans="1:34" ht="15.75" thickBot="1" x14ac:dyDescent="0.3">
      <c r="A23" s="73" t="s">
        <v>135</v>
      </c>
      <c r="B23" s="71" t="s">
        <v>61</v>
      </c>
      <c r="C23" s="72" t="s">
        <v>99</v>
      </c>
      <c r="D23" s="71" t="s">
        <v>64</v>
      </c>
      <c r="E23" s="71" t="s">
        <v>133</v>
      </c>
      <c r="F23" s="71" t="s">
        <v>72</v>
      </c>
      <c r="G23" s="71" t="s">
        <v>132</v>
      </c>
      <c r="H23" s="197" t="s">
        <v>124</v>
      </c>
      <c r="I23" s="70" t="s">
        <v>134</v>
      </c>
      <c r="K23" s="264"/>
      <c r="L23" s="264"/>
      <c r="M23" s="264"/>
      <c r="N23" s="264"/>
      <c r="O23" s="264"/>
      <c r="P23" s="264"/>
      <c r="Q23" s="264"/>
      <c r="R23" s="264"/>
      <c r="S23" s="264"/>
      <c r="T23" s="264"/>
      <c r="U23" s="264"/>
      <c r="V23" s="264"/>
      <c r="W23" s="264"/>
      <c r="X23" s="264"/>
      <c r="Y23" s="264"/>
      <c r="Z23" s="264"/>
      <c r="AA23" s="264"/>
      <c r="AB23" s="264"/>
      <c r="AC23" s="264"/>
      <c r="AD23" s="264"/>
      <c r="AE23" s="264"/>
      <c r="AF23" s="264"/>
      <c r="AG23" s="264"/>
      <c r="AH23" s="264"/>
    </row>
    <row r="24" spans="1:34" x14ac:dyDescent="0.25">
      <c r="A24" s="69">
        <v>43114</v>
      </c>
      <c r="B24" s="222" t="e">
        <f t="shared" ref="B24:B40" si="6">SUM($C24:$H24)</f>
        <v>#VALUE!</v>
      </c>
      <c r="C24" s="223" t="e">
        <f>SUMIFS('[1]Burn Report'!B$3:B$61,'[1]Burn Report'!$A$3:$A$61,"&gt;="&amp;$A24,'[1]Burn Report'!$A$3:$A$61,"&lt;="&amp;$A25)</f>
        <v>#VALUE!</v>
      </c>
      <c r="D24" s="223" t="e">
        <f>SUMIFS('Burn Report'!O$3:O$61,'[1]Burn Report'!$A$3:$A$61,"&gt;="&amp;$A24,'[1]Burn Report'!$A$3:$A$61,"&lt;="&amp;$A25)</f>
        <v>#VALUE!</v>
      </c>
      <c r="E24" s="223" t="e">
        <f>SUMIFS('Burn Report'!P$3:P$61,'[1]Burn Report'!$A$3:$A$61,"&gt;="&amp;$A24,'[1]Burn Report'!$A$3:$A$61,"&lt;="&amp;$A25)</f>
        <v>#VALUE!</v>
      </c>
      <c r="F24" s="223" t="e">
        <f>SUMIFS('Burn Report'!Q$3:Q$61,'[1]Burn Report'!$A$3:$A$61,"&gt;="&amp;$A24,'[1]Burn Report'!$A$3:$A$61,"&lt;="&amp;$A25)</f>
        <v>#VALUE!</v>
      </c>
      <c r="G24" s="223" t="e">
        <f>SUMIFS('Burn Report'!R$3:R$61,'[1]Burn Report'!$A$3:$A$61,"&gt;="&amp;$A24,'[1]Burn Report'!$A$3:$A$61,"&lt;="&amp;$A25)</f>
        <v>#VALUE!</v>
      </c>
      <c r="H24" s="223" t="e">
        <f>SUMIFS('Burn Report'!S$3:S$61,'[1]Burn Report'!$A$3:$A$61,"&gt;="&amp;$A24,'[1]Burn Report'!$A$3:$A$61,"&lt;="&amp;$A25)</f>
        <v>#VALUE!</v>
      </c>
      <c r="I24" s="198">
        <v>1</v>
      </c>
      <c r="K24" s="264"/>
      <c r="L24" s="85" t="s">
        <v>236</v>
      </c>
      <c r="M24" s="233" t="s">
        <v>61</v>
      </c>
      <c r="N24" s="83" t="s">
        <v>99</v>
      </c>
      <c r="O24" s="83" t="s">
        <v>64</v>
      </c>
      <c r="P24" s="83" t="s">
        <v>133</v>
      </c>
      <c r="Q24" s="83" t="s">
        <v>72</v>
      </c>
      <c r="R24" s="83" t="s">
        <v>132</v>
      </c>
      <c r="S24" s="82" t="s">
        <v>124</v>
      </c>
      <c r="T24" s="264"/>
      <c r="U24" s="264"/>
      <c r="V24" s="264"/>
      <c r="W24" s="264"/>
      <c r="X24" s="264"/>
      <c r="Y24" s="264"/>
      <c r="Z24" s="264"/>
      <c r="AA24" s="264"/>
      <c r="AB24" s="264"/>
      <c r="AC24" s="264"/>
      <c r="AD24" s="264"/>
      <c r="AE24" s="264"/>
      <c r="AF24" s="264"/>
      <c r="AG24" s="264"/>
      <c r="AH24" s="264"/>
    </row>
    <row r="25" spans="1:34" x14ac:dyDescent="0.25">
      <c r="A25" s="69">
        <v>43121</v>
      </c>
      <c r="B25" s="222" t="e">
        <f t="shared" si="6"/>
        <v>#VALUE!</v>
      </c>
      <c r="C25" s="223" t="e">
        <f>SUMIFS('Burn Report'!N$3:N$61,'[1]Burn Report'!$A$3:$A$61,"&gt;="&amp;($A25+DAY(1)),'[1]Burn Report'!$A$3:$A$61,"&lt;="&amp;$A26)</f>
        <v>#VALUE!</v>
      </c>
      <c r="D25" s="223" t="e">
        <f>SUMIFS('Burn Report'!O$3:O$61,'[1]Burn Report'!$A$3:$A$61,"&gt;="&amp;($A25+DAY(1)),'[1]Burn Report'!$A$3:$A$61,"&lt;="&amp;$A26)</f>
        <v>#VALUE!</v>
      </c>
      <c r="E25" s="223" t="e">
        <f>SUMIFS('Burn Report'!P$3:P$61,'[1]Burn Report'!$A$3:$A$61,"&gt;="&amp;($A25+DAY(1)),'[1]Burn Report'!$A$3:$A$61,"&lt;="&amp;$A26)</f>
        <v>#VALUE!</v>
      </c>
      <c r="F25" s="223" t="e">
        <f>SUMIFS('Burn Report'!Q$3:Q$61,'[1]Burn Report'!$A$3:$A$61,"&gt;="&amp;($A25+DAY(1)),'[1]Burn Report'!$A$3:$A$61,"&lt;="&amp;$A26)</f>
        <v>#VALUE!</v>
      </c>
      <c r="G25" s="223" t="e">
        <f>SUMIFS('Burn Report'!R$3:R$61,'[1]Burn Report'!$A$3:$A$61,"&gt;="&amp;($A25+DAY(1)),'[1]Burn Report'!$A$3:$A$61,"&lt;="&amp;$A26)</f>
        <v>#VALUE!</v>
      </c>
      <c r="H25" s="223" t="e">
        <f>SUMIFS('Burn Report'!S$3:S$61,'[1]Burn Report'!$A$3:$A$61,"&gt;="&amp;($A25+DAY(1)),'[1]Burn Report'!$A$3:$A$61,"&lt;="&amp;$A26)</f>
        <v>#VALUE!</v>
      </c>
      <c r="I25" s="199">
        <v>2</v>
      </c>
      <c r="K25" s="264"/>
      <c r="L25" s="81" t="s">
        <v>143</v>
      </c>
      <c r="M25" s="244">
        <f>SUM(N25:S25)</f>
        <v>51.25</v>
      </c>
      <c r="N25" s="208">
        <f>'[1]Burn Report'!AD$6</f>
        <v>12.75</v>
      </c>
      <c r="O25" s="208">
        <f>'[1]Burn Report'!AE$6</f>
        <v>14.5</v>
      </c>
      <c r="P25" s="208">
        <f>'[1]Burn Report'!AF$6</f>
        <v>2.5</v>
      </c>
      <c r="Q25" s="208">
        <f>'[1]Burn Report'!AG$6</f>
        <v>7.5</v>
      </c>
      <c r="R25" s="208">
        <f>'[1]Burn Report'!AH$6</f>
        <v>5.5</v>
      </c>
      <c r="S25" s="215">
        <f>'[1]Burn Report'!AI$6</f>
        <v>8.5</v>
      </c>
      <c r="T25" s="264"/>
      <c r="U25" s="264"/>
      <c r="V25" s="264"/>
      <c r="W25" s="264"/>
      <c r="X25" s="264"/>
      <c r="Y25" s="264"/>
      <c r="Z25" s="264"/>
      <c r="AA25" s="264"/>
      <c r="AB25" s="264"/>
      <c r="AC25" s="264"/>
      <c r="AD25" s="264"/>
      <c r="AE25" s="264"/>
      <c r="AF25" s="264"/>
      <c r="AG25" s="264"/>
      <c r="AH25" s="264"/>
    </row>
    <row r="26" spans="1:34" x14ac:dyDescent="0.25">
      <c r="A26" s="69">
        <v>43128</v>
      </c>
      <c r="B26" s="222" t="e">
        <f t="shared" si="6"/>
        <v>#VALUE!</v>
      </c>
      <c r="C26" s="223" t="e">
        <f>SUMIFS('Burn Report'!N$3:N$61,'[1]Burn Report'!$A$3:$A$61,"&gt;="&amp;($A26+DAY(1)),'[1]Burn Report'!$A$3:$A$61,"&lt;="&amp;$A27)</f>
        <v>#VALUE!</v>
      </c>
      <c r="D26" s="223" t="e">
        <f>SUMIFS('Burn Report'!O$3:O$61,'[1]Burn Report'!$A$3:$A$61,"&gt;="&amp;($A26+DAY(1)),'[1]Burn Report'!$A$3:$A$61,"&lt;="&amp;$A27)</f>
        <v>#VALUE!</v>
      </c>
      <c r="E26" s="223" t="e">
        <f>SUMIFS('Burn Report'!P$3:P$61,'[1]Burn Report'!$A$3:$A$61,"&gt;="&amp;($A26+DAY(1)),'[1]Burn Report'!$A$3:$A$61,"&lt;="&amp;$A27)</f>
        <v>#VALUE!</v>
      </c>
      <c r="F26" s="223" t="e">
        <f>SUMIFS('Burn Report'!Q$3:Q$61,'[1]Burn Report'!$A$3:$A$61,"&gt;="&amp;($A26+DAY(1)),'[1]Burn Report'!$A$3:$A$61,"&lt;="&amp;$A27)</f>
        <v>#VALUE!</v>
      </c>
      <c r="G26" s="223" t="e">
        <f>SUMIFS('Burn Report'!R$3:R$61,'[1]Burn Report'!$A$3:$A$61,"&gt;="&amp;($A26+DAY(1)),'[1]Burn Report'!$A$3:$A$61,"&lt;="&amp;$A27)</f>
        <v>#VALUE!</v>
      </c>
      <c r="H26" s="223" t="e">
        <f>SUMIFS('Burn Report'!S$3:S$61,'[1]Burn Report'!$A$3:$A$61,"&gt;="&amp;($A26+DAY(1)),'[1]Burn Report'!$A$3:$A$61,"&lt;="&amp;$A27)</f>
        <v>#VALUE!</v>
      </c>
      <c r="I26" s="199">
        <v>3</v>
      </c>
      <c r="K26" s="264"/>
      <c r="L26" s="241" t="s">
        <v>142</v>
      </c>
      <c r="M26" s="238">
        <f t="shared" ref="M26:M28" si="7">SUM(N26:S26)</f>
        <v>5125</v>
      </c>
      <c r="N26" s="239">
        <f>'[1]Burn Report'!AD$3</f>
        <v>1275</v>
      </c>
      <c r="O26" s="239">
        <f>'[1]Burn Report'!AE$3</f>
        <v>1450</v>
      </c>
      <c r="P26" s="239">
        <f>'[1]Burn Report'!AF$3</f>
        <v>250</v>
      </c>
      <c r="Q26" s="239">
        <f>'[1]Burn Report'!AG$3</f>
        <v>750</v>
      </c>
      <c r="R26" s="239">
        <f>'[1]Burn Report'!AH$3</f>
        <v>550</v>
      </c>
      <c r="S26" s="240">
        <f>'[1]Burn Report'!AI$3</f>
        <v>850</v>
      </c>
      <c r="T26" s="264"/>
      <c r="U26" s="264"/>
      <c r="V26" s="264"/>
      <c r="W26" s="264"/>
      <c r="X26" s="264"/>
      <c r="Y26" s="264"/>
      <c r="Z26" s="264"/>
      <c r="AA26" s="264"/>
      <c r="AB26" s="264"/>
      <c r="AC26" s="264"/>
      <c r="AD26" s="264"/>
      <c r="AE26" s="264"/>
      <c r="AF26" s="264"/>
      <c r="AG26" s="264"/>
      <c r="AH26" s="264"/>
    </row>
    <row r="27" spans="1:34" x14ac:dyDescent="0.25">
      <c r="A27" s="69">
        <v>43135</v>
      </c>
      <c r="B27" s="222" t="e">
        <f t="shared" si="6"/>
        <v>#VALUE!</v>
      </c>
      <c r="C27" s="223" t="e">
        <f>SUMIFS('Burn Report'!N$3:N$61,'[1]Burn Report'!$A$3:$A$61,"&gt;="&amp;($A27+DAY(1)),'[1]Burn Report'!$A$3:$A$61,"&lt;="&amp;$A28)</f>
        <v>#VALUE!</v>
      </c>
      <c r="D27" s="223" t="e">
        <f>SUMIFS('Burn Report'!O$3:O$61,'[1]Burn Report'!$A$3:$A$61,"&gt;="&amp;($A27+DAY(1)),'[1]Burn Report'!$A$3:$A$61,"&lt;="&amp;$A28)</f>
        <v>#VALUE!</v>
      </c>
      <c r="E27" s="223" t="e">
        <f>SUMIFS('Burn Report'!P$3:P$61,'[1]Burn Report'!$A$3:$A$61,"&gt;="&amp;($A27+DAY(1)),'[1]Burn Report'!$A$3:$A$61,"&lt;="&amp;$A28)</f>
        <v>#VALUE!</v>
      </c>
      <c r="F27" s="223" t="e">
        <f>SUMIFS('Burn Report'!Q$3:Q$61,'[1]Burn Report'!$A$3:$A$61,"&gt;="&amp;($A27+DAY(1)),'[1]Burn Report'!$A$3:$A$61,"&lt;="&amp;$A28)</f>
        <v>#VALUE!</v>
      </c>
      <c r="G27" s="223" t="e">
        <f>SUMIFS('Burn Report'!R$3:R$61,'[1]Burn Report'!$A$3:$A$61,"&gt;="&amp;($A27+DAY(1)),'[1]Burn Report'!$A$3:$A$61,"&lt;="&amp;$A28)</f>
        <v>#VALUE!</v>
      </c>
      <c r="H27" s="223" t="e">
        <f>SUMIFS('Burn Report'!S$3:S$61,'[1]Burn Report'!$A$3:$A$61,"&gt;="&amp;($A27+DAY(1)),'[1]Burn Report'!$A$3:$A$61,"&lt;="&amp;$A28)</f>
        <v>#VALUE!</v>
      </c>
      <c r="I27" s="199">
        <v>4</v>
      </c>
      <c r="K27" s="264"/>
      <c r="L27" s="81" t="s">
        <v>141</v>
      </c>
      <c r="M27" s="232">
        <f t="shared" si="7"/>
        <v>66.75</v>
      </c>
      <c r="N27" s="209">
        <f>'[3]Weekly Meeting Costs'!AG6</f>
        <v>10.75</v>
      </c>
      <c r="O27" s="209">
        <f>'[3]Weekly Meeting Costs'!AH6</f>
        <v>9</v>
      </c>
      <c r="P27" s="209">
        <f>'[3]Weekly Meeting Costs'!AI6</f>
        <v>11.75</v>
      </c>
      <c r="Q27" s="209">
        <f>'[3]Weekly Meeting Costs'!AJ6</f>
        <v>11.75</v>
      </c>
      <c r="R27" s="209">
        <f>'[3]Weekly Meeting Costs'!AK6</f>
        <v>11.75</v>
      </c>
      <c r="S27" s="210">
        <f>'[3]Weekly Meeting Costs'!AL6</f>
        <v>11.75</v>
      </c>
      <c r="T27" s="264"/>
      <c r="U27" s="264"/>
      <c r="V27" s="264"/>
      <c r="W27" s="264"/>
      <c r="X27" s="264"/>
      <c r="Y27" s="264"/>
      <c r="Z27" s="264"/>
      <c r="AA27" s="264"/>
      <c r="AB27" s="264"/>
      <c r="AC27" s="264"/>
      <c r="AD27" s="264"/>
      <c r="AE27" s="264"/>
      <c r="AF27" s="264"/>
      <c r="AG27" s="264"/>
      <c r="AH27" s="264"/>
    </row>
    <row r="28" spans="1:34" x14ac:dyDescent="0.25">
      <c r="A28" s="69">
        <v>43142</v>
      </c>
      <c r="B28" s="222" t="e">
        <f t="shared" si="6"/>
        <v>#VALUE!</v>
      </c>
      <c r="C28" s="223" t="e">
        <f>SUMIFS('Burn Report'!N$3:N$61,'[1]Burn Report'!$A$3:$A$61,"&gt;="&amp;($A28+DAY(1)),'[1]Burn Report'!$A$3:$A$61,"&lt;="&amp;$A29)</f>
        <v>#VALUE!</v>
      </c>
      <c r="D28" s="223" t="e">
        <f>SUMIFS('Burn Report'!O$3:O$61,'[1]Burn Report'!$A$3:$A$61,"&gt;="&amp;($A28+DAY(1)),'[1]Burn Report'!$A$3:$A$61,"&lt;="&amp;$A29)</f>
        <v>#VALUE!</v>
      </c>
      <c r="E28" s="223" t="e">
        <f>SUMIFS('Burn Report'!P$3:P$61,'[1]Burn Report'!$A$3:$A$61,"&gt;="&amp;($A28+DAY(1)),'[1]Burn Report'!$A$3:$A$61,"&lt;="&amp;$A29)</f>
        <v>#VALUE!</v>
      </c>
      <c r="F28" s="223" t="e">
        <f>SUMIFS('Burn Report'!Q$3:Q$61,'[1]Burn Report'!$A$3:$A$61,"&gt;="&amp;($A28+DAY(1)),'[1]Burn Report'!$A$3:$A$61,"&lt;="&amp;$A29)</f>
        <v>#VALUE!</v>
      </c>
      <c r="G28" s="223" t="e">
        <f>SUMIFS('Burn Report'!R$3:R$61,'[1]Burn Report'!$A$3:$A$61,"&gt;="&amp;($A28+DAY(1)),'[1]Burn Report'!$A$3:$A$61,"&lt;="&amp;$A29)</f>
        <v>#VALUE!</v>
      </c>
      <c r="H28" s="223" t="e">
        <f>SUMIFS('Burn Report'!S$3:S$61,'[1]Burn Report'!$A$3:$A$61,"&gt;="&amp;($A28+DAY(1)),'[1]Burn Report'!$A$3:$A$61,"&lt;="&amp;$A29)</f>
        <v>#VALUE!</v>
      </c>
      <c r="I28" s="199">
        <v>5</v>
      </c>
      <c r="K28" s="264"/>
      <c r="L28" s="80" t="s">
        <v>140</v>
      </c>
      <c r="M28" s="231">
        <f t="shared" si="7"/>
        <v>6675</v>
      </c>
      <c r="N28" s="216">
        <f>'[3]Weekly Meeting Costs'!AG3</f>
        <v>1075</v>
      </c>
      <c r="O28" s="216">
        <f>'[3]Weekly Meeting Costs'!AH3</f>
        <v>900</v>
      </c>
      <c r="P28" s="216">
        <f>'[3]Weekly Meeting Costs'!AI3</f>
        <v>1175</v>
      </c>
      <c r="Q28" s="216">
        <f>'[3]Weekly Meeting Costs'!AJ3</f>
        <v>1175</v>
      </c>
      <c r="R28" s="216">
        <f>'[3]Weekly Meeting Costs'!AK3</f>
        <v>1175</v>
      </c>
      <c r="S28" s="217">
        <f>'[3]Weekly Meeting Costs'!AL3</f>
        <v>1175</v>
      </c>
      <c r="T28" s="264"/>
      <c r="U28" s="264"/>
      <c r="V28" s="264"/>
      <c r="W28" s="264"/>
      <c r="X28" s="264"/>
      <c r="Y28" s="264"/>
      <c r="Z28" s="264"/>
      <c r="AA28" s="264"/>
      <c r="AB28" s="264"/>
      <c r="AC28" s="264"/>
      <c r="AD28" s="264"/>
      <c r="AE28" s="264"/>
      <c r="AF28" s="264"/>
      <c r="AG28" s="264"/>
      <c r="AH28" s="264"/>
    </row>
    <row r="29" spans="1:34" ht="15.75" thickBot="1" x14ac:dyDescent="0.3">
      <c r="A29" s="69">
        <v>43149</v>
      </c>
      <c r="B29" s="222" t="e">
        <f t="shared" si="6"/>
        <v>#VALUE!</v>
      </c>
      <c r="C29" s="223" t="e">
        <f>SUMIFS('Burn Report'!N$3:N$61,'[1]Burn Report'!$A$3:$A$61,"&gt;="&amp;($A29+DAY(1)),'[1]Burn Report'!$A$3:$A$61,"&lt;="&amp;$A30)</f>
        <v>#VALUE!</v>
      </c>
      <c r="D29" s="223" t="e">
        <f>SUMIFS('Burn Report'!O$3:O$61,'[1]Burn Report'!$A$3:$A$61,"&gt;="&amp;($A29+DAY(1)),'[1]Burn Report'!$A$3:$A$61,"&lt;="&amp;$A30)</f>
        <v>#VALUE!</v>
      </c>
      <c r="E29" s="223" t="e">
        <f>SUMIFS('Burn Report'!P$3:P$61,'[1]Burn Report'!$A$3:$A$61,"&gt;="&amp;($A29+DAY(1)),'[1]Burn Report'!$A$3:$A$61,"&lt;="&amp;$A30)</f>
        <v>#VALUE!</v>
      </c>
      <c r="F29" s="223" t="e">
        <f>SUMIFS('Burn Report'!Q$3:Q$61,'[1]Burn Report'!$A$3:$A$61,"&gt;="&amp;($A29+DAY(1)),'[1]Burn Report'!$A$3:$A$61,"&lt;="&amp;$A30)</f>
        <v>#VALUE!</v>
      </c>
      <c r="G29" s="223" t="e">
        <f>SUMIFS('Burn Report'!R$3:R$61,'[1]Burn Report'!$A$3:$A$61,"&gt;="&amp;($A29+DAY(1)),'[1]Burn Report'!$A$3:$A$61,"&lt;="&amp;$A30)</f>
        <v>#VALUE!</v>
      </c>
      <c r="H29" s="223" t="e">
        <f>SUMIFS('Burn Report'!S$3:S$61,'[1]Burn Report'!$A$3:$A$61,"&gt;="&amp;($A29+DAY(1)),'[1]Burn Report'!$A$3:$A$61,"&lt;="&amp;$A30)</f>
        <v>#VALUE!</v>
      </c>
      <c r="I29" s="199">
        <v>6</v>
      </c>
      <c r="K29" s="264"/>
      <c r="L29" s="79"/>
      <c r="M29" s="230"/>
      <c r="N29" s="78"/>
      <c r="O29" s="78"/>
      <c r="P29" s="78"/>
      <c r="Q29" s="78"/>
      <c r="R29" s="78"/>
      <c r="S29" s="77"/>
      <c r="T29" s="264"/>
      <c r="U29" s="264"/>
      <c r="V29" s="264"/>
      <c r="W29" s="264"/>
      <c r="X29" s="264"/>
      <c r="Y29" s="264"/>
      <c r="Z29" s="264"/>
      <c r="AA29" s="264"/>
      <c r="AB29" s="264"/>
      <c r="AC29" s="264"/>
      <c r="AD29" s="264"/>
      <c r="AE29" s="264"/>
      <c r="AF29" s="264"/>
      <c r="AG29" s="264"/>
      <c r="AH29" s="264"/>
    </row>
    <row r="30" spans="1:34" x14ac:dyDescent="0.25">
      <c r="A30" s="69">
        <v>43156</v>
      </c>
      <c r="B30" s="222" t="e">
        <f t="shared" si="6"/>
        <v>#VALUE!</v>
      </c>
      <c r="C30" s="223" t="e">
        <f>SUMIFS('Burn Report'!N$3:N$61,'[1]Burn Report'!$A$3:$A$61,"&gt;="&amp;($A30+DAY(1)),'[1]Burn Report'!$A$3:$A$61,"&lt;="&amp;$A31)</f>
        <v>#VALUE!</v>
      </c>
      <c r="D30" s="223" t="e">
        <f>SUMIFS('Burn Report'!O$3:O$61,'[1]Burn Report'!$A$3:$A$61,"&gt;="&amp;($A30+DAY(1)),'[1]Burn Report'!$A$3:$A$61,"&lt;="&amp;$A31)</f>
        <v>#VALUE!</v>
      </c>
      <c r="E30" s="223" t="e">
        <f>SUMIFS('Burn Report'!P$3:P$61,'[1]Burn Report'!$A$3:$A$61,"&gt;="&amp;($A30+DAY(1)),'[1]Burn Report'!$A$3:$A$61,"&lt;="&amp;$A31)</f>
        <v>#VALUE!</v>
      </c>
      <c r="F30" s="223" t="e">
        <f>SUMIFS('Burn Report'!Q$3:Q$61,'[1]Burn Report'!$A$3:$A$61,"&gt;="&amp;($A30+DAY(1)),'[1]Burn Report'!$A$3:$A$61,"&lt;="&amp;$A31)</f>
        <v>#VALUE!</v>
      </c>
      <c r="G30" s="223" t="e">
        <f>SUMIFS('Burn Report'!R$3:R$61,'[1]Burn Report'!$A$3:$A$61,"&gt;="&amp;($A30+DAY(1)),'[1]Burn Report'!$A$3:$A$61,"&lt;="&amp;$A31)</f>
        <v>#VALUE!</v>
      </c>
      <c r="H30" s="223" t="e">
        <f>SUMIFS('Burn Report'!S$3:S$61,'[1]Burn Report'!$A$3:$A$61,"&gt;="&amp;($A30+DAY(1)),'[1]Burn Report'!$A$3:$A$61,"&lt;="&amp;$A31)</f>
        <v>#VALUE!</v>
      </c>
      <c r="I30" s="199">
        <v>7</v>
      </c>
      <c r="K30" s="264"/>
      <c r="L30" s="76" t="s">
        <v>139</v>
      </c>
      <c r="M30" s="280">
        <f>M25+M27</f>
        <v>118</v>
      </c>
      <c r="N30" s="211">
        <f t="shared" ref="N30:R30" si="8">N25+N27</f>
        <v>23.5</v>
      </c>
      <c r="O30" s="212">
        <f t="shared" si="8"/>
        <v>23.5</v>
      </c>
      <c r="P30" s="213">
        <f t="shared" si="8"/>
        <v>14.25</v>
      </c>
      <c r="Q30" s="213">
        <f t="shared" si="8"/>
        <v>19.25</v>
      </c>
      <c r="R30" s="213">
        <f t="shared" si="8"/>
        <v>17.25</v>
      </c>
      <c r="S30" s="245">
        <f>S25+S27</f>
        <v>20.25</v>
      </c>
      <c r="T30" s="264"/>
      <c r="U30" s="264"/>
      <c r="V30" s="264"/>
      <c r="W30" s="264"/>
      <c r="X30" s="264"/>
      <c r="Y30" s="264"/>
      <c r="Z30" s="264"/>
      <c r="AA30" s="264"/>
      <c r="AB30" s="264"/>
      <c r="AC30" s="264"/>
      <c r="AD30" s="264"/>
      <c r="AE30" s="264"/>
      <c r="AF30" s="264"/>
      <c r="AG30" s="264"/>
      <c r="AH30" s="264"/>
    </row>
    <row r="31" spans="1:34" ht="15.75" thickBot="1" x14ac:dyDescent="0.3">
      <c r="A31" s="69">
        <v>43163</v>
      </c>
      <c r="B31" s="222" t="e">
        <f t="shared" si="6"/>
        <v>#VALUE!</v>
      </c>
      <c r="C31" s="223" t="e">
        <f>SUMIFS('Burn Report'!N$3:N$61,'[1]Burn Report'!$A$3:$A$61,"&gt;="&amp;($A31+DAY(1)),'[1]Burn Report'!$A$3:$A$61,"&lt;="&amp;$A32)</f>
        <v>#VALUE!</v>
      </c>
      <c r="D31" s="223" t="e">
        <f>SUMIFS('Burn Report'!O$3:O$61,'[1]Burn Report'!$A$3:$A$61,"&gt;="&amp;($A31+DAY(1)),'[1]Burn Report'!$A$3:$A$61,"&lt;="&amp;$A32)</f>
        <v>#VALUE!</v>
      </c>
      <c r="E31" s="223" t="e">
        <f>SUMIFS('Burn Report'!P$3:P$61,'[1]Burn Report'!$A$3:$A$61,"&gt;="&amp;($A31+DAY(1)),'[1]Burn Report'!$A$3:$A$61,"&lt;="&amp;$A32)</f>
        <v>#VALUE!</v>
      </c>
      <c r="F31" s="223" t="e">
        <f>SUMIFS('Burn Report'!Q$3:Q$61,'[1]Burn Report'!$A$3:$A$61,"&gt;="&amp;($A31+DAY(1)),'[1]Burn Report'!$A$3:$A$61,"&lt;="&amp;$A32)</f>
        <v>#VALUE!</v>
      </c>
      <c r="G31" s="223" t="e">
        <f>SUMIFS('Burn Report'!R$3:R$61,'[1]Burn Report'!$A$3:$A$61,"&gt;="&amp;($A31+DAY(1)),'[1]Burn Report'!$A$3:$A$61,"&lt;="&amp;$A32)</f>
        <v>#VALUE!</v>
      </c>
      <c r="H31" s="223" t="e">
        <f>SUMIFS('Burn Report'!S$3:S$61,'[1]Burn Report'!$A$3:$A$61,"&gt;="&amp;($A31+DAY(1)),'[1]Burn Report'!$A$3:$A$61,"&lt;="&amp;$A32)</f>
        <v>#VALUE!</v>
      </c>
      <c r="I31" s="199">
        <v>8</v>
      </c>
      <c r="K31" s="264"/>
      <c r="L31" s="75" t="s">
        <v>138</v>
      </c>
      <c r="M31" s="246">
        <f t="shared" ref="M31:S31" si="9">M26+M28</f>
        <v>11800</v>
      </c>
      <c r="N31" s="218">
        <f t="shared" si="9"/>
        <v>2350</v>
      </c>
      <c r="O31" s="219">
        <f t="shared" si="9"/>
        <v>2350</v>
      </c>
      <c r="P31" s="220">
        <f t="shared" si="9"/>
        <v>1425</v>
      </c>
      <c r="Q31" s="218">
        <f t="shared" si="9"/>
        <v>1925</v>
      </c>
      <c r="R31" s="218">
        <f t="shared" si="9"/>
        <v>1725</v>
      </c>
      <c r="S31" s="221">
        <f t="shared" si="9"/>
        <v>2025</v>
      </c>
      <c r="T31" s="264"/>
      <c r="U31" s="264"/>
      <c r="V31" s="264"/>
      <c r="W31" s="264"/>
      <c r="X31" s="264"/>
      <c r="Y31" s="264"/>
      <c r="Z31" s="264"/>
      <c r="AA31" s="264"/>
      <c r="AB31" s="264"/>
      <c r="AC31" s="264"/>
      <c r="AD31" s="264"/>
      <c r="AE31" s="264"/>
      <c r="AF31" s="264"/>
      <c r="AG31" s="264"/>
      <c r="AH31" s="264"/>
    </row>
    <row r="32" spans="1:34" x14ac:dyDescent="0.25">
      <c r="A32" s="69">
        <v>43170</v>
      </c>
      <c r="B32" s="222" t="e">
        <f t="shared" si="6"/>
        <v>#VALUE!</v>
      </c>
      <c r="C32" s="223" t="e">
        <f>SUMIFS('Burn Report'!N$3:N$61,'[1]Burn Report'!$A$3:$A$61,"&gt;="&amp;($A32+DAY(1)),'[1]Burn Report'!$A$3:$A$61,"&lt;="&amp;$A33)</f>
        <v>#VALUE!</v>
      </c>
      <c r="D32" s="223" t="e">
        <f>SUMIFS('Burn Report'!O$3:O$61,'[1]Burn Report'!$A$3:$A$61,"&gt;="&amp;($A32+DAY(1)),'[1]Burn Report'!$A$3:$A$61,"&lt;="&amp;$A33)</f>
        <v>#VALUE!</v>
      </c>
      <c r="E32" s="223" t="e">
        <f>SUMIFS('Burn Report'!P$3:P$61,'[1]Burn Report'!$A$3:$A$61,"&gt;="&amp;($A32+DAY(1)),'[1]Burn Report'!$A$3:$A$61,"&lt;="&amp;$A33)</f>
        <v>#VALUE!</v>
      </c>
      <c r="F32" s="223" t="e">
        <f>SUMIFS('Burn Report'!Q$3:Q$61,'[1]Burn Report'!$A$3:$A$61,"&gt;="&amp;($A32+DAY(1)),'[1]Burn Report'!$A$3:$A$61,"&lt;="&amp;$A33)</f>
        <v>#VALUE!</v>
      </c>
      <c r="G32" s="223" t="e">
        <f>SUMIFS('Burn Report'!R$3:R$61,'[1]Burn Report'!$A$3:$A$61,"&gt;="&amp;($A32+DAY(1)),'[1]Burn Report'!$A$3:$A$61,"&lt;="&amp;$A33)</f>
        <v>#VALUE!</v>
      </c>
      <c r="H32" s="223" t="e">
        <f>SUMIFS('Burn Report'!S$3:S$61,'[1]Burn Report'!$A$3:$A$61,"&gt;="&amp;($A32+DAY(1)),'[1]Burn Report'!$A$3:$A$61,"&lt;="&amp;$A33)</f>
        <v>#VALUE!</v>
      </c>
      <c r="I32" s="199">
        <v>9</v>
      </c>
      <c r="K32" s="264"/>
      <c r="L32" s="264"/>
      <c r="M32" s="264"/>
      <c r="N32" s="264"/>
      <c r="O32" s="264"/>
      <c r="P32" s="264"/>
      <c r="Q32" s="264"/>
      <c r="R32" s="264"/>
      <c r="S32" s="264"/>
      <c r="T32" s="264"/>
      <c r="U32" s="264"/>
      <c r="V32" s="264"/>
      <c r="W32" s="264"/>
      <c r="X32" s="264"/>
      <c r="Y32" s="264"/>
      <c r="Z32" s="264"/>
      <c r="AA32" s="264"/>
      <c r="AB32" s="264"/>
      <c r="AC32" s="264"/>
      <c r="AD32" s="264"/>
      <c r="AE32" s="264"/>
      <c r="AF32" s="264"/>
      <c r="AG32" s="264"/>
      <c r="AH32" s="264"/>
    </row>
    <row r="33" spans="1:34" x14ac:dyDescent="0.25">
      <c r="A33" s="69">
        <v>43177</v>
      </c>
      <c r="B33" s="222" t="e">
        <f t="shared" si="6"/>
        <v>#VALUE!</v>
      </c>
      <c r="C33" s="223" t="e">
        <f>SUMIFS('Burn Report'!N$3:N$61,'[1]Burn Report'!$A$3:$A$61,"&gt;="&amp;($A33+DAY(1)),'[1]Burn Report'!$A$3:$A$61,"&lt;="&amp;$A34)</f>
        <v>#VALUE!</v>
      </c>
      <c r="D33" s="223" t="e">
        <f>SUMIFS('Burn Report'!O$3:O$61,'[1]Burn Report'!$A$3:$A$61,"&gt;="&amp;($A33+DAY(1)),'[1]Burn Report'!$A$3:$A$61,"&lt;="&amp;$A34)</f>
        <v>#VALUE!</v>
      </c>
      <c r="E33" s="223" t="e">
        <f>SUMIFS('Burn Report'!P$3:P$61,'[1]Burn Report'!$A$3:$A$61,"&gt;="&amp;($A33+DAY(1)),'[1]Burn Report'!$A$3:$A$61,"&lt;="&amp;$A34)</f>
        <v>#VALUE!</v>
      </c>
      <c r="F33" s="223" t="e">
        <f>SUMIFS('Burn Report'!Q$3:Q$61,'[1]Burn Report'!$A$3:$A$61,"&gt;="&amp;($A33+DAY(1)),'[1]Burn Report'!$A$3:$A$61,"&lt;="&amp;$A34)</f>
        <v>#VALUE!</v>
      </c>
      <c r="G33" s="223" t="e">
        <f>SUMIFS('Burn Report'!R$3:R$61,'[1]Burn Report'!$A$3:$A$61,"&gt;="&amp;($A33+DAY(1)),'[1]Burn Report'!$A$3:$A$61,"&lt;="&amp;$A34)</f>
        <v>#VALUE!</v>
      </c>
      <c r="H33" s="223" t="e">
        <f>SUMIFS('Burn Report'!S$3:S$61,'[1]Burn Report'!$A$3:$A$61,"&gt;="&amp;($A33+DAY(1)),'[1]Burn Report'!$A$3:$A$61,"&lt;="&amp;$A34)</f>
        <v>#VALUE!</v>
      </c>
      <c r="I33" s="199">
        <v>10</v>
      </c>
      <c r="K33" s="264"/>
      <c r="L33" s="264"/>
      <c r="M33" s="264" t="s">
        <v>239</v>
      </c>
      <c r="N33" s="264" t="s">
        <v>180</v>
      </c>
      <c r="O33" s="264" t="s">
        <v>238</v>
      </c>
      <c r="P33" s="264"/>
      <c r="Q33" s="264"/>
      <c r="R33" s="264"/>
      <c r="S33" s="264"/>
      <c r="T33" s="264"/>
      <c r="U33" s="264"/>
      <c r="V33" s="264"/>
      <c r="W33" s="264"/>
      <c r="X33" s="264"/>
      <c r="Y33" s="264"/>
      <c r="Z33" s="264"/>
      <c r="AA33" s="264"/>
      <c r="AB33" s="264"/>
      <c r="AC33" s="264"/>
      <c r="AD33" s="264"/>
      <c r="AE33" s="264"/>
      <c r="AF33" s="264"/>
      <c r="AG33" s="264"/>
      <c r="AH33" s="264"/>
    </row>
    <row r="34" spans="1:34" x14ac:dyDescent="0.25">
      <c r="A34" s="69">
        <v>43184</v>
      </c>
      <c r="B34" s="222" t="e">
        <f t="shared" si="6"/>
        <v>#VALUE!</v>
      </c>
      <c r="C34" s="223" t="e">
        <f>SUMIFS('Burn Report'!N$3:N$61,'[1]Burn Report'!$A$3:$A$61,"&gt;="&amp;($A34+DAY(1)),'[1]Burn Report'!$A$3:$A$61,"&lt;="&amp;$A35)</f>
        <v>#VALUE!</v>
      </c>
      <c r="D34" s="223" t="e">
        <f>SUMIFS('Burn Report'!O$3:O$61,'[1]Burn Report'!$A$3:$A$61,"&gt;="&amp;($A34+DAY(1)),'[1]Burn Report'!$A$3:$A$61,"&lt;="&amp;$A35)</f>
        <v>#VALUE!</v>
      </c>
      <c r="E34" s="223" t="e">
        <f>SUMIFS('Burn Report'!P$3:P$61,'[1]Burn Report'!$A$3:$A$61,"&gt;="&amp;($A34+DAY(1)),'[1]Burn Report'!$A$3:$A$61,"&lt;="&amp;$A35)</f>
        <v>#VALUE!</v>
      </c>
      <c r="F34" s="223" t="e">
        <f>SUMIFS('Burn Report'!Q$3:Q$61,'[1]Burn Report'!$A$3:$A$61,"&gt;="&amp;($A34+DAY(1)),'[1]Burn Report'!$A$3:$A$61,"&lt;="&amp;$A35)</f>
        <v>#VALUE!</v>
      </c>
      <c r="G34" s="223" t="e">
        <f>SUMIFS('Burn Report'!R$3:R$61,'[1]Burn Report'!$A$3:$A$61,"&gt;="&amp;($A34+DAY(1)),'[1]Burn Report'!$A$3:$A$61,"&lt;="&amp;$A35)</f>
        <v>#VALUE!</v>
      </c>
      <c r="H34" s="223" t="e">
        <f>SUMIFS('Burn Report'!S$3:S$61,'[1]Burn Report'!$A$3:$A$61,"&gt;="&amp;($A34+DAY(1)),'[1]Burn Report'!$A$3:$A$61,"&lt;="&amp;$A35)</f>
        <v>#VALUE!</v>
      </c>
      <c r="I34" s="199">
        <v>11</v>
      </c>
      <c r="K34" s="264"/>
      <c r="L34" s="264" t="s">
        <v>138</v>
      </c>
      <c r="M34" s="265">
        <f>SUM(N34,O34)</f>
        <v>4850</v>
      </c>
      <c r="N34" s="265">
        <f>M15</f>
        <v>3250</v>
      </c>
      <c r="O34" s="265">
        <f>M17</f>
        <v>1600</v>
      </c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4"/>
      <c r="AE34" s="264"/>
      <c r="AF34" s="264"/>
      <c r="AG34" s="264"/>
      <c r="AH34" s="264"/>
    </row>
    <row r="35" spans="1:34" x14ac:dyDescent="0.25">
      <c r="A35" s="69">
        <v>43191</v>
      </c>
      <c r="B35" s="222" t="e">
        <f t="shared" si="6"/>
        <v>#VALUE!</v>
      </c>
      <c r="C35" s="223" t="e">
        <f>SUMIFS('Burn Report'!N$3:N$61,'[1]Burn Report'!$A$3:$A$61,"&gt;="&amp;($A35+DAY(1)),'[1]Burn Report'!$A$3:$A$61,"&lt;="&amp;$A36)</f>
        <v>#VALUE!</v>
      </c>
      <c r="D35" s="223" t="e">
        <f>SUMIFS('Burn Report'!O$3:O$61,'[1]Burn Report'!$A$3:$A$61,"&gt;="&amp;($A35+DAY(1)),'[1]Burn Report'!$A$3:$A$61,"&lt;="&amp;$A36)</f>
        <v>#VALUE!</v>
      </c>
      <c r="E35" s="223" t="e">
        <f>SUMIFS('Burn Report'!P$3:P$61,'[1]Burn Report'!$A$3:$A$61,"&gt;="&amp;($A35+DAY(1)),'[1]Burn Report'!$A$3:$A$61,"&lt;="&amp;$A36)</f>
        <v>#VALUE!</v>
      </c>
      <c r="F35" s="223" t="e">
        <f>SUMIFS('Burn Report'!Q$3:Q$61,'[1]Burn Report'!$A$3:$A$61,"&gt;="&amp;($A35+DAY(1)),'[1]Burn Report'!$A$3:$A$61,"&lt;="&amp;$A36)</f>
        <v>#VALUE!</v>
      </c>
      <c r="G35" s="223" t="e">
        <f>SUMIFS('Burn Report'!R$3:R$61,'[1]Burn Report'!$A$3:$A$61,"&gt;="&amp;($A35+DAY(1)),'[1]Burn Report'!$A$3:$A$61,"&lt;="&amp;$A36)</f>
        <v>#VALUE!</v>
      </c>
      <c r="H35" s="223" t="e">
        <f>SUMIFS('Burn Report'!S$3:S$61,'[1]Burn Report'!$A$3:$A$61,"&gt;="&amp;($A35+DAY(1)),'[1]Burn Report'!$A$3:$A$61,"&lt;="&amp;$A36)</f>
        <v>#VALUE!</v>
      </c>
      <c r="I35" s="199">
        <v>12</v>
      </c>
      <c r="K35" s="264"/>
      <c r="L35" s="264" t="s">
        <v>240</v>
      </c>
      <c r="M35" s="265">
        <f>SUM(O35,N35)</f>
        <v>6500</v>
      </c>
      <c r="N35" s="265">
        <v>5000</v>
      </c>
      <c r="O35" s="265">
        <v>1500</v>
      </c>
      <c r="P35" s="264"/>
      <c r="Q35" s="264"/>
      <c r="R35" s="264"/>
      <c r="S35" s="264"/>
      <c r="T35" s="264"/>
      <c r="U35" s="264"/>
      <c r="V35" s="264"/>
      <c r="W35" s="264"/>
      <c r="X35" s="264"/>
      <c r="Y35" s="264"/>
      <c r="Z35" s="264"/>
      <c r="AA35" s="264"/>
      <c r="AB35" s="264"/>
      <c r="AC35" s="264"/>
      <c r="AD35" s="264"/>
      <c r="AE35" s="264"/>
      <c r="AF35" s="264"/>
      <c r="AG35" s="264"/>
      <c r="AH35" s="264"/>
    </row>
    <row r="36" spans="1:34" x14ac:dyDescent="0.25">
      <c r="A36" s="69">
        <v>43198</v>
      </c>
      <c r="B36" s="222" t="e">
        <f t="shared" si="6"/>
        <v>#VALUE!</v>
      </c>
      <c r="C36" s="223" t="e">
        <f>SUMIFS('Burn Report'!N$3:N$61,'[1]Burn Report'!$A$3:$A$61,"&gt;="&amp;($A36+DAY(1)),'[1]Burn Report'!$A$3:$A$61,"&lt;="&amp;$A37)</f>
        <v>#VALUE!</v>
      </c>
      <c r="D36" s="223" t="e">
        <f>SUMIFS('Burn Report'!O$3:O$61,'[1]Burn Report'!$A$3:$A$61,"&gt;="&amp;($A36+DAY(1)),'[1]Burn Report'!$A$3:$A$61,"&lt;="&amp;$A37)</f>
        <v>#VALUE!</v>
      </c>
      <c r="E36" s="223" t="e">
        <f>SUMIFS('Burn Report'!P$3:P$61,'[1]Burn Report'!$A$3:$A$61,"&gt;="&amp;($A36+DAY(1)),'[1]Burn Report'!$A$3:$A$61,"&lt;="&amp;$A37)</f>
        <v>#VALUE!</v>
      </c>
      <c r="F36" s="223" t="e">
        <f>SUMIFS('Burn Report'!Q$3:Q$61,'[1]Burn Report'!$A$3:$A$61,"&gt;="&amp;($A36+DAY(1)),'[1]Burn Report'!$A$3:$A$61,"&lt;="&amp;$A37)</f>
        <v>#VALUE!</v>
      </c>
      <c r="G36" s="223" t="e">
        <f>SUMIFS('Burn Report'!R$3:R$61,'[1]Burn Report'!$A$3:$A$61,"&gt;="&amp;($A36+DAY(1)),'[1]Burn Report'!$A$3:$A$61,"&lt;="&amp;$A37)</f>
        <v>#VALUE!</v>
      </c>
      <c r="H36" s="223" t="e">
        <f>SUMIFS('Burn Report'!S$3:S$61,'[1]Burn Report'!$A$3:$A$61,"&gt;="&amp;($A36+DAY(1)),'[1]Burn Report'!$A$3:$A$61,"&lt;="&amp;$A37)</f>
        <v>#VALUE!</v>
      </c>
      <c r="I36" s="199">
        <v>13</v>
      </c>
      <c r="K36" s="264"/>
      <c r="L36" s="264"/>
      <c r="N36" s="264"/>
      <c r="O36" s="264"/>
      <c r="P36" s="264"/>
      <c r="Q36" s="264"/>
      <c r="R36" s="264"/>
      <c r="S36" s="264"/>
      <c r="T36" s="264"/>
      <c r="U36" s="264"/>
      <c r="V36" s="264"/>
      <c r="W36" s="264"/>
      <c r="X36" s="264"/>
      <c r="Y36" s="264"/>
      <c r="Z36" s="264"/>
      <c r="AA36" s="264"/>
      <c r="AB36" s="264"/>
      <c r="AC36" s="264"/>
      <c r="AD36" s="264"/>
      <c r="AE36" s="264"/>
      <c r="AF36" s="264"/>
      <c r="AG36" s="264"/>
      <c r="AH36" s="264"/>
    </row>
    <row r="37" spans="1:34" x14ac:dyDescent="0.25">
      <c r="A37" s="69">
        <v>43205</v>
      </c>
      <c r="B37" s="222" t="e">
        <f t="shared" si="6"/>
        <v>#VALUE!</v>
      </c>
      <c r="C37" s="223" t="e">
        <f>SUMIFS('Burn Report'!N$3:N$61,'[1]Burn Report'!$A$3:$A$61,"&gt;="&amp;($A37+DAY(1)),'[1]Burn Report'!$A$3:$A$61,"&lt;="&amp;$A38)</f>
        <v>#VALUE!</v>
      </c>
      <c r="D37" s="223" t="e">
        <f>SUMIFS('Burn Report'!O$3:O$61,'[1]Burn Report'!$A$3:$A$61,"&gt;="&amp;($A37+DAY(1)),'[1]Burn Report'!$A$3:$A$61,"&lt;="&amp;$A38)</f>
        <v>#VALUE!</v>
      </c>
      <c r="E37" s="223" t="e">
        <f>SUMIFS('Burn Report'!P$3:P$61,'[1]Burn Report'!$A$3:$A$61,"&gt;="&amp;($A37+DAY(1)),'[1]Burn Report'!$A$3:$A$61,"&lt;="&amp;$A38)</f>
        <v>#VALUE!</v>
      </c>
      <c r="F37" s="223" t="e">
        <f>SUMIFS('Burn Report'!Q$3:Q$61,'[1]Burn Report'!$A$3:$A$61,"&gt;="&amp;($A37+DAY(1)),'[1]Burn Report'!$A$3:$A$61,"&lt;="&amp;$A38)</f>
        <v>#VALUE!</v>
      </c>
      <c r="G37" s="223" t="e">
        <f>SUMIFS('Burn Report'!R$3:R$61,'[1]Burn Report'!$A$3:$A$61,"&gt;="&amp;($A37+DAY(1)),'[1]Burn Report'!$A$3:$A$61,"&lt;="&amp;$A38)</f>
        <v>#VALUE!</v>
      </c>
      <c r="H37" s="223" t="e">
        <f>SUMIFS('Burn Report'!S$3:S$61,'[1]Burn Report'!$A$3:$A$61,"&gt;="&amp;($A37+DAY(1)),'[1]Burn Report'!$A$3:$A$61,"&lt;="&amp;$A38)</f>
        <v>#VALUE!</v>
      </c>
      <c r="I37" s="199">
        <v>14</v>
      </c>
      <c r="K37" s="264"/>
      <c r="L37" s="264"/>
      <c r="N37" s="264"/>
      <c r="O37" s="264"/>
      <c r="P37" s="264"/>
      <c r="Q37" s="264"/>
      <c r="R37" s="264"/>
      <c r="S37" s="264"/>
      <c r="T37" s="264"/>
      <c r="U37" s="264"/>
      <c r="V37" s="264"/>
      <c r="W37" s="264"/>
      <c r="X37" s="264"/>
      <c r="Y37" s="264"/>
      <c r="Z37" s="264"/>
      <c r="AA37" s="264"/>
      <c r="AB37" s="264"/>
      <c r="AC37" s="264"/>
      <c r="AD37" s="264"/>
      <c r="AE37" s="264"/>
      <c r="AF37" s="264"/>
      <c r="AG37" s="264"/>
      <c r="AH37" s="264"/>
    </row>
    <row r="38" spans="1:34" x14ac:dyDescent="0.25">
      <c r="A38" s="69">
        <v>43212</v>
      </c>
      <c r="B38" s="222" t="e">
        <f t="shared" si="6"/>
        <v>#VALUE!</v>
      </c>
      <c r="C38" s="223" t="e">
        <f>SUMIFS('Burn Report'!N$3:N$61,'[1]Burn Report'!$A$3:$A$61,"&gt;="&amp;($A38+DAY(1)),'[1]Burn Report'!$A$3:$A$61,"&lt;="&amp;$A39)</f>
        <v>#VALUE!</v>
      </c>
      <c r="D38" s="223" t="e">
        <f>SUMIFS('Burn Report'!O$3:O$61,'[1]Burn Report'!$A$3:$A$61,"&gt;="&amp;($A38+DAY(1)),'[1]Burn Report'!$A$3:$A$61,"&lt;="&amp;$A39)</f>
        <v>#VALUE!</v>
      </c>
      <c r="E38" s="223" t="e">
        <f>SUMIFS('Burn Report'!P$3:P$61,'[1]Burn Report'!$A$3:$A$61,"&gt;="&amp;($A38+DAY(1)),'[1]Burn Report'!$A$3:$A$61,"&lt;="&amp;$A39)</f>
        <v>#VALUE!</v>
      </c>
      <c r="F38" s="223" t="e">
        <f>SUMIFS('Burn Report'!Q$3:Q$61,'[1]Burn Report'!$A$3:$A$61,"&gt;="&amp;($A38+DAY(1)),'[1]Burn Report'!$A$3:$A$61,"&lt;="&amp;$A39)</f>
        <v>#VALUE!</v>
      </c>
      <c r="G38" s="223" t="e">
        <f>SUMIFS('Burn Report'!R$3:R$61,'[1]Burn Report'!$A$3:$A$61,"&gt;="&amp;($A38+DAY(1)),'[1]Burn Report'!$A$3:$A$61,"&lt;="&amp;$A39)</f>
        <v>#VALUE!</v>
      </c>
      <c r="H38" s="269" t="e">
        <f>SUMIFS('Burn Report'!S$3:S$61,'[1]Burn Report'!$A$3:$A$61,"&gt;="&amp;($A38+DAY(1)),'[1]Burn Report'!$A$3:$A$61,"&lt;="&amp;$A39)</f>
        <v>#VALUE!</v>
      </c>
      <c r="I38" s="268">
        <v>15</v>
      </c>
      <c r="K38" s="264"/>
      <c r="L38" s="264"/>
      <c r="N38" s="264"/>
      <c r="O38" s="264"/>
      <c r="P38" s="264"/>
      <c r="Q38" s="281">
        <v>43182</v>
      </c>
      <c r="R38" s="264">
        <v>0</v>
      </c>
      <c r="S38" s="264"/>
      <c r="T38" s="264"/>
      <c r="U38" s="264"/>
      <c r="V38" s="264"/>
      <c r="W38" s="264"/>
      <c r="X38" s="264"/>
      <c r="Y38" s="264"/>
      <c r="Z38" s="264"/>
      <c r="AA38" s="264"/>
      <c r="AB38" s="264"/>
      <c r="AC38" s="264"/>
      <c r="AD38" s="264"/>
      <c r="AE38" s="264"/>
      <c r="AF38" s="264"/>
      <c r="AG38" s="264"/>
      <c r="AH38" s="264"/>
    </row>
    <row r="39" spans="1:34" x14ac:dyDescent="0.25">
      <c r="A39" s="69">
        <v>43219</v>
      </c>
      <c r="B39" s="222" t="e">
        <f t="shared" si="6"/>
        <v>#VALUE!</v>
      </c>
      <c r="C39" s="223" t="e">
        <f>SUMIFS('Burn Report'!N$3:N$61,'[1]Burn Report'!$A$3:$A$61,"&gt;="&amp;($A39+DAY(1)),'[1]Burn Report'!$A$3:$A$61,"&lt;="&amp;$A40)</f>
        <v>#VALUE!</v>
      </c>
      <c r="D39" s="223" t="e">
        <f>SUMIFS('Burn Report'!O$3:O$61,'[1]Burn Report'!$A$3:$A$61,"&gt;="&amp;($A39+DAY(1)),'[1]Burn Report'!$A$3:$A$61,"&lt;="&amp;$A40)</f>
        <v>#VALUE!</v>
      </c>
      <c r="E39" s="223" t="e">
        <f>SUMIFS('Burn Report'!P$3:P$61,'[1]Burn Report'!$A$3:$A$61,"&gt;="&amp;($A39+DAY(1)),'[1]Burn Report'!$A$3:$A$61,"&lt;="&amp;$A40)</f>
        <v>#VALUE!</v>
      </c>
      <c r="F39" s="223" t="e">
        <f>SUMIFS('Burn Report'!Q$3:Q$61,'[1]Burn Report'!$A$3:$A$61,"&gt;="&amp;($A39+DAY(1)),'[1]Burn Report'!$A$3:$A$61,"&lt;="&amp;$A40)</f>
        <v>#VALUE!</v>
      </c>
      <c r="G39" s="223" t="e">
        <f>SUMIFS('Burn Report'!R$3:R$61,'[1]Burn Report'!$A$3:$A$61,"&gt;="&amp;($A39+DAY(1)),'[1]Burn Report'!$A$3:$A$61,"&lt;="&amp;$A40)</f>
        <v>#VALUE!</v>
      </c>
      <c r="H39" s="269" t="e">
        <f>SUMIFS('Burn Report'!S$3:S$61,'[1]Burn Report'!$A$3:$A$61,"&gt;="&amp;($A39+DAY(1)),'[1]Burn Report'!$A$3:$A$61,"&lt;="&amp;$A40)</f>
        <v>#VALUE!</v>
      </c>
      <c r="I39" s="199">
        <v>16</v>
      </c>
      <c r="K39" s="264"/>
      <c r="L39" s="264"/>
      <c r="N39" s="264"/>
      <c r="O39" s="264"/>
      <c r="P39" s="264"/>
      <c r="Q39" s="281">
        <v>43228</v>
      </c>
      <c r="R39" s="265">
        <v>6500</v>
      </c>
      <c r="S39" s="264"/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G39" s="264"/>
      <c r="AH39" s="264"/>
    </row>
    <row r="40" spans="1:34" x14ac:dyDescent="0.25">
      <c r="A40" s="69">
        <v>43226</v>
      </c>
      <c r="B40" s="222" t="e">
        <f t="shared" si="6"/>
        <v>#VALUE!</v>
      </c>
      <c r="C40" s="223" t="e">
        <f>SUMIFS('Burn Report'!N$3:N$61,'[1]Burn Report'!$A$3:$A$61,"&gt;="&amp;($A40+DAY(1)),'[1]Burn Report'!$A$3:$A$61,"&lt;="&amp;($A40+DAY(8)))</f>
        <v>#VALUE!</v>
      </c>
      <c r="D40" s="223" t="e">
        <f>SUMIFS('Burn Report'!O$3:O$61,'[1]Burn Report'!$A$3:$A$61,"&gt;="&amp;($A40+DAY(1)),'[1]Burn Report'!$A$3:$A$61,"&lt;="&amp;($A40+DAY(8)))</f>
        <v>#VALUE!</v>
      </c>
      <c r="E40" s="223" t="e">
        <f>SUMIFS('Burn Report'!P$3:P$61,'[1]Burn Report'!$A$3:$A$61,"&gt;="&amp;($A40+DAY(1)),'[1]Burn Report'!$A$3:$A$61,"&lt;="&amp;($A40+DAY(8)))</f>
        <v>#VALUE!</v>
      </c>
      <c r="F40" s="223" t="e">
        <f>SUMIFS('Burn Report'!Q$3:Q$61,'[1]Burn Report'!$A$3:$A$61,"&gt;="&amp;($A40+DAY(1)),'[1]Burn Report'!$A$3:$A$61,"&lt;="&amp;($A40+DAY(8)))</f>
        <v>#VALUE!</v>
      </c>
      <c r="G40" s="223" t="e">
        <f>SUMIFS('Burn Report'!R$3:R$61,'[1]Burn Report'!$A$3:$A$61,"&gt;="&amp;($A40+DAY(1)),'[1]Burn Report'!$A$3:$A$61,"&lt;="&amp;($A40+DAY(8)))</f>
        <v>#VALUE!</v>
      </c>
      <c r="H40" s="274" t="e">
        <f>SUMIFS('Burn Report'!S$3:S$61,'[1]Burn Report'!$A$3:$A$61,"&gt;="&amp;($A40+DAY(1)),'[1]Burn Report'!$A$3:$A$61,"&lt;="&amp;($A40+DAY(8)))</f>
        <v>#VALUE!</v>
      </c>
      <c r="I40" s="199">
        <v>17</v>
      </c>
      <c r="K40" s="264"/>
      <c r="L40" s="264"/>
      <c r="M40" s="264"/>
      <c r="N40" s="264"/>
      <c r="O40" s="264"/>
      <c r="P40" s="264"/>
      <c r="Q40" s="264"/>
      <c r="R40" s="264"/>
      <c r="S40" s="264"/>
      <c r="T40" s="264"/>
      <c r="U40" s="264"/>
      <c r="V40" s="264"/>
      <c r="W40" s="264"/>
      <c r="X40" s="264"/>
      <c r="Y40" s="264"/>
      <c r="Z40" s="264"/>
      <c r="AA40" s="264"/>
      <c r="AB40" s="264"/>
      <c r="AC40" s="264"/>
      <c r="AD40" s="264"/>
      <c r="AE40" s="264"/>
      <c r="AF40" s="264"/>
      <c r="AG40" s="264"/>
      <c r="AH40" s="264"/>
    </row>
    <row r="41" spans="1:34" ht="15.75" thickBot="1" x14ac:dyDescent="0.3">
      <c r="A41" s="145" t="s">
        <v>131</v>
      </c>
      <c r="B41" s="270" t="e">
        <f>SUM(C41:H41)</f>
        <v>#VALUE!</v>
      </c>
      <c r="C41" s="224" t="e">
        <f t="shared" ref="C41:H41" si="10">SUM(C26:C40)</f>
        <v>#VALUE!</v>
      </c>
      <c r="D41" s="225" t="e">
        <f t="shared" si="10"/>
        <v>#VALUE!</v>
      </c>
      <c r="E41" s="225" t="e">
        <f t="shared" si="10"/>
        <v>#VALUE!</v>
      </c>
      <c r="F41" s="225" t="e">
        <f t="shared" si="10"/>
        <v>#VALUE!</v>
      </c>
      <c r="G41" s="225" t="e">
        <f t="shared" si="10"/>
        <v>#VALUE!</v>
      </c>
      <c r="H41" s="225" t="e">
        <f t="shared" si="10"/>
        <v>#VALUE!</v>
      </c>
      <c r="I41" s="196"/>
      <c r="K41" s="264"/>
      <c r="L41" s="264"/>
      <c r="M41" s="264"/>
      <c r="N41" s="264"/>
      <c r="O41" s="264"/>
      <c r="P41" s="264"/>
      <c r="Q41" s="264"/>
      <c r="R41" s="264"/>
      <c r="S41" s="264"/>
      <c r="T41" s="264"/>
      <c r="U41" s="264"/>
      <c r="V41" s="264"/>
      <c r="W41" s="264"/>
      <c r="X41" s="264"/>
      <c r="Y41" s="264"/>
      <c r="Z41" s="264"/>
      <c r="AA41" s="264"/>
      <c r="AB41" s="264"/>
      <c r="AC41" s="264"/>
      <c r="AD41" s="264"/>
      <c r="AE41" s="264"/>
      <c r="AF41" s="264"/>
      <c r="AG41" s="264"/>
      <c r="AH41" s="264"/>
    </row>
    <row r="42" spans="1:34" x14ac:dyDescent="0.25">
      <c r="A42" s="271"/>
      <c r="B42" s="271"/>
      <c r="C42" s="271"/>
      <c r="D42" s="271"/>
      <c r="E42" s="271"/>
      <c r="F42" s="271"/>
      <c r="G42" s="271"/>
      <c r="H42" s="271"/>
      <c r="I42" s="271"/>
      <c r="K42" s="264"/>
      <c r="L42" s="264"/>
      <c r="M42" s="264"/>
      <c r="N42" s="264"/>
      <c r="O42" s="264"/>
      <c r="P42" s="264"/>
      <c r="Q42" s="264"/>
      <c r="R42" s="264"/>
      <c r="S42" s="264"/>
      <c r="T42" s="264"/>
      <c r="U42" s="264"/>
      <c r="V42" s="264"/>
      <c r="W42" s="264"/>
      <c r="X42" s="264"/>
      <c r="Y42" s="264"/>
      <c r="Z42" s="264"/>
      <c r="AA42" s="264"/>
      <c r="AB42" s="264"/>
      <c r="AC42" s="264"/>
      <c r="AD42" s="264"/>
      <c r="AE42" s="264"/>
      <c r="AF42" s="264"/>
      <c r="AG42" s="264"/>
      <c r="AH42" s="264"/>
    </row>
    <row r="43" spans="1:34" ht="15.75" thickBot="1" x14ac:dyDescent="0.3">
      <c r="A43" s="74" t="s">
        <v>136</v>
      </c>
      <c r="I43" s="195"/>
      <c r="K43" s="264"/>
      <c r="L43" s="264"/>
      <c r="M43" s="264"/>
      <c r="N43" s="264"/>
      <c r="O43" s="264"/>
      <c r="P43" s="264"/>
      <c r="Q43" s="264"/>
      <c r="R43" s="264"/>
      <c r="S43" s="264"/>
      <c r="T43" s="264"/>
      <c r="U43" s="264"/>
      <c r="V43" s="264"/>
      <c r="W43" s="264"/>
      <c r="X43" s="264"/>
      <c r="Y43" s="264"/>
      <c r="Z43" s="264"/>
      <c r="AA43" s="264"/>
      <c r="AB43" s="264"/>
      <c r="AC43" s="264"/>
      <c r="AD43" s="264"/>
      <c r="AE43" s="264"/>
      <c r="AF43" s="264"/>
      <c r="AG43" s="264"/>
      <c r="AH43" s="264"/>
    </row>
    <row r="44" spans="1:34" x14ac:dyDescent="0.25">
      <c r="A44" s="73" t="s">
        <v>135</v>
      </c>
      <c r="B44" s="71" t="s">
        <v>61</v>
      </c>
      <c r="C44" s="72" t="s">
        <v>99</v>
      </c>
      <c r="D44" s="71" t="s">
        <v>64</v>
      </c>
      <c r="E44" s="71" t="s">
        <v>133</v>
      </c>
      <c r="F44" s="71" t="s">
        <v>72</v>
      </c>
      <c r="G44" s="71" t="s">
        <v>132</v>
      </c>
      <c r="H44" s="197" t="s">
        <v>124</v>
      </c>
      <c r="I44" s="70" t="s">
        <v>134</v>
      </c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4"/>
      <c r="V44" s="264"/>
      <c r="W44" s="264"/>
      <c r="X44" s="264"/>
      <c r="Y44" s="264"/>
      <c r="Z44" s="264"/>
      <c r="AA44" s="264"/>
      <c r="AB44" s="264"/>
      <c r="AC44" s="264"/>
      <c r="AD44" s="264"/>
      <c r="AE44" s="264"/>
      <c r="AF44" s="264"/>
      <c r="AG44" s="264"/>
      <c r="AH44" s="264"/>
    </row>
    <row r="45" spans="1:34" x14ac:dyDescent="0.25">
      <c r="A45" s="69">
        <v>43114</v>
      </c>
      <c r="B45" s="222" t="e">
        <f>SUM(C45:H45)</f>
        <v>#VALUE!</v>
      </c>
      <c r="C45" s="223" t="e">
        <f>SUMIFS('[3]Weekly Meeting Costs'!P$3:P$24,'[3]Weekly Meeting Costs'!$A$3:$A$24,"&gt;="&amp;$A45,'[3]Weekly Meeting Costs'!$A$3:$A$24,"&lt;="&amp;$A46)</f>
        <v>#VALUE!</v>
      </c>
      <c r="D45" s="223" t="e">
        <f>SUMIFS('[3]Weekly Meeting Costs'!Q$3:Q$24,'[3]Weekly Meeting Costs'!$A$3:$A$24,"&gt;="&amp;$A45,'[3]Weekly Meeting Costs'!$A$3:$A$24,"&lt;="&amp;$A46)</f>
        <v>#VALUE!</v>
      </c>
      <c r="E45" s="223" t="e">
        <f>SUMIFS('[3]Weekly Meeting Costs'!R$3:R$24,'[3]Weekly Meeting Costs'!$A$3:$A$24,"&gt;="&amp;$A45,'[3]Weekly Meeting Costs'!$A$3:$A$24,"&lt;="&amp;$A46)</f>
        <v>#VALUE!</v>
      </c>
      <c r="F45" s="223" t="e">
        <f>SUMIFS('[3]Weekly Meeting Costs'!S$3:S$24,'[3]Weekly Meeting Costs'!$A$3:$A$24,"&gt;="&amp;$A45,'[3]Weekly Meeting Costs'!$A$3:$A$24,"&lt;="&amp;$A46)</f>
        <v>#VALUE!</v>
      </c>
      <c r="G45" s="223" t="e">
        <f>SUMIFS('[3]Weekly Meeting Costs'!T$3:T$24,'[3]Weekly Meeting Costs'!$A$3:$A$24,"&gt;="&amp;$A45,'[3]Weekly Meeting Costs'!$A$3:$A$24,"&lt;="&amp;$A46)</f>
        <v>#VALUE!</v>
      </c>
      <c r="H45" s="223" t="e">
        <f>SUMIFS('[3]Weekly Meeting Costs'!U$3:U$24,'[3]Weekly Meeting Costs'!$A$3:$A$24,"&gt;="&amp;$A45,'[3]Weekly Meeting Costs'!$A$3:$A$24,"&lt;="&amp;$A46)</f>
        <v>#VALUE!</v>
      </c>
      <c r="I45" s="198">
        <v>1</v>
      </c>
      <c r="K45" s="264"/>
      <c r="L45" s="264"/>
      <c r="M45" s="264"/>
      <c r="N45" s="264"/>
      <c r="O45" s="264"/>
      <c r="P45" s="264"/>
      <c r="Q45" s="264"/>
      <c r="R45" s="264"/>
      <c r="S45" s="264"/>
      <c r="T45" s="264"/>
      <c r="U45" s="264"/>
      <c r="V45" s="264"/>
      <c r="W45" s="264"/>
      <c r="X45" s="264"/>
      <c r="Y45" s="264"/>
      <c r="Z45" s="264"/>
      <c r="AA45" s="264"/>
      <c r="AB45" s="264"/>
      <c r="AC45" s="264"/>
      <c r="AD45" s="264"/>
      <c r="AE45" s="264"/>
      <c r="AF45" s="264"/>
      <c r="AG45" s="264"/>
      <c r="AH45" s="264"/>
    </row>
    <row r="46" spans="1:34" x14ac:dyDescent="0.25">
      <c r="A46" s="69">
        <v>43121</v>
      </c>
      <c r="B46" s="222" t="e">
        <f t="shared" ref="B46:B61" si="11">SUM(C46:H46)</f>
        <v>#VALUE!</v>
      </c>
      <c r="C46" s="223" t="e">
        <f>SUMIFS('[3]Weekly Meeting Costs'!P$3:P$24,'[3]Weekly Meeting Costs'!$A$3:$A$24,"&gt;="&amp;($A46+DAY(1)),'[3]Weekly Meeting Costs'!$A$3:$A$24,"&lt;="&amp;$A47)</f>
        <v>#VALUE!</v>
      </c>
      <c r="D46" s="223" t="e">
        <f>SUMIFS('[3]Weekly Meeting Costs'!Q$3:Q$24,'[3]Weekly Meeting Costs'!$A$3:$A$24,"&gt;="&amp;($A46+DAY(1)),'[3]Weekly Meeting Costs'!$A$3:$A$24,"&lt;="&amp;$A47)</f>
        <v>#VALUE!</v>
      </c>
      <c r="E46" s="223" t="e">
        <f>SUMIFS('[3]Weekly Meeting Costs'!R$3:R$24,'[3]Weekly Meeting Costs'!$A$3:$A$24,"&gt;="&amp;($A46+DAY(1)),'[3]Weekly Meeting Costs'!$A$3:$A$24,"&lt;="&amp;$A47)</f>
        <v>#VALUE!</v>
      </c>
      <c r="F46" s="223" t="e">
        <f>SUMIFS('[3]Weekly Meeting Costs'!S$3:S$24,'[3]Weekly Meeting Costs'!$A$3:$A$24,"&gt;="&amp;($A46+DAY(1)),'[3]Weekly Meeting Costs'!$A$3:$A$24,"&lt;="&amp;$A47)</f>
        <v>#VALUE!</v>
      </c>
      <c r="G46" s="223" t="e">
        <f>SUMIFS('[3]Weekly Meeting Costs'!T$3:T$24,'[3]Weekly Meeting Costs'!$A$3:$A$24,"&gt;="&amp;($A46+DAY(1)),'[3]Weekly Meeting Costs'!$A$3:$A$24,"&lt;="&amp;$A47)</f>
        <v>#VALUE!</v>
      </c>
      <c r="H46" s="223" t="e">
        <f>SUMIFS('[3]Weekly Meeting Costs'!U$3:U$24,'[3]Weekly Meeting Costs'!$A$3:$A$24,"&gt;="&amp;($A46+DAY(1)),'[3]Weekly Meeting Costs'!$A$3:$A$24,"&lt;="&amp;$A47)</f>
        <v>#VALUE!</v>
      </c>
      <c r="I46" s="199">
        <v>2</v>
      </c>
      <c r="K46" s="264"/>
      <c r="L46" s="264"/>
      <c r="M46" s="264"/>
      <c r="N46" s="264"/>
      <c r="O46" s="264"/>
      <c r="P46" s="264"/>
      <c r="Q46" s="264"/>
      <c r="R46" s="264"/>
      <c r="S46" s="264"/>
      <c r="T46" s="264"/>
      <c r="U46" s="264"/>
      <c r="V46" s="264"/>
      <c r="W46" s="264"/>
      <c r="X46" s="264"/>
      <c r="Y46" s="264"/>
      <c r="Z46" s="264"/>
      <c r="AA46" s="264"/>
      <c r="AB46" s="264"/>
      <c r="AC46" s="264"/>
      <c r="AD46" s="264"/>
      <c r="AE46" s="264"/>
      <c r="AF46" s="264"/>
      <c r="AG46" s="264"/>
      <c r="AH46" s="264"/>
    </row>
    <row r="47" spans="1:34" x14ac:dyDescent="0.25">
      <c r="A47" s="69">
        <v>43128</v>
      </c>
      <c r="B47" s="222" t="e">
        <f t="shared" si="11"/>
        <v>#VALUE!</v>
      </c>
      <c r="C47" s="223" t="e">
        <f>SUMIFS('[3]Weekly Meeting Costs'!P$3:P$24,'[3]Weekly Meeting Costs'!$A$3:$A$24,"&gt;="&amp;($A47+DAY(1)),'[3]Weekly Meeting Costs'!$A$3:$A$24,"&lt;="&amp;$A48)</f>
        <v>#VALUE!</v>
      </c>
      <c r="D47" s="223" t="e">
        <f>SUMIFS('[3]Weekly Meeting Costs'!Q$3:Q$24,'[3]Weekly Meeting Costs'!$A$3:$A$24,"&gt;="&amp;($A47+DAY(1)),'[3]Weekly Meeting Costs'!$A$3:$A$24,"&lt;="&amp;$A48)</f>
        <v>#VALUE!</v>
      </c>
      <c r="E47" s="223" t="e">
        <f>SUMIFS('[3]Weekly Meeting Costs'!R$3:R$24,'[3]Weekly Meeting Costs'!$A$3:$A$24,"&gt;="&amp;($A47+DAY(1)),'[3]Weekly Meeting Costs'!$A$3:$A$24,"&lt;="&amp;$A48)</f>
        <v>#VALUE!</v>
      </c>
      <c r="F47" s="223" t="e">
        <f>SUMIFS('[3]Weekly Meeting Costs'!S$3:S$24,'[3]Weekly Meeting Costs'!$A$3:$A$24,"&gt;="&amp;($A47+DAY(1)),'[3]Weekly Meeting Costs'!$A$3:$A$24,"&lt;="&amp;$A48)</f>
        <v>#VALUE!</v>
      </c>
      <c r="G47" s="223" t="e">
        <f>SUMIFS('[3]Weekly Meeting Costs'!T$3:T$24,'[3]Weekly Meeting Costs'!$A$3:$A$24,"&gt;="&amp;($A47+DAY(1)),'[3]Weekly Meeting Costs'!$A$3:$A$24,"&lt;="&amp;$A48)</f>
        <v>#VALUE!</v>
      </c>
      <c r="H47" s="223" t="e">
        <f>SUMIFS('[3]Weekly Meeting Costs'!U$3:U$24,'[3]Weekly Meeting Costs'!$A$3:$A$24,"&gt;="&amp;($A47+DAY(1)),'[3]Weekly Meeting Costs'!$A$3:$A$24,"&lt;="&amp;$A48)</f>
        <v>#VALUE!</v>
      </c>
      <c r="I47" s="199">
        <v>3</v>
      </c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G47" s="264"/>
      <c r="AH47" s="264"/>
    </row>
    <row r="48" spans="1:34" x14ac:dyDescent="0.25">
      <c r="A48" s="69">
        <v>43135</v>
      </c>
      <c r="B48" s="222" t="e">
        <f t="shared" si="11"/>
        <v>#VALUE!</v>
      </c>
      <c r="C48" s="223" t="e">
        <f>SUMIFS('[3]Weekly Meeting Costs'!P$3:P$24,'[3]Weekly Meeting Costs'!$A$3:$A$24,"&gt;="&amp;($A48+DAY(1)),'[3]Weekly Meeting Costs'!$A$3:$A$24,"&lt;="&amp;$A49)</f>
        <v>#VALUE!</v>
      </c>
      <c r="D48" s="223" t="e">
        <f>SUMIFS('[3]Weekly Meeting Costs'!Q$3:Q$24,'[3]Weekly Meeting Costs'!$A$3:$A$24,"&gt;="&amp;($A48+DAY(1)),'[3]Weekly Meeting Costs'!$A$3:$A$24,"&lt;="&amp;$A49)</f>
        <v>#VALUE!</v>
      </c>
      <c r="E48" s="223" t="e">
        <f>SUMIFS('[3]Weekly Meeting Costs'!R$3:R$24,'[3]Weekly Meeting Costs'!$A$3:$A$24,"&gt;="&amp;($A48+DAY(1)),'[3]Weekly Meeting Costs'!$A$3:$A$24,"&lt;="&amp;$A49)</f>
        <v>#VALUE!</v>
      </c>
      <c r="F48" s="223" t="e">
        <f>SUMIFS('[3]Weekly Meeting Costs'!S$3:S$24,'[3]Weekly Meeting Costs'!$A$3:$A$24,"&gt;="&amp;($A48+DAY(1)),'[3]Weekly Meeting Costs'!$A$3:$A$24,"&lt;="&amp;$A49)</f>
        <v>#VALUE!</v>
      </c>
      <c r="G48" s="223" t="e">
        <f>SUMIFS('[3]Weekly Meeting Costs'!T$3:T$24,'[3]Weekly Meeting Costs'!$A$3:$A$24,"&gt;="&amp;($A48+DAY(1)),'[3]Weekly Meeting Costs'!$A$3:$A$24,"&lt;="&amp;$A49)</f>
        <v>#VALUE!</v>
      </c>
      <c r="H48" s="223" t="e">
        <f>SUMIFS('[3]Weekly Meeting Costs'!U$3:U$24,'[3]Weekly Meeting Costs'!$A$3:$A$24,"&gt;="&amp;($A48+DAY(1)),'[3]Weekly Meeting Costs'!$A$3:$A$24,"&lt;="&amp;$A49)</f>
        <v>#VALUE!</v>
      </c>
      <c r="I48" s="199">
        <v>4</v>
      </c>
      <c r="K48" s="264"/>
      <c r="L48" s="264"/>
      <c r="M48" s="264"/>
      <c r="N48" s="264"/>
      <c r="O48" s="264"/>
      <c r="P48" s="264"/>
      <c r="Q48" s="264"/>
      <c r="R48" s="264"/>
      <c r="S48" s="264"/>
      <c r="T48" s="264"/>
      <c r="U48" s="264"/>
      <c r="V48" s="264"/>
      <c r="W48" s="264"/>
      <c r="X48" s="264"/>
      <c r="Y48" s="264"/>
      <c r="Z48" s="264"/>
      <c r="AA48" s="264"/>
      <c r="AB48" s="264"/>
      <c r="AC48" s="264"/>
      <c r="AD48" s="264"/>
      <c r="AE48" s="264"/>
      <c r="AF48" s="264"/>
      <c r="AG48" s="264"/>
      <c r="AH48" s="264"/>
    </row>
    <row r="49" spans="1:34" x14ac:dyDescent="0.25">
      <c r="A49" s="69">
        <v>43142</v>
      </c>
      <c r="B49" s="222" t="e">
        <f t="shared" si="11"/>
        <v>#VALUE!</v>
      </c>
      <c r="C49" s="223" t="e">
        <f>SUMIFS('[3]Weekly Meeting Costs'!P$3:P$24,'[3]Weekly Meeting Costs'!$A$3:$A$24,"&gt;="&amp;($A49+DAY(1)),'[3]Weekly Meeting Costs'!$A$3:$A$24,"&lt;="&amp;$A50)</f>
        <v>#VALUE!</v>
      </c>
      <c r="D49" s="223" t="e">
        <f>SUMIFS('[3]Weekly Meeting Costs'!Q$3:Q$24,'[3]Weekly Meeting Costs'!$A$3:$A$24,"&gt;="&amp;($A49+DAY(1)),'[3]Weekly Meeting Costs'!$A$3:$A$24,"&lt;="&amp;$A50)</f>
        <v>#VALUE!</v>
      </c>
      <c r="E49" s="223" t="e">
        <f>SUMIFS('[3]Weekly Meeting Costs'!R$3:R$24,'[3]Weekly Meeting Costs'!$A$3:$A$24,"&gt;="&amp;($A49+DAY(1)),'[3]Weekly Meeting Costs'!$A$3:$A$24,"&lt;="&amp;$A50)</f>
        <v>#VALUE!</v>
      </c>
      <c r="F49" s="223" t="e">
        <f>SUMIFS('[3]Weekly Meeting Costs'!S$3:S$24,'[3]Weekly Meeting Costs'!$A$3:$A$24,"&gt;="&amp;($A49+DAY(1)),'[3]Weekly Meeting Costs'!$A$3:$A$24,"&lt;="&amp;$A50)</f>
        <v>#VALUE!</v>
      </c>
      <c r="G49" s="223" t="e">
        <f>SUMIFS('[3]Weekly Meeting Costs'!T$3:T$24,'[3]Weekly Meeting Costs'!$A$3:$A$24,"&gt;="&amp;($A49+DAY(1)),'[3]Weekly Meeting Costs'!$A$3:$A$24,"&lt;="&amp;$A50)</f>
        <v>#VALUE!</v>
      </c>
      <c r="H49" s="223" t="e">
        <f>SUMIFS('[3]Weekly Meeting Costs'!U$3:U$24,'[3]Weekly Meeting Costs'!$A$3:$A$24,"&gt;="&amp;($A49+DAY(1)),'[3]Weekly Meeting Costs'!$A$3:$A$24,"&lt;="&amp;$A50)</f>
        <v>#VALUE!</v>
      </c>
      <c r="I49" s="199">
        <v>5</v>
      </c>
      <c r="K49" s="264"/>
      <c r="L49" s="264"/>
      <c r="M49" s="264"/>
      <c r="N49" s="264"/>
      <c r="O49" s="264"/>
      <c r="P49" s="264"/>
      <c r="Q49" s="264"/>
      <c r="R49" s="264"/>
      <c r="S49" s="264"/>
      <c r="T49" s="264"/>
      <c r="U49" s="264"/>
      <c r="V49" s="264"/>
      <c r="W49" s="264"/>
      <c r="X49" s="264"/>
      <c r="Y49" s="264"/>
      <c r="Z49" s="264"/>
      <c r="AA49" s="264"/>
      <c r="AB49" s="264"/>
      <c r="AC49" s="264"/>
      <c r="AD49" s="264"/>
      <c r="AE49" s="264"/>
      <c r="AF49" s="264"/>
      <c r="AG49" s="264"/>
      <c r="AH49" s="264"/>
    </row>
    <row r="50" spans="1:34" x14ac:dyDescent="0.25">
      <c r="A50" s="69">
        <v>43149</v>
      </c>
      <c r="B50" s="222" t="e">
        <f t="shared" si="11"/>
        <v>#VALUE!</v>
      </c>
      <c r="C50" s="223" t="e">
        <f>SUMIFS('[3]Weekly Meeting Costs'!P$3:P$24,'[3]Weekly Meeting Costs'!$A$3:$A$24,"&gt;="&amp;($A50+DAY(1)),'[3]Weekly Meeting Costs'!$A$3:$A$24,"&lt;="&amp;$A51)</f>
        <v>#VALUE!</v>
      </c>
      <c r="D50" s="223" t="e">
        <f>SUMIFS('[3]Weekly Meeting Costs'!Q$3:Q$24,'[3]Weekly Meeting Costs'!$A$3:$A$24,"&gt;="&amp;($A50+DAY(1)),'[3]Weekly Meeting Costs'!$A$3:$A$24,"&lt;="&amp;$A51)</f>
        <v>#VALUE!</v>
      </c>
      <c r="E50" s="223" t="e">
        <f>SUMIFS('[3]Weekly Meeting Costs'!R$3:R$24,'[3]Weekly Meeting Costs'!$A$3:$A$24,"&gt;="&amp;($A50+DAY(1)),'[3]Weekly Meeting Costs'!$A$3:$A$24,"&lt;="&amp;$A51)</f>
        <v>#VALUE!</v>
      </c>
      <c r="F50" s="223" t="e">
        <f>SUMIFS('[3]Weekly Meeting Costs'!S$3:S$24,'[3]Weekly Meeting Costs'!$A$3:$A$24,"&gt;="&amp;($A50+DAY(1)),'[3]Weekly Meeting Costs'!$A$3:$A$24,"&lt;="&amp;$A51)</f>
        <v>#VALUE!</v>
      </c>
      <c r="G50" s="223" t="e">
        <f>SUMIFS('[3]Weekly Meeting Costs'!T$3:T$24,'[3]Weekly Meeting Costs'!$A$3:$A$24,"&gt;="&amp;($A50+DAY(1)),'[3]Weekly Meeting Costs'!$A$3:$A$24,"&lt;="&amp;$A51)</f>
        <v>#VALUE!</v>
      </c>
      <c r="H50" s="223" t="e">
        <f>SUMIFS('[3]Weekly Meeting Costs'!U$3:U$24,'[3]Weekly Meeting Costs'!$A$3:$A$24,"&gt;="&amp;($A50+DAY(1)),'[3]Weekly Meeting Costs'!$A$3:$A$24,"&lt;="&amp;$A51)</f>
        <v>#VALUE!</v>
      </c>
      <c r="I50" s="199">
        <v>6</v>
      </c>
      <c r="K50" s="264"/>
      <c r="L50" s="264"/>
      <c r="M50" s="264"/>
      <c r="N50" s="264"/>
      <c r="O50" s="264"/>
      <c r="P50" s="264"/>
      <c r="Q50" s="264"/>
      <c r="R50" s="264"/>
      <c r="S50" s="264"/>
      <c r="T50" s="264"/>
      <c r="U50" s="264"/>
      <c r="V50" s="264"/>
      <c r="W50" s="264"/>
      <c r="X50" s="264"/>
      <c r="Y50" s="264"/>
      <c r="Z50" s="264"/>
      <c r="AA50" s="264"/>
      <c r="AB50" s="264"/>
      <c r="AC50" s="264"/>
      <c r="AD50" s="264"/>
      <c r="AE50" s="264"/>
      <c r="AF50" s="264"/>
      <c r="AG50" s="264"/>
      <c r="AH50" s="264"/>
    </row>
    <row r="51" spans="1:34" x14ac:dyDescent="0.25">
      <c r="A51" s="69">
        <v>43156</v>
      </c>
      <c r="B51" s="222" t="e">
        <f t="shared" si="11"/>
        <v>#VALUE!</v>
      </c>
      <c r="C51" s="223" t="e">
        <f>SUMIFS('[3]Weekly Meeting Costs'!P$3:P$24,'[3]Weekly Meeting Costs'!$A$3:$A$24,"&gt;="&amp;($A51+DAY(1)),'[3]Weekly Meeting Costs'!$A$3:$A$24,"&lt;="&amp;$A52)</f>
        <v>#VALUE!</v>
      </c>
      <c r="D51" s="223" t="e">
        <f>SUMIFS('[3]Weekly Meeting Costs'!Q$3:Q$24,'[3]Weekly Meeting Costs'!$A$3:$A$24,"&gt;="&amp;($A51+DAY(1)),'[3]Weekly Meeting Costs'!$A$3:$A$24,"&lt;="&amp;$A52)</f>
        <v>#VALUE!</v>
      </c>
      <c r="E51" s="223" t="e">
        <f>SUMIFS('[3]Weekly Meeting Costs'!R$3:R$24,'[3]Weekly Meeting Costs'!$A$3:$A$24,"&gt;="&amp;($A51+DAY(1)),'[3]Weekly Meeting Costs'!$A$3:$A$24,"&lt;="&amp;$A52)</f>
        <v>#VALUE!</v>
      </c>
      <c r="F51" s="223" t="e">
        <f>SUMIFS('[3]Weekly Meeting Costs'!S$3:S$24,'[3]Weekly Meeting Costs'!$A$3:$A$24,"&gt;="&amp;($A51+DAY(1)),'[3]Weekly Meeting Costs'!$A$3:$A$24,"&lt;="&amp;$A52)</f>
        <v>#VALUE!</v>
      </c>
      <c r="G51" s="223" t="e">
        <f>SUMIFS('[3]Weekly Meeting Costs'!T$3:T$24,'[3]Weekly Meeting Costs'!$A$3:$A$24,"&gt;="&amp;($A51+DAY(1)),'[3]Weekly Meeting Costs'!$A$3:$A$24,"&lt;="&amp;$A52)</f>
        <v>#VALUE!</v>
      </c>
      <c r="H51" s="223" t="e">
        <f>SUMIFS('[3]Weekly Meeting Costs'!U$3:U$24,'[3]Weekly Meeting Costs'!$A$3:$A$24,"&gt;="&amp;($A51+DAY(1)),'[3]Weekly Meeting Costs'!$A$3:$A$24,"&lt;="&amp;$A52)</f>
        <v>#VALUE!</v>
      </c>
      <c r="I51" s="199">
        <v>7</v>
      </c>
      <c r="K51" s="264"/>
      <c r="L51" s="264"/>
      <c r="M51" s="264"/>
      <c r="N51" s="264"/>
      <c r="O51" s="264"/>
      <c r="P51" s="264"/>
      <c r="Q51" s="264"/>
      <c r="R51" s="264"/>
      <c r="S51" s="264"/>
      <c r="T51" s="264"/>
      <c r="U51" s="264"/>
      <c r="V51" s="264"/>
      <c r="W51" s="264"/>
      <c r="X51" s="264"/>
      <c r="Y51" s="264"/>
      <c r="Z51" s="264"/>
      <c r="AA51" s="264"/>
      <c r="AB51" s="264"/>
      <c r="AC51" s="264"/>
      <c r="AD51" s="264"/>
      <c r="AE51" s="264"/>
      <c r="AF51" s="264"/>
      <c r="AG51" s="264"/>
      <c r="AH51" s="264"/>
    </row>
    <row r="52" spans="1:34" x14ac:dyDescent="0.25">
      <c r="A52" s="69">
        <v>43163</v>
      </c>
      <c r="B52" s="222" t="e">
        <f t="shared" si="11"/>
        <v>#VALUE!</v>
      </c>
      <c r="C52" s="223" t="e">
        <f>SUMIFS('[3]Weekly Meeting Costs'!P$3:P$24,'[3]Weekly Meeting Costs'!$A$3:$A$24,"&gt;="&amp;($A52+DAY(1)),'[3]Weekly Meeting Costs'!$A$3:$A$24,"&lt;="&amp;$A53)</f>
        <v>#VALUE!</v>
      </c>
      <c r="D52" s="223" t="e">
        <f>SUMIFS('[3]Weekly Meeting Costs'!Q$3:Q$24,'[3]Weekly Meeting Costs'!$A$3:$A$24,"&gt;="&amp;($A52+DAY(1)),'[3]Weekly Meeting Costs'!$A$3:$A$24,"&lt;="&amp;$A53)</f>
        <v>#VALUE!</v>
      </c>
      <c r="E52" s="223" t="e">
        <f>SUMIFS('[3]Weekly Meeting Costs'!R$3:R$24,'[3]Weekly Meeting Costs'!$A$3:$A$24,"&gt;="&amp;($A52+DAY(1)),'[3]Weekly Meeting Costs'!$A$3:$A$24,"&lt;="&amp;$A53)</f>
        <v>#VALUE!</v>
      </c>
      <c r="F52" s="223" t="e">
        <f>SUMIFS('[3]Weekly Meeting Costs'!S$3:S$24,'[3]Weekly Meeting Costs'!$A$3:$A$24,"&gt;="&amp;($A52+DAY(1)),'[3]Weekly Meeting Costs'!$A$3:$A$24,"&lt;="&amp;$A53)</f>
        <v>#VALUE!</v>
      </c>
      <c r="G52" s="223" t="e">
        <f>SUMIFS('[3]Weekly Meeting Costs'!T$3:T$24,'[3]Weekly Meeting Costs'!$A$3:$A$24,"&gt;="&amp;($A52+DAY(1)),'[3]Weekly Meeting Costs'!$A$3:$A$24,"&lt;="&amp;$A53)</f>
        <v>#VALUE!</v>
      </c>
      <c r="H52" s="223" t="e">
        <f>SUMIFS('[3]Weekly Meeting Costs'!U$3:U$24,'[3]Weekly Meeting Costs'!$A$3:$A$24,"&gt;="&amp;($A52+DAY(1)),'[3]Weekly Meeting Costs'!$A$3:$A$24,"&lt;="&amp;$A53)</f>
        <v>#VALUE!</v>
      </c>
      <c r="I52" s="199">
        <v>8</v>
      </c>
      <c r="K52" s="264"/>
      <c r="L52" s="264"/>
      <c r="M52" s="264"/>
      <c r="N52" s="264"/>
      <c r="O52" s="264"/>
      <c r="P52" s="264"/>
      <c r="Q52" s="264"/>
      <c r="R52" s="264"/>
      <c r="S52" s="264"/>
      <c r="T52" s="264"/>
      <c r="U52" s="264"/>
      <c r="V52" s="264"/>
      <c r="W52" s="264"/>
      <c r="X52" s="264"/>
      <c r="Y52" s="264"/>
      <c r="Z52" s="264"/>
      <c r="AA52" s="264"/>
      <c r="AB52" s="264"/>
      <c r="AC52" s="264"/>
      <c r="AD52" s="264"/>
      <c r="AE52" s="264"/>
      <c r="AF52" s="264"/>
      <c r="AG52" s="264"/>
      <c r="AH52" s="264"/>
    </row>
    <row r="53" spans="1:34" x14ac:dyDescent="0.25">
      <c r="A53" s="69">
        <v>43170</v>
      </c>
      <c r="B53" s="222" t="e">
        <f t="shared" si="11"/>
        <v>#VALUE!</v>
      </c>
      <c r="C53" s="223" t="e">
        <f>SUMIFS('[3]Weekly Meeting Costs'!P$3:P$24,'[3]Weekly Meeting Costs'!$A$3:$A$24,"&gt;="&amp;($A53+DAY(1)),'[3]Weekly Meeting Costs'!$A$3:$A$24,"&lt;="&amp;$A54)</f>
        <v>#VALUE!</v>
      </c>
      <c r="D53" s="223" t="e">
        <f>SUMIFS('[3]Weekly Meeting Costs'!Q$3:Q$24,'[3]Weekly Meeting Costs'!$A$3:$A$24,"&gt;="&amp;($A53+DAY(1)),'[3]Weekly Meeting Costs'!$A$3:$A$24,"&lt;="&amp;$A54)</f>
        <v>#VALUE!</v>
      </c>
      <c r="E53" s="223" t="e">
        <f>SUMIFS('[3]Weekly Meeting Costs'!R$3:R$24,'[3]Weekly Meeting Costs'!$A$3:$A$24,"&gt;="&amp;($A53+DAY(1)),'[3]Weekly Meeting Costs'!$A$3:$A$24,"&lt;="&amp;$A54)</f>
        <v>#VALUE!</v>
      </c>
      <c r="F53" s="223" t="e">
        <f>SUMIFS('[3]Weekly Meeting Costs'!S$3:S$24,'[3]Weekly Meeting Costs'!$A$3:$A$24,"&gt;="&amp;($A53+DAY(1)),'[3]Weekly Meeting Costs'!$A$3:$A$24,"&lt;="&amp;$A54)</f>
        <v>#VALUE!</v>
      </c>
      <c r="G53" s="223" t="e">
        <f>SUMIFS('[3]Weekly Meeting Costs'!T$3:T$24,'[3]Weekly Meeting Costs'!$A$3:$A$24,"&gt;="&amp;($A53+DAY(1)),'[3]Weekly Meeting Costs'!$A$3:$A$24,"&lt;="&amp;$A54)</f>
        <v>#VALUE!</v>
      </c>
      <c r="H53" s="223" t="e">
        <f>SUMIFS('[3]Weekly Meeting Costs'!U$3:U$24,'[3]Weekly Meeting Costs'!$A$3:$A$24,"&gt;="&amp;($A53+DAY(1)),'[3]Weekly Meeting Costs'!$A$3:$A$24,"&lt;="&amp;$A54)</f>
        <v>#VALUE!</v>
      </c>
      <c r="I53" s="199">
        <v>9</v>
      </c>
      <c r="K53" s="264"/>
      <c r="L53" s="264"/>
      <c r="M53" s="264"/>
      <c r="N53" s="264"/>
      <c r="O53" s="264"/>
      <c r="P53" s="264"/>
      <c r="Q53" s="264"/>
      <c r="R53" s="264"/>
      <c r="S53" s="264"/>
      <c r="T53" s="264"/>
      <c r="U53" s="264"/>
      <c r="V53" s="264"/>
      <c r="W53" s="264"/>
      <c r="X53" s="264"/>
      <c r="Y53" s="264"/>
      <c r="Z53" s="264"/>
      <c r="AA53" s="264"/>
      <c r="AB53" s="264"/>
      <c r="AC53" s="264"/>
      <c r="AD53" s="264"/>
      <c r="AE53" s="264"/>
      <c r="AF53" s="264"/>
      <c r="AG53" s="264"/>
      <c r="AH53" s="264"/>
    </row>
    <row r="54" spans="1:34" x14ac:dyDescent="0.25">
      <c r="A54" s="69">
        <v>43177</v>
      </c>
      <c r="B54" s="222" t="e">
        <f t="shared" si="11"/>
        <v>#VALUE!</v>
      </c>
      <c r="C54" s="223" t="e">
        <f>SUMIFS('[3]Weekly Meeting Costs'!P$3:P$24,'[3]Weekly Meeting Costs'!$A$3:$A$24,"&gt;="&amp;($A54+DAY(1)),'[3]Weekly Meeting Costs'!$A$3:$A$24,"&lt;="&amp;$A55)</f>
        <v>#VALUE!</v>
      </c>
      <c r="D54" s="223" t="e">
        <f>SUMIFS('[3]Weekly Meeting Costs'!Q$3:Q$24,'[3]Weekly Meeting Costs'!$A$3:$A$24,"&gt;="&amp;($A54+DAY(1)),'[3]Weekly Meeting Costs'!$A$3:$A$24,"&lt;="&amp;$A55)</f>
        <v>#VALUE!</v>
      </c>
      <c r="E54" s="223" t="e">
        <f>SUMIFS('[3]Weekly Meeting Costs'!R$3:R$24,'[3]Weekly Meeting Costs'!$A$3:$A$24,"&gt;="&amp;($A54+DAY(1)),'[3]Weekly Meeting Costs'!$A$3:$A$24,"&lt;="&amp;$A55)</f>
        <v>#VALUE!</v>
      </c>
      <c r="F54" s="223" t="e">
        <f>SUMIFS('[3]Weekly Meeting Costs'!S$3:S$24,'[3]Weekly Meeting Costs'!$A$3:$A$24,"&gt;="&amp;($A54+DAY(1)),'[3]Weekly Meeting Costs'!$A$3:$A$24,"&lt;="&amp;$A55)</f>
        <v>#VALUE!</v>
      </c>
      <c r="G54" s="223" t="e">
        <f>SUMIFS('[3]Weekly Meeting Costs'!T$3:T$24,'[3]Weekly Meeting Costs'!$A$3:$A$24,"&gt;="&amp;($A54+DAY(1)),'[3]Weekly Meeting Costs'!$A$3:$A$24,"&lt;="&amp;$A55)</f>
        <v>#VALUE!</v>
      </c>
      <c r="H54" s="223" t="e">
        <f>SUMIFS('[3]Weekly Meeting Costs'!U$3:U$24,'[3]Weekly Meeting Costs'!$A$3:$A$24,"&gt;="&amp;($A54+DAY(1)),'[3]Weekly Meeting Costs'!$A$3:$A$24,"&lt;="&amp;$A55)</f>
        <v>#VALUE!</v>
      </c>
      <c r="I54" s="199">
        <v>10</v>
      </c>
      <c r="K54" s="264"/>
      <c r="L54" s="264"/>
      <c r="M54" s="264"/>
      <c r="N54" s="264"/>
      <c r="O54" s="264"/>
      <c r="P54" s="264"/>
      <c r="Q54" s="264"/>
      <c r="R54" s="264"/>
      <c r="S54" s="264"/>
      <c r="T54" s="264"/>
      <c r="U54" s="264"/>
      <c r="V54" s="264"/>
      <c r="W54" s="264"/>
      <c r="X54" s="264"/>
      <c r="Y54" s="264"/>
      <c r="Z54" s="264"/>
      <c r="AA54" s="264"/>
      <c r="AB54" s="264"/>
      <c r="AC54" s="264"/>
      <c r="AD54" s="264"/>
      <c r="AE54" s="264"/>
      <c r="AF54" s="264"/>
      <c r="AG54" s="264"/>
      <c r="AH54" s="264"/>
    </row>
    <row r="55" spans="1:34" x14ac:dyDescent="0.25">
      <c r="A55" s="69">
        <v>43184</v>
      </c>
      <c r="B55" s="222" t="e">
        <f t="shared" si="11"/>
        <v>#VALUE!</v>
      </c>
      <c r="C55" s="223" t="e">
        <f>SUMIFS('[3]Weekly Meeting Costs'!P$3:P$24,'[3]Weekly Meeting Costs'!$A$3:$A$24,"&gt;="&amp;($A55+DAY(1)),'[3]Weekly Meeting Costs'!$A$3:$A$24,"&lt;="&amp;$A56)</f>
        <v>#VALUE!</v>
      </c>
      <c r="D55" s="223" t="e">
        <f>SUMIFS('[3]Weekly Meeting Costs'!Q$3:Q$24,'[3]Weekly Meeting Costs'!$A$3:$A$24,"&gt;="&amp;($A55+DAY(1)),'[3]Weekly Meeting Costs'!$A$3:$A$24,"&lt;="&amp;$A56)</f>
        <v>#VALUE!</v>
      </c>
      <c r="E55" s="223" t="e">
        <f>SUMIFS('[3]Weekly Meeting Costs'!R$3:R$24,'[3]Weekly Meeting Costs'!$A$3:$A$24,"&gt;="&amp;($A55+DAY(1)),'[3]Weekly Meeting Costs'!$A$3:$A$24,"&lt;="&amp;$A56)</f>
        <v>#VALUE!</v>
      </c>
      <c r="F55" s="223" t="e">
        <f>SUMIFS('[3]Weekly Meeting Costs'!S$3:S$24,'[3]Weekly Meeting Costs'!$A$3:$A$24,"&gt;="&amp;($A55+DAY(1)),'[3]Weekly Meeting Costs'!$A$3:$A$24,"&lt;="&amp;$A56)</f>
        <v>#VALUE!</v>
      </c>
      <c r="G55" s="223" t="e">
        <f>SUMIFS('[3]Weekly Meeting Costs'!T$3:T$24,'[3]Weekly Meeting Costs'!$A$3:$A$24,"&gt;="&amp;($A55+DAY(1)),'[3]Weekly Meeting Costs'!$A$3:$A$24,"&lt;="&amp;$A56)</f>
        <v>#VALUE!</v>
      </c>
      <c r="H55" s="223" t="e">
        <f>SUMIFS('[3]Weekly Meeting Costs'!U$3:U$24,'[3]Weekly Meeting Costs'!$A$3:$A$24,"&gt;="&amp;($A55+DAY(1)),'[3]Weekly Meeting Costs'!$A$3:$A$24,"&lt;="&amp;$A56)</f>
        <v>#VALUE!</v>
      </c>
      <c r="I55" s="199">
        <v>11</v>
      </c>
      <c r="K55" s="264"/>
      <c r="L55" s="264"/>
      <c r="M55" s="264"/>
      <c r="N55" s="264"/>
      <c r="O55" s="264"/>
      <c r="P55" s="264"/>
      <c r="Q55" s="264"/>
      <c r="R55" s="264"/>
      <c r="S55" s="264"/>
      <c r="T55" s="264"/>
      <c r="U55" s="264"/>
      <c r="V55" s="264"/>
      <c r="W55" s="264"/>
      <c r="X55" s="264"/>
      <c r="Y55" s="264"/>
      <c r="Z55" s="264"/>
      <c r="AA55" s="264"/>
      <c r="AB55" s="264"/>
      <c r="AC55" s="264"/>
      <c r="AD55" s="264"/>
      <c r="AE55" s="264"/>
      <c r="AF55" s="264"/>
      <c r="AG55" s="264"/>
      <c r="AH55" s="264"/>
    </row>
    <row r="56" spans="1:34" x14ac:dyDescent="0.25">
      <c r="A56" s="69">
        <v>43191</v>
      </c>
      <c r="B56" s="222" t="e">
        <f t="shared" si="11"/>
        <v>#VALUE!</v>
      </c>
      <c r="C56" s="223" t="e">
        <f>SUMIFS('[3]Weekly Meeting Costs'!P$3:P$24,'[3]Weekly Meeting Costs'!$A$3:$A$24,"&gt;="&amp;($A56+DAY(1)),'[3]Weekly Meeting Costs'!$A$3:$A$24,"&lt;="&amp;$A57)</f>
        <v>#VALUE!</v>
      </c>
      <c r="D56" s="223" t="e">
        <f>SUMIFS('[3]Weekly Meeting Costs'!Q$3:Q$24,'[3]Weekly Meeting Costs'!$A$3:$A$24,"&gt;="&amp;($A56+DAY(1)),'[3]Weekly Meeting Costs'!$A$3:$A$24,"&lt;="&amp;$A57)</f>
        <v>#VALUE!</v>
      </c>
      <c r="E56" s="223" t="e">
        <f>SUMIFS('[3]Weekly Meeting Costs'!R$3:R$24,'[3]Weekly Meeting Costs'!$A$3:$A$24,"&gt;="&amp;($A56+DAY(1)),'[3]Weekly Meeting Costs'!$A$3:$A$24,"&lt;="&amp;$A57)</f>
        <v>#VALUE!</v>
      </c>
      <c r="F56" s="223" t="e">
        <f>SUMIFS('[3]Weekly Meeting Costs'!S$3:S$24,'[3]Weekly Meeting Costs'!$A$3:$A$24,"&gt;="&amp;($A56+DAY(1)),'[3]Weekly Meeting Costs'!$A$3:$A$24,"&lt;="&amp;$A57)</f>
        <v>#VALUE!</v>
      </c>
      <c r="G56" s="223" t="e">
        <f>SUMIFS('[3]Weekly Meeting Costs'!T$3:T$24,'[3]Weekly Meeting Costs'!$A$3:$A$24,"&gt;="&amp;($A56+DAY(1)),'[3]Weekly Meeting Costs'!$A$3:$A$24,"&lt;="&amp;$A57)</f>
        <v>#VALUE!</v>
      </c>
      <c r="H56" s="223" t="e">
        <f>SUMIFS('[3]Weekly Meeting Costs'!U$3:U$24,'[3]Weekly Meeting Costs'!$A$3:$A$24,"&gt;="&amp;($A56+DAY(1)),'[3]Weekly Meeting Costs'!$A$3:$A$24,"&lt;="&amp;$A57)</f>
        <v>#VALUE!</v>
      </c>
      <c r="I56" s="199">
        <v>12</v>
      </c>
      <c r="K56" s="264"/>
      <c r="L56" s="264"/>
      <c r="M56" s="264"/>
      <c r="N56" s="264"/>
      <c r="O56" s="264"/>
      <c r="P56" s="264"/>
      <c r="Q56" s="264"/>
      <c r="R56" s="264"/>
      <c r="S56" s="264"/>
      <c r="T56" s="264"/>
      <c r="U56" s="264"/>
      <c r="V56" s="264"/>
      <c r="W56" s="264"/>
      <c r="X56" s="264"/>
      <c r="Y56" s="264"/>
      <c r="Z56" s="264"/>
      <c r="AA56" s="264"/>
      <c r="AB56" s="264"/>
      <c r="AC56" s="264"/>
      <c r="AD56" s="264"/>
      <c r="AE56" s="264"/>
      <c r="AF56" s="264"/>
      <c r="AG56" s="264"/>
      <c r="AH56" s="264"/>
    </row>
    <row r="57" spans="1:34" x14ac:dyDescent="0.25">
      <c r="A57" s="69">
        <v>43198</v>
      </c>
      <c r="B57" s="222" t="e">
        <f t="shared" si="11"/>
        <v>#VALUE!</v>
      </c>
      <c r="C57" s="223" t="e">
        <f>SUMIFS('[3]Weekly Meeting Costs'!P$3:P$24,'[3]Weekly Meeting Costs'!$A$3:$A$24,"&gt;="&amp;($A57+DAY(1)),'[3]Weekly Meeting Costs'!$A$3:$A$24,"&lt;="&amp;$A58)</f>
        <v>#VALUE!</v>
      </c>
      <c r="D57" s="223" t="e">
        <f>SUMIFS('[3]Weekly Meeting Costs'!Q$3:Q$24,'[3]Weekly Meeting Costs'!$A$3:$A$24,"&gt;="&amp;($A57+DAY(1)),'[3]Weekly Meeting Costs'!$A$3:$A$24,"&lt;="&amp;$A58)</f>
        <v>#VALUE!</v>
      </c>
      <c r="E57" s="223" t="e">
        <f>SUMIFS('[3]Weekly Meeting Costs'!R$3:R$24,'[3]Weekly Meeting Costs'!$A$3:$A$24,"&gt;="&amp;($A57+DAY(1)),'[3]Weekly Meeting Costs'!$A$3:$A$24,"&lt;="&amp;$A58)</f>
        <v>#VALUE!</v>
      </c>
      <c r="F57" s="223" t="e">
        <f>SUMIFS('[3]Weekly Meeting Costs'!S$3:S$24,'[3]Weekly Meeting Costs'!$A$3:$A$24,"&gt;="&amp;($A57+DAY(1)),'[3]Weekly Meeting Costs'!$A$3:$A$24,"&lt;="&amp;$A58)</f>
        <v>#VALUE!</v>
      </c>
      <c r="G57" s="223" t="e">
        <f>SUMIFS('[3]Weekly Meeting Costs'!T$3:T$24,'[3]Weekly Meeting Costs'!$A$3:$A$24,"&gt;="&amp;($A57+DAY(1)),'[3]Weekly Meeting Costs'!$A$3:$A$24,"&lt;="&amp;$A58)</f>
        <v>#VALUE!</v>
      </c>
      <c r="H57" s="223" t="e">
        <f>SUMIFS('[3]Weekly Meeting Costs'!U$3:U$24,'[3]Weekly Meeting Costs'!$A$3:$A$24,"&gt;="&amp;($A57+DAY(1)),'[3]Weekly Meeting Costs'!$A$3:$A$24,"&lt;="&amp;$A58)</f>
        <v>#VALUE!</v>
      </c>
      <c r="I57" s="199">
        <v>13</v>
      </c>
      <c r="K57" s="264"/>
      <c r="L57" s="264"/>
      <c r="M57" s="264"/>
      <c r="N57" s="264"/>
      <c r="O57" s="264"/>
      <c r="P57" s="264"/>
      <c r="Q57" s="264"/>
      <c r="R57" s="264"/>
      <c r="S57" s="264"/>
      <c r="T57" s="264"/>
      <c r="U57" s="264"/>
      <c r="V57" s="264"/>
      <c r="W57" s="264"/>
      <c r="X57" s="264"/>
      <c r="Y57" s="264"/>
      <c r="Z57" s="264"/>
      <c r="AA57" s="264"/>
      <c r="AB57" s="264"/>
      <c r="AC57" s="264"/>
      <c r="AD57" s="264"/>
      <c r="AE57" s="264"/>
      <c r="AF57" s="264"/>
      <c r="AG57" s="264"/>
      <c r="AH57" s="264"/>
    </row>
    <row r="58" spans="1:34" x14ac:dyDescent="0.25">
      <c r="A58" s="69">
        <v>43205</v>
      </c>
      <c r="B58" s="222" t="e">
        <f t="shared" si="11"/>
        <v>#VALUE!</v>
      </c>
      <c r="C58" s="223" t="e">
        <f>SUMIFS('[3]Weekly Meeting Costs'!P$3:P$24,'[3]Weekly Meeting Costs'!$A$3:$A$24,"&gt;="&amp;($A58+DAY(1)),'[3]Weekly Meeting Costs'!$A$3:$A$24,"&lt;="&amp;$A59)</f>
        <v>#VALUE!</v>
      </c>
      <c r="D58" s="223" t="e">
        <f>SUMIFS('[3]Weekly Meeting Costs'!Q$3:Q$24,'[3]Weekly Meeting Costs'!$A$3:$A$24,"&gt;="&amp;($A58+DAY(1)),'[3]Weekly Meeting Costs'!$A$3:$A$24,"&lt;="&amp;$A59)</f>
        <v>#VALUE!</v>
      </c>
      <c r="E58" s="223" t="e">
        <f>SUMIFS('[3]Weekly Meeting Costs'!R$3:R$24,'[3]Weekly Meeting Costs'!$A$3:$A$24,"&gt;="&amp;($A58+DAY(1)),'[3]Weekly Meeting Costs'!$A$3:$A$24,"&lt;="&amp;$A59)</f>
        <v>#VALUE!</v>
      </c>
      <c r="F58" s="223" t="e">
        <f>SUMIFS('[3]Weekly Meeting Costs'!S$3:S$24,'[3]Weekly Meeting Costs'!$A$3:$A$24,"&gt;="&amp;($A58+DAY(1)),'[3]Weekly Meeting Costs'!$A$3:$A$24,"&lt;="&amp;$A59)</f>
        <v>#VALUE!</v>
      </c>
      <c r="G58" s="223" t="e">
        <f>SUMIFS('[3]Weekly Meeting Costs'!T$3:T$24,'[3]Weekly Meeting Costs'!$A$3:$A$24,"&gt;="&amp;($A58+DAY(1)),'[3]Weekly Meeting Costs'!$A$3:$A$24,"&lt;="&amp;$A59)</f>
        <v>#VALUE!</v>
      </c>
      <c r="H58" s="223" t="e">
        <f>SUMIFS('[3]Weekly Meeting Costs'!U$3:U$24,'[3]Weekly Meeting Costs'!$A$3:$A$24,"&gt;="&amp;($A58+DAY(1)),'[3]Weekly Meeting Costs'!$A$3:$A$24,"&lt;="&amp;$A59)</f>
        <v>#VALUE!</v>
      </c>
      <c r="I58" s="199">
        <v>14</v>
      </c>
      <c r="K58" s="266"/>
      <c r="L58" s="266"/>
      <c r="M58" s="266"/>
      <c r="N58" s="266"/>
      <c r="O58" s="266"/>
      <c r="P58" s="266"/>
      <c r="Q58" s="266"/>
      <c r="R58" s="266"/>
      <c r="S58" s="266"/>
      <c r="T58" s="266"/>
      <c r="U58" s="266"/>
      <c r="V58" s="266"/>
      <c r="W58" s="266"/>
      <c r="X58" s="266"/>
      <c r="Y58" s="266"/>
      <c r="Z58" s="266"/>
      <c r="AA58" s="266"/>
      <c r="AB58" s="266"/>
      <c r="AC58" s="266"/>
      <c r="AD58" s="266"/>
      <c r="AE58" s="266"/>
      <c r="AF58" s="266"/>
      <c r="AG58" s="266"/>
      <c r="AH58" s="266"/>
    </row>
    <row r="59" spans="1:34" x14ac:dyDescent="0.25">
      <c r="A59" s="69">
        <v>43212</v>
      </c>
      <c r="B59" s="222" t="e">
        <f t="shared" si="11"/>
        <v>#VALUE!</v>
      </c>
      <c r="C59" s="223" t="e">
        <f>SUMIFS('[3]Weekly Meeting Costs'!P$3:P$24,'[3]Weekly Meeting Costs'!$A$3:$A$24,"&gt;="&amp;($A59+DAY(1)),'[3]Weekly Meeting Costs'!$A$3:$A$24,"&lt;="&amp;$A62)</f>
        <v>#VALUE!</v>
      </c>
      <c r="D59" s="223" t="e">
        <f>SUMIFS('[3]Weekly Meeting Costs'!Q$3:Q$24,'[3]Weekly Meeting Costs'!$A$3:$A$24,"&gt;="&amp;($A59+DAY(1)),'[3]Weekly Meeting Costs'!$A$3:$A$24,"&lt;="&amp;$A62)</f>
        <v>#VALUE!</v>
      </c>
      <c r="E59" s="223" t="e">
        <f>SUMIFS('[3]Weekly Meeting Costs'!R$3:R$24,'[3]Weekly Meeting Costs'!$A$3:$A$24,"&gt;="&amp;($A59+DAY(1)),'[3]Weekly Meeting Costs'!$A$3:$A$24,"&lt;="&amp;$A62)</f>
        <v>#VALUE!</v>
      </c>
      <c r="F59" s="223" t="e">
        <f>SUMIFS('[3]Weekly Meeting Costs'!S$3:S$24,'[3]Weekly Meeting Costs'!$A$3:$A$24,"&gt;="&amp;($A59+DAY(1)),'[3]Weekly Meeting Costs'!$A$3:$A$24,"&lt;="&amp;$A62)</f>
        <v>#VALUE!</v>
      </c>
      <c r="G59" s="223" t="e">
        <f>SUMIFS('[3]Weekly Meeting Costs'!T$3:T$24,'[3]Weekly Meeting Costs'!$A$3:$A$24,"&gt;="&amp;($A59+DAY(1)),'[3]Weekly Meeting Costs'!$A$3:$A$24,"&lt;="&amp;$A62)</f>
        <v>#VALUE!</v>
      </c>
      <c r="H59" s="223" t="e">
        <f>SUMIFS('[3]Weekly Meeting Costs'!U$3:U$24,'[3]Weekly Meeting Costs'!$A$3:$A$24,"&gt;="&amp;($A59+DAY(1)),'[3]Weekly Meeting Costs'!$A$3:$A$24,"&lt;="&amp;$A62)</f>
        <v>#VALUE!</v>
      </c>
      <c r="I59" s="276">
        <v>15</v>
      </c>
    </row>
    <row r="60" spans="1:34" x14ac:dyDescent="0.25">
      <c r="A60" s="69">
        <v>43219</v>
      </c>
      <c r="B60" s="222" t="e">
        <f t="shared" si="11"/>
        <v>#VALUE!</v>
      </c>
      <c r="C60" s="223" t="e">
        <f>SUMIFS('[3]Weekly Meeting Costs'!P$3:P$24,'[3]Weekly Meeting Costs'!$A$3:$A$24,"&gt;="&amp;($A60+DAY(1)),'[3]Weekly Meeting Costs'!$A$3:$A$24,"&lt;="&amp;$A61)</f>
        <v>#VALUE!</v>
      </c>
      <c r="D60" s="223" t="e">
        <f>SUMIFS('[3]Weekly Meeting Costs'!Q$3:Q$24,'[3]Weekly Meeting Costs'!$A$3:$A$24,"&gt;="&amp;($A60+DAY(1)),'[3]Weekly Meeting Costs'!$A$3:$A$24,"&lt;="&amp;$A61)</f>
        <v>#VALUE!</v>
      </c>
      <c r="E60" s="223" t="e">
        <f>SUMIFS('[3]Weekly Meeting Costs'!R$3:R$24,'[3]Weekly Meeting Costs'!$A$3:$A$24,"&gt;="&amp;($A60+DAY(1)),'[3]Weekly Meeting Costs'!$A$3:$A$24,"&lt;="&amp;$A61)</f>
        <v>#VALUE!</v>
      </c>
      <c r="F60" s="223" t="e">
        <f>SUMIFS('[3]Weekly Meeting Costs'!S$3:S$24,'[3]Weekly Meeting Costs'!$A$3:$A$24,"&gt;="&amp;($A60+DAY(1)),'[3]Weekly Meeting Costs'!$A$3:$A$24,"&lt;="&amp;$A61)</f>
        <v>#VALUE!</v>
      </c>
      <c r="G60" s="223" t="e">
        <f>SUMIFS('[3]Weekly Meeting Costs'!T$3:T$24,'[3]Weekly Meeting Costs'!$A$3:$A$24,"&gt;="&amp;($A60+DAY(1)),'[3]Weekly Meeting Costs'!$A$3:$A$24,"&lt;="&amp;$A61)</f>
        <v>#VALUE!</v>
      </c>
      <c r="H60" s="223" t="e">
        <f>SUMIFS('[3]Weekly Meeting Costs'!U$3:U$24,'[3]Weekly Meeting Costs'!$A$3:$A$24,"&gt;="&amp;($A60+DAY(1)),'[3]Weekly Meeting Costs'!$A$3:$A$24,"&lt;="&amp;$A61)</f>
        <v>#VALUE!</v>
      </c>
      <c r="I60" s="199">
        <v>16</v>
      </c>
    </row>
    <row r="61" spans="1:34" x14ac:dyDescent="0.25">
      <c r="A61" s="69">
        <v>43226</v>
      </c>
      <c r="B61" s="222" t="e">
        <f t="shared" si="11"/>
        <v>#VALUE!</v>
      </c>
      <c r="C61" s="223" t="e">
        <f>SUMIFS('[3]Weekly Meeting Costs'!P$3:P$24,'[3]Weekly Meeting Costs'!$A$3:$A$24,"&gt;="&amp;($A61+DAY(1)),'[3]Weekly Meeting Costs'!$A$3:$A$24,"&lt;="&amp;($A61+DAY(8)))</f>
        <v>#VALUE!</v>
      </c>
      <c r="D61" s="223" t="e">
        <f>SUMIFS('[3]Weekly Meeting Costs'!Q$3:Q$24,'[3]Weekly Meeting Costs'!$A$3:$A$24,"&gt;="&amp;($A61+DAY(1)),'[3]Weekly Meeting Costs'!$A$3:$A$24,"&lt;="&amp;($A61+DAY(8)))</f>
        <v>#VALUE!</v>
      </c>
      <c r="E61" s="223" t="e">
        <f>SUMIFS('[3]Weekly Meeting Costs'!R$3:R$24,'[3]Weekly Meeting Costs'!$A$3:$A$24,"&gt;="&amp;($A61+DAY(1)),'[3]Weekly Meeting Costs'!$A$3:$A$24,"&lt;="&amp;($A61+DAY(8)))</f>
        <v>#VALUE!</v>
      </c>
      <c r="F61" s="223" t="e">
        <f>SUMIFS('[3]Weekly Meeting Costs'!S$3:S$24,'[3]Weekly Meeting Costs'!$A$3:$A$24,"&gt;="&amp;($A61+DAY(1)),'[3]Weekly Meeting Costs'!$A$3:$A$24,"&lt;="&amp;($A61+DAY(8)))</f>
        <v>#VALUE!</v>
      </c>
      <c r="G61" s="223" t="e">
        <f>SUMIFS('[3]Weekly Meeting Costs'!T$3:T$24,'[3]Weekly Meeting Costs'!$A$3:$A$24,"&gt;="&amp;($A61+DAY(1)),'[3]Weekly Meeting Costs'!$A$3:$A$24,"&lt;="&amp;($A61+DAY(8)))</f>
        <v>#VALUE!</v>
      </c>
      <c r="H61" s="223" t="e">
        <f>SUMIFS('[3]Weekly Meeting Costs'!U$3:U$24,'[3]Weekly Meeting Costs'!$A$3:$A$24,"&gt;="&amp;($A61+DAY(1)),'[3]Weekly Meeting Costs'!$A$3:$A$24,"&lt;="&amp;($A61+DAY(8)))</f>
        <v>#VALUE!</v>
      </c>
      <c r="I61" s="276">
        <v>17</v>
      </c>
    </row>
    <row r="62" spans="1:34" ht="15.75" thickBot="1" x14ac:dyDescent="0.3">
      <c r="A62" s="147" t="s">
        <v>131</v>
      </c>
      <c r="B62" s="226" t="e">
        <f>SUM(C62:H62)</f>
        <v>#VALUE!</v>
      </c>
      <c r="C62" s="227" t="e">
        <f t="shared" ref="C62:H62" si="12">SUM(C45:C59)</f>
        <v>#VALUE!</v>
      </c>
      <c r="D62" s="228" t="e">
        <f t="shared" si="12"/>
        <v>#VALUE!</v>
      </c>
      <c r="E62" s="228" t="e">
        <f t="shared" si="12"/>
        <v>#VALUE!</v>
      </c>
      <c r="F62" s="228" t="e">
        <f t="shared" si="12"/>
        <v>#VALUE!</v>
      </c>
      <c r="G62" s="228" t="e">
        <f t="shared" si="12"/>
        <v>#VALUE!</v>
      </c>
      <c r="H62" s="229" t="e">
        <f t="shared" si="12"/>
        <v>#VALUE!</v>
      </c>
      <c r="I62" s="196"/>
    </row>
    <row r="64" spans="1:34" ht="15.75" thickBot="1" x14ac:dyDescent="0.3">
      <c r="A64" s="74" t="s">
        <v>168</v>
      </c>
      <c r="I64" s="195"/>
    </row>
    <row r="65" spans="1:9" x14ac:dyDescent="0.25">
      <c r="A65" s="73" t="s">
        <v>135</v>
      </c>
      <c r="B65" s="71" t="s">
        <v>61</v>
      </c>
      <c r="C65" s="72" t="s">
        <v>99</v>
      </c>
      <c r="D65" s="71" t="s">
        <v>64</v>
      </c>
      <c r="E65" s="71" t="s">
        <v>133</v>
      </c>
      <c r="F65" s="71" t="s">
        <v>72</v>
      </c>
      <c r="G65" s="71" t="s">
        <v>132</v>
      </c>
      <c r="H65" s="197" t="s">
        <v>124</v>
      </c>
      <c r="I65" s="70" t="s">
        <v>134</v>
      </c>
    </row>
    <row r="66" spans="1:9" x14ac:dyDescent="0.25">
      <c r="A66" s="69">
        <v>43114</v>
      </c>
      <c r="B66" s="206" t="e">
        <f t="shared" ref="B66:B82" si="13">SUM($C66:$H66)</f>
        <v>#VALUE!</v>
      </c>
      <c r="C66" s="207" t="e">
        <f>SUMIFS('Burn Report'!V$3:V$61,'[1]Burn Report'!$A$3:$A$61,"&gt;="&amp;$A66,'[1]Burn Report'!$A$3:$A$61,"&lt;="&amp;$A67)</f>
        <v>#VALUE!</v>
      </c>
      <c r="D66" s="207" t="e">
        <f>SUMIFS('Burn Report'!W$3:W$61,'[1]Burn Report'!$A$3:$A$61,"&gt;="&amp;$A66,'[1]Burn Report'!$A$3:$A$61,"&lt;="&amp;$A67)</f>
        <v>#VALUE!</v>
      </c>
      <c r="E66" s="207" t="e">
        <f>SUMIFS('Burn Report'!X$3:X$61,'[1]Burn Report'!$A$3:$A$61,"&gt;="&amp;$A66,'[1]Burn Report'!$A$3:$A$61,"&lt;="&amp;$A67)</f>
        <v>#VALUE!</v>
      </c>
      <c r="F66" s="207" t="e">
        <f>SUMIFS('Burn Report'!Y$3:Y$61,'[1]Burn Report'!$A$3:$A$61,"&gt;="&amp;$A66,'[1]Burn Report'!$A$3:$A$61,"&lt;="&amp;$A67)</f>
        <v>#VALUE!</v>
      </c>
      <c r="G66" s="207" t="e">
        <f>SUMIFS('Burn Report'!Z$3:Z$61,'[1]Burn Report'!$A$3:$A$61,"&gt;="&amp;$A66,'[1]Burn Report'!$A$3:$A$61,"&lt;="&amp;$A67)</f>
        <v>#VALUE!</v>
      </c>
      <c r="H66" s="207" t="e">
        <f>SUMIFS('Burn Report'!AA$3:AA$61,'[1]Burn Report'!$A$3:$A$61,"&gt;="&amp;$A66,'[1]Burn Report'!$A$3:$A$61,"&lt;="&amp;$A67)</f>
        <v>#VALUE!</v>
      </c>
      <c r="I66" s="198">
        <v>1</v>
      </c>
    </row>
    <row r="67" spans="1:9" x14ac:dyDescent="0.25">
      <c r="A67" s="69">
        <v>43121</v>
      </c>
      <c r="B67" s="206" t="e">
        <f t="shared" si="13"/>
        <v>#VALUE!</v>
      </c>
      <c r="C67" s="207" t="e">
        <f>SUMIFS('Burn Report'!V$3:V$61,'[1]Burn Report'!$A$3:$A$61,"&gt;="&amp;($A67+DAY(1)),'[1]Burn Report'!$A$3:$A$61,"&lt;="&amp;$A68)</f>
        <v>#VALUE!</v>
      </c>
      <c r="D67" s="207" t="e">
        <f>SUMIFS('Burn Report'!W$3:W$61,'[1]Burn Report'!$A$3:$A$61,"&gt;="&amp;($A67+DAY(1)),'[1]Burn Report'!$A$3:$A$61,"&lt;="&amp;$A68)</f>
        <v>#VALUE!</v>
      </c>
      <c r="E67" s="207" t="e">
        <f>SUMIFS('Burn Report'!X$3:X$61,'[1]Burn Report'!$A$3:$A$61,"&gt;="&amp;($A67+DAY(1)),'[1]Burn Report'!$A$3:$A$61,"&lt;="&amp;$A68)</f>
        <v>#VALUE!</v>
      </c>
      <c r="F67" s="207" t="e">
        <f>SUMIFS('Burn Report'!Y$3:Y$61,'[1]Burn Report'!$A$3:$A$61,"&gt;="&amp;($A67+DAY(1)),'[1]Burn Report'!$A$3:$A$61,"&lt;="&amp;$A68)</f>
        <v>#VALUE!</v>
      </c>
      <c r="G67" s="207" t="e">
        <f>SUMIFS('Burn Report'!Z$3:Z$61,'[1]Burn Report'!$A$3:$A$61,"&gt;="&amp;($A67+DAY(1)),'[1]Burn Report'!$A$3:$A$61,"&lt;="&amp;$A68)</f>
        <v>#VALUE!</v>
      </c>
      <c r="H67" s="207" t="e">
        <f>SUMIFS('Burn Report'!AA$3:AA$61,'[1]Burn Report'!$A$3:$A$61,"&gt;="&amp;($A67+DAY(1)),'[1]Burn Report'!$A$3:$A$61,"&lt;="&amp;$A68)</f>
        <v>#VALUE!</v>
      </c>
      <c r="I67" s="199">
        <v>2</v>
      </c>
    </row>
    <row r="68" spans="1:9" x14ac:dyDescent="0.25">
      <c r="A68" s="69">
        <v>43128</v>
      </c>
      <c r="B68" s="206" t="e">
        <f t="shared" si="13"/>
        <v>#VALUE!</v>
      </c>
      <c r="C68" s="207" t="e">
        <f>SUMIFS('Burn Report'!V$3:V$61,'[1]Burn Report'!$A$3:$A$61,"&gt;="&amp;($A68+DAY(1)),'[1]Burn Report'!$A$3:$A$61,"&lt;="&amp;$A69)</f>
        <v>#VALUE!</v>
      </c>
      <c r="D68" s="207" t="e">
        <f>SUMIFS('Burn Report'!W$3:W$61,'[1]Burn Report'!$A$3:$A$61,"&gt;="&amp;($A68+DAY(1)),'[1]Burn Report'!$A$3:$A$61,"&lt;="&amp;$A69)</f>
        <v>#VALUE!</v>
      </c>
      <c r="E68" s="207" t="e">
        <f>SUMIFS('Burn Report'!X$3:X$61,'[1]Burn Report'!$A$3:$A$61,"&gt;="&amp;($A68+DAY(1)),'[1]Burn Report'!$A$3:$A$61,"&lt;="&amp;$A69)</f>
        <v>#VALUE!</v>
      </c>
      <c r="F68" s="207" t="e">
        <f>SUMIFS('Burn Report'!Y$3:Y$61,'[1]Burn Report'!$A$3:$A$61,"&gt;="&amp;($A68+DAY(1)),'[1]Burn Report'!$A$3:$A$61,"&lt;="&amp;$A69)</f>
        <v>#VALUE!</v>
      </c>
      <c r="G68" s="207" t="e">
        <f>SUMIFS('Burn Report'!Z$3:Z$61,'[1]Burn Report'!$A$3:$A$61,"&gt;="&amp;($A68+DAY(1)),'[1]Burn Report'!$A$3:$A$61,"&lt;="&amp;$A69)</f>
        <v>#VALUE!</v>
      </c>
      <c r="H68" s="207" t="e">
        <f>SUMIFS('Burn Report'!AA$3:AA$61,'[1]Burn Report'!$A$3:$A$61,"&gt;="&amp;($A68+DAY(1)),'[1]Burn Report'!$A$3:$A$61,"&lt;="&amp;$A69)</f>
        <v>#VALUE!</v>
      </c>
      <c r="I68" s="199">
        <v>3</v>
      </c>
    </row>
    <row r="69" spans="1:9" x14ac:dyDescent="0.25">
      <c r="A69" s="69">
        <v>43135</v>
      </c>
      <c r="B69" s="206" t="e">
        <f t="shared" si="13"/>
        <v>#VALUE!</v>
      </c>
      <c r="C69" s="207" t="e">
        <f>SUMIFS('Burn Report'!V$3:V$61,'[1]Burn Report'!$A$3:$A$61,"&gt;="&amp;($A69+DAY(1)),'[1]Burn Report'!$A$3:$A$61,"&lt;="&amp;$A70)</f>
        <v>#VALUE!</v>
      </c>
      <c r="D69" s="207" t="e">
        <f>SUMIFS('Burn Report'!W$3:W$61,'[1]Burn Report'!$A$3:$A$61,"&gt;="&amp;($A69+DAY(1)),'[1]Burn Report'!$A$3:$A$61,"&lt;="&amp;$A70)</f>
        <v>#VALUE!</v>
      </c>
      <c r="E69" s="207" t="e">
        <f>SUMIFS('Burn Report'!X$3:X$61,'[1]Burn Report'!$A$3:$A$61,"&gt;="&amp;($A69+DAY(1)),'[1]Burn Report'!$A$3:$A$61,"&lt;="&amp;$A70)</f>
        <v>#VALUE!</v>
      </c>
      <c r="F69" s="207" t="e">
        <f>SUMIFS('Burn Report'!Y$3:Y$61,'[1]Burn Report'!$A$3:$A$61,"&gt;="&amp;($A69+DAY(1)),'[1]Burn Report'!$A$3:$A$61,"&lt;="&amp;$A70)</f>
        <v>#VALUE!</v>
      </c>
      <c r="G69" s="207" t="e">
        <f>SUMIFS('Burn Report'!Z$3:Z$61,'[1]Burn Report'!$A$3:$A$61,"&gt;="&amp;($A69+DAY(1)),'[1]Burn Report'!$A$3:$A$61,"&lt;="&amp;$A70)</f>
        <v>#VALUE!</v>
      </c>
      <c r="H69" s="207" t="e">
        <f>SUMIFS('Burn Report'!AA$3:AA$61,'[1]Burn Report'!$A$3:$A$61,"&gt;="&amp;($A69+DAY(1)),'[1]Burn Report'!$A$3:$A$61,"&lt;="&amp;$A70)</f>
        <v>#VALUE!</v>
      </c>
      <c r="I69" s="199">
        <v>4</v>
      </c>
    </row>
    <row r="70" spans="1:9" x14ac:dyDescent="0.25">
      <c r="A70" s="69">
        <v>43142</v>
      </c>
      <c r="B70" s="206" t="e">
        <f t="shared" si="13"/>
        <v>#VALUE!</v>
      </c>
      <c r="C70" s="207" t="e">
        <f>SUMIFS('Burn Report'!V$3:V$61,'[1]Burn Report'!$A$3:$A$61,"&gt;="&amp;($A70+DAY(1)),'[1]Burn Report'!$A$3:$A$61,"&lt;="&amp;$A71)</f>
        <v>#VALUE!</v>
      </c>
      <c r="D70" s="207" t="e">
        <f>SUMIFS('Burn Report'!W$3:W$61,'[1]Burn Report'!$A$3:$A$61,"&gt;="&amp;($A70+DAY(1)),'[1]Burn Report'!$A$3:$A$61,"&lt;="&amp;$A71)</f>
        <v>#VALUE!</v>
      </c>
      <c r="E70" s="207" t="e">
        <f>SUMIFS('Burn Report'!X$3:X$61,'[1]Burn Report'!$A$3:$A$61,"&gt;="&amp;($A70+DAY(1)),'[1]Burn Report'!$A$3:$A$61,"&lt;="&amp;$A71)</f>
        <v>#VALUE!</v>
      </c>
      <c r="F70" s="207" t="e">
        <f>SUMIFS('Burn Report'!Y$3:Y$61,'[1]Burn Report'!$A$3:$A$61,"&gt;="&amp;($A70+DAY(1)),'[1]Burn Report'!$A$3:$A$61,"&lt;="&amp;$A71)</f>
        <v>#VALUE!</v>
      </c>
      <c r="G70" s="207" t="e">
        <f>SUMIFS('Burn Report'!Z$3:Z$61,'[1]Burn Report'!$A$3:$A$61,"&gt;="&amp;($A70+DAY(1)),'[1]Burn Report'!$A$3:$A$61,"&lt;="&amp;$A71)</f>
        <v>#VALUE!</v>
      </c>
      <c r="H70" s="207" t="e">
        <f>SUMIFS('Burn Report'!AA$3:AA$61,'[1]Burn Report'!$A$3:$A$61,"&gt;="&amp;($A70+DAY(1)),'[1]Burn Report'!$A$3:$A$61,"&lt;="&amp;$A71)</f>
        <v>#VALUE!</v>
      </c>
      <c r="I70" s="199">
        <v>5</v>
      </c>
    </row>
    <row r="71" spans="1:9" x14ac:dyDescent="0.25">
      <c r="A71" s="69">
        <v>43149</v>
      </c>
      <c r="B71" s="206" t="e">
        <f t="shared" si="13"/>
        <v>#VALUE!</v>
      </c>
      <c r="C71" s="207" t="e">
        <f>SUMIFS('Burn Report'!V$3:V$61,'[1]Burn Report'!$A$3:$A$61,"&gt;="&amp;($A71+DAY(1)),'[1]Burn Report'!$A$3:$A$61,"&lt;="&amp;$A72)</f>
        <v>#VALUE!</v>
      </c>
      <c r="D71" s="207" t="e">
        <f>SUMIFS('Burn Report'!W$3:W$61,'[1]Burn Report'!$A$3:$A$61,"&gt;="&amp;($A71+DAY(1)),'[1]Burn Report'!$A$3:$A$61,"&lt;="&amp;$A72)</f>
        <v>#VALUE!</v>
      </c>
      <c r="E71" s="207" t="e">
        <f>SUMIFS('Burn Report'!X$3:X$61,'[1]Burn Report'!$A$3:$A$61,"&gt;="&amp;($A71+DAY(1)),'[1]Burn Report'!$A$3:$A$61,"&lt;="&amp;$A72)</f>
        <v>#VALUE!</v>
      </c>
      <c r="F71" s="207" t="e">
        <f>SUMIFS('Burn Report'!Y$3:Y$61,'[1]Burn Report'!$A$3:$A$61,"&gt;="&amp;($A71+DAY(1)),'[1]Burn Report'!$A$3:$A$61,"&lt;="&amp;$A72)</f>
        <v>#VALUE!</v>
      </c>
      <c r="G71" s="207" t="e">
        <f>SUMIFS('Burn Report'!Z$3:Z$61,'[1]Burn Report'!$A$3:$A$61,"&gt;="&amp;($A71+DAY(1)),'[1]Burn Report'!$A$3:$A$61,"&lt;="&amp;$A72)</f>
        <v>#VALUE!</v>
      </c>
      <c r="H71" s="207" t="e">
        <f>SUMIFS('Burn Report'!AA$3:AA$61,'[1]Burn Report'!$A$3:$A$61,"&gt;="&amp;($A71+DAY(1)),'[1]Burn Report'!$A$3:$A$61,"&lt;="&amp;$A72)</f>
        <v>#VALUE!</v>
      </c>
      <c r="I71" s="199">
        <v>6</v>
      </c>
    </row>
    <row r="72" spans="1:9" x14ac:dyDescent="0.25">
      <c r="A72" s="69">
        <v>43156</v>
      </c>
      <c r="B72" s="206" t="e">
        <f t="shared" si="13"/>
        <v>#VALUE!</v>
      </c>
      <c r="C72" s="207" t="e">
        <f>SUMIFS('Burn Report'!V$3:V$61,'[1]Burn Report'!$A$3:$A$61,"&gt;="&amp;($A72+DAY(1)),'[1]Burn Report'!$A$3:$A$61,"&lt;="&amp;$A73)</f>
        <v>#VALUE!</v>
      </c>
      <c r="D72" s="207" t="e">
        <f>SUMIFS('Burn Report'!W$3:W$61,'[1]Burn Report'!$A$3:$A$61,"&gt;="&amp;($A72+DAY(1)),'[1]Burn Report'!$A$3:$A$61,"&lt;="&amp;$A73)</f>
        <v>#VALUE!</v>
      </c>
      <c r="E72" s="207" t="e">
        <f>SUMIFS('Burn Report'!X$3:X$61,'[1]Burn Report'!$A$3:$A$61,"&gt;="&amp;($A72+DAY(1)),'[1]Burn Report'!$A$3:$A$61,"&lt;="&amp;$A73)</f>
        <v>#VALUE!</v>
      </c>
      <c r="F72" s="207" t="e">
        <f>SUMIFS('Burn Report'!Y$3:Y$61,'[1]Burn Report'!$A$3:$A$61,"&gt;="&amp;($A72+DAY(1)),'[1]Burn Report'!$A$3:$A$61,"&lt;="&amp;$A73)</f>
        <v>#VALUE!</v>
      </c>
      <c r="G72" s="207" t="e">
        <f>SUMIFS('Burn Report'!Z$3:Z$61,'[1]Burn Report'!$A$3:$A$61,"&gt;="&amp;($A72+DAY(1)),'[1]Burn Report'!$A$3:$A$61,"&lt;="&amp;$A73)</f>
        <v>#VALUE!</v>
      </c>
      <c r="H72" s="207" t="e">
        <f>SUMIFS('Burn Report'!AA$3:AA$61,'[1]Burn Report'!$A$3:$A$61,"&gt;="&amp;($A72+DAY(1)),'[1]Burn Report'!$A$3:$A$61,"&lt;="&amp;$A73)</f>
        <v>#VALUE!</v>
      </c>
      <c r="I72" s="199">
        <v>7</v>
      </c>
    </row>
    <row r="73" spans="1:9" x14ac:dyDescent="0.25">
      <c r="A73" s="69">
        <v>43163</v>
      </c>
      <c r="B73" s="206" t="e">
        <f t="shared" si="13"/>
        <v>#VALUE!</v>
      </c>
      <c r="C73" s="207" t="e">
        <f>SUMIFS('Burn Report'!V$3:V$61,'[1]Burn Report'!$A$3:$A$61,"&gt;="&amp;($A73+DAY(1)),'[1]Burn Report'!$A$3:$A$61,"&lt;="&amp;$A74)</f>
        <v>#VALUE!</v>
      </c>
      <c r="D73" s="207" t="e">
        <f>SUMIFS('Burn Report'!W$3:W$61,'[1]Burn Report'!$A$3:$A$61,"&gt;="&amp;($A73+DAY(1)),'[1]Burn Report'!$A$3:$A$61,"&lt;="&amp;$A74)</f>
        <v>#VALUE!</v>
      </c>
      <c r="E73" s="207" t="e">
        <f>SUMIFS('Burn Report'!X$3:X$61,'[1]Burn Report'!$A$3:$A$61,"&gt;="&amp;($A73+DAY(1)),'[1]Burn Report'!$A$3:$A$61,"&lt;="&amp;$A74)</f>
        <v>#VALUE!</v>
      </c>
      <c r="F73" s="207" t="e">
        <f>SUMIFS('Burn Report'!Y$3:Y$61,'[1]Burn Report'!$A$3:$A$61,"&gt;="&amp;($A73+DAY(1)),'[1]Burn Report'!$A$3:$A$61,"&lt;="&amp;$A74)</f>
        <v>#VALUE!</v>
      </c>
      <c r="G73" s="207" t="e">
        <f>SUMIFS('Burn Report'!Z$3:Z$61,'[1]Burn Report'!$A$3:$A$61,"&gt;="&amp;($A73+DAY(1)),'[1]Burn Report'!$A$3:$A$61,"&lt;="&amp;$A74)</f>
        <v>#VALUE!</v>
      </c>
      <c r="H73" s="207" t="e">
        <f>SUMIFS('Burn Report'!AA$3:AA$61,'[1]Burn Report'!$A$3:$A$61,"&gt;="&amp;($A73+DAY(1)),'[1]Burn Report'!$A$3:$A$61,"&lt;="&amp;$A74)</f>
        <v>#VALUE!</v>
      </c>
      <c r="I73" s="199">
        <v>8</v>
      </c>
    </row>
    <row r="74" spans="1:9" x14ac:dyDescent="0.25">
      <c r="A74" s="69">
        <v>43170</v>
      </c>
      <c r="B74" s="206" t="e">
        <f t="shared" si="13"/>
        <v>#VALUE!</v>
      </c>
      <c r="C74" s="207" t="e">
        <f>SUMIFS('Burn Report'!V$3:V$61,'[1]Burn Report'!$A$3:$A$61,"&gt;="&amp;($A74+DAY(1)),'[1]Burn Report'!$A$3:$A$61,"&lt;="&amp;$A75)</f>
        <v>#VALUE!</v>
      </c>
      <c r="D74" s="207" t="e">
        <f>SUMIFS('Burn Report'!W$3:W$61,'[1]Burn Report'!$A$3:$A$61,"&gt;="&amp;($A74+DAY(1)),'[1]Burn Report'!$A$3:$A$61,"&lt;="&amp;$A75)</f>
        <v>#VALUE!</v>
      </c>
      <c r="E74" s="207" t="e">
        <f>SUMIFS('Burn Report'!X$3:X$61,'[1]Burn Report'!$A$3:$A$61,"&gt;="&amp;($A74+DAY(1)),'[1]Burn Report'!$A$3:$A$61,"&lt;="&amp;$A75)</f>
        <v>#VALUE!</v>
      </c>
      <c r="F74" s="207" t="e">
        <f>SUMIFS('Burn Report'!Y$3:Y$61,'[1]Burn Report'!$A$3:$A$61,"&gt;="&amp;($A74+DAY(1)),'[1]Burn Report'!$A$3:$A$61,"&lt;="&amp;$A75)</f>
        <v>#VALUE!</v>
      </c>
      <c r="G74" s="207" t="e">
        <f>SUMIFS('Burn Report'!Z$3:Z$61,'[1]Burn Report'!$A$3:$A$61,"&gt;="&amp;($A74+DAY(1)),'[1]Burn Report'!$A$3:$A$61,"&lt;="&amp;$A75)</f>
        <v>#VALUE!</v>
      </c>
      <c r="H74" s="207" t="e">
        <f>SUMIFS('Burn Report'!AA$3:AA$61,'[1]Burn Report'!$A$3:$A$61,"&gt;="&amp;($A74+DAY(1)),'[1]Burn Report'!$A$3:$A$61,"&lt;="&amp;$A75)</f>
        <v>#VALUE!</v>
      </c>
      <c r="I74" s="199">
        <v>9</v>
      </c>
    </row>
    <row r="75" spans="1:9" x14ac:dyDescent="0.25">
      <c r="A75" s="69">
        <v>43177</v>
      </c>
      <c r="B75" s="206" t="e">
        <f t="shared" si="13"/>
        <v>#VALUE!</v>
      </c>
      <c r="C75" s="207" t="e">
        <f>SUMIFS('Burn Report'!V$3:V$61,'[1]Burn Report'!$A$3:$A$61,"&gt;="&amp;($A75+DAY(1)),'[1]Burn Report'!$A$3:$A$61,"&lt;="&amp;$A76)</f>
        <v>#VALUE!</v>
      </c>
      <c r="D75" s="207" t="e">
        <f>SUMIFS('Burn Report'!W$3:W$61,'[1]Burn Report'!$A$3:$A$61,"&gt;="&amp;($A75+DAY(1)),'[1]Burn Report'!$A$3:$A$61,"&lt;="&amp;$A76)</f>
        <v>#VALUE!</v>
      </c>
      <c r="E75" s="207" t="e">
        <f>SUMIFS('Burn Report'!X$3:X$61,'[1]Burn Report'!$A$3:$A$61,"&gt;="&amp;($A75+DAY(1)),'[1]Burn Report'!$A$3:$A$61,"&lt;="&amp;$A76)</f>
        <v>#VALUE!</v>
      </c>
      <c r="F75" s="207" t="e">
        <f>SUMIFS('Burn Report'!Y$3:Y$61,'[1]Burn Report'!$A$3:$A$61,"&gt;="&amp;($A75+DAY(1)),'[1]Burn Report'!$A$3:$A$61,"&lt;="&amp;$A76)</f>
        <v>#VALUE!</v>
      </c>
      <c r="G75" s="207" t="e">
        <f>SUMIFS('Burn Report'!Z$3:Z$61,'[1]Burn Report'!$A$3:$A$61,"&gt;="&amp;($A75+DAY(1)),'[1]Burn Report'!$A$3:$A$61,"&lt;="&amp;$A76)</f>
        <v>#VALUE!</v>
      </c>
      <c r="H75" s="207" t="e">
        <f>SUMIFS('Burn Report'!AA$3:AA$61,'[1]Burn Report'!$A$3:$A$61,"&gt;="&amp;($A75+DAY(1)),'[1]Burn Report'!$A$3:$A$61,"&lt;="&amp;$A76)</f>
        <v>#VALUE!</v>
      </c>
      <c r="I75" s="199">
        <v>10</v>
      </c>
    </row>
    <row r="76" spans="1:9" x14ac:dyDescent="0.25">
      <c r="A76" s="69">
        <v>43184</v>
      </c>
      <c r="B76" s="206" t="e">
        <f t="shared" si="13"/>
        <v>#VALUE!</v>
      </c>
      <c r="C76" s="207" t="e">
        <f>SUMIFS('Burn Report'!V$3:V$61,'[1]Burn Report'!$A$3:$A$61,"&gt;="&amp;($A76+DAY(1)),'[1]Burn Report'!$A$3:$A$61,"&lt;="&amp;$A77)</f>
        <v>#VALUE!</v>
      </c>
      <c r="D76" s="207" t="e">
        <f>SUMIFS('Burn Report'!W$3:W$61,'[1]Burn Report'!$A$3:$A$61,"&gt;="&amp;($A76+DAY(1)),'[1]Burn Report'!$A$3:$A$61,"&lt;="&amp;$A77)</f>
        <v>#VALUE!</v>
      </c>
      <c r="E76" s="207" t="e">
        <f>SUMIFS('Burn Report'!X$3:X$61,'[1]Burn Report'!$A$3:$A$61,"&gt;="&amp;($A76+DAY(1)),'[1]Burn Report'!$A$3:$A$61,"&lt;="&amp;$A77)</f>
        <v>#VALUE!</v>
      </c>
      <c r="F76" s="207" t="e">
        <f>SUMIFS('Burn Report'!Y$3:Y$61,'[1]Burn Report'!$A$3:$A$61,"&gt;="&amp;($A76+DAY(1)),'[1]Burn Report'!$A$3:$A$61,"&lt;="&amp;$A77)</f>
        <v>#VALUE!</v>
      </c>
      <c r="G76" s="207" t="e">
        <f>SUMIFS('Burn Report'!Z$3:Z$61,'[1]Burn Report'!$A$3:$A$61,"&gt;="&amp;($A76+DAY(1)),'[1]Burn Report'!$A$3:$A$61,"&lt;="&amp;$A77)</f>
        <v>#VALUE!</v>
      </c>
      <c r="H76" s="207" t="e">
        <f>SUMIFS('Burn Report'!AA$3:AA$61,'[1]Burn Report'!$A$3:$A$61,"&gt;="&amp;($A76+DAY(1)),'[1]Burn Report'!$A$3:$A$61,"&lt;="&amp;$A77)</f>
        <v>#VALUE!</v>
      </c>
      <c r="I76" s="199">
        <v>11</v>
      </c>
    </row>
    <row r="77" spans="1:9" x14ac:dyDescent="0.25">
      <c r="A77" s="69">
        <v>43191</v>
      </c>
      <c r="B77" s="206" t="e">
        <f t="shared" si="13"/>
        <v>#VALUE!</v>
      </c>
      <c r="C77" s="207" t="e">
        <f>SUMIFS('Burn Report'!V$3:V$61,'[1]Burn Report'!$A$3:$A$61,"&gt;="&amp;($A77+DAY(1)),'[1]Burn Report'!$A$3:$A$61,"&lt;="&amp;$A78)</f>
        <v>#VALUE!</v>
      </c>
      <c r="D77" s="207" t="e">
        <f>SUMIFS('Burn Report'!W$3:W$61,'[1]Burn Report'!$A$3:$A$61,"&gt;="&amp;($A77+DAY(1)),'[1]Burn Report'!$A$3:$A$61,"&lt;="&amp;$A78)</f>
        <v>#VALUE!</v>
      </c>
      <c r="E77" s="207" t="e">
        <f>SUMIFS('Burn Report'!X$3:X$61,'[1]Burn Report'!$A$3:$A$61,"&gt;="&amp;($A77+DAY(1)),'[1]Burn Report'!$A$3:$A$61,"&lt;="&amp;$A78)</f>
        <v>#VALUE!</v>
      </c>
      <c r="F77" s="207" t="e">
        <f>SUMIFS('Burn Report'!Y$3:Y$61,'[1]Burn Report'!$A$3:$A$61,"&gt;="&amp;($A77+DAY(1)),'[1]Burn Report'!$A$3:$A$61,"&lt;="&amp;$A78)</f>
        <v>#VALUE!</v>
      </c>
      <c r="G77" s="207" t="e">
        <f>SUMIFS('Burn Report'!Z$3:Z$61,'[1]Burn Report'!$A$3:$A$61,"&gt;="&amp;($A77+DAY(1)),'[1]Burn Report'!$A$3:$A$61,"&lt;="&amp;$A78)</f>
        <v>#VALUE!</v>
      </c>
      <c r="H77" s="207" t="e">
        <f>SUMIFS('Burn Report'!AA$3:AA$61,'[1]Burn Report'!$A$3:$A$61,"&gt;="&amp;($A77+DAY(1)),'[1]Burn Report'!$A$3:$A$61,"&lt;="&amp;$A78)</f>
        <v>#VALUE!</v>
      </c>
      <c r="I77" s="199">
        <v>12</v>
      </c>
    </row>
    <row r="78" spans="1:9" x14ac:dyDescent="0.25">
      <c r="A78" s="69">
        <v>43198</v>
      </c>
      <c r="B78" s="206" t="e">
        <f t="shared" si="13"/>
        <v>#VALUE!</v>
      </c>
      <c r="C78" s="207" t="e">
        <f>SUMIFS('Burn Report'!V$3:V$61,'[1]Burn Report'!$A$3:$A$61,"&gt;="&amp;($A78+DAY(1)),'[1]Burn Report'!$A$3:$A$61,"&lt;="&amp;$A79)</f>
        <v>#VALUE!</v>
      </c>
      <c r="D78" s="207" t="e">
        <f>SUMIFS('Burn Report'!W$3:W$61,'[1]Burn Report'!$A$3:$A$61,"&gt;="&amp;($A78+DAY(1)),'[1]Burn Report'!$A$3:$A$61,"&lt;="&amp;$A79)</f>
        <v>#VALUE!</v>
      </c>
      <c r="E78" s="207" t="e">
        <f>SUMIFS('Burn Report'!X$3:X$61,'[1]Burn Report'!$A$3:$A$61,"&gt;="&amp;($A78+DAY(1)),'[1]Burn Report'!$A$3:$A$61,"&lt;="&amp;$A79)</f>
        <v>#VALUE!</v>
      </c>
      <c r="F78" s="207" t="e">
        <f>SUMIFS('Burn Report'!Y$3:Y$61,'[1]Burn Report'!$A$3:$A$61,"&gt;="&amp;($A78+DAY(1)),'[1]Burn Report'!$A$3:$A$61,"&lt;="&amp;$A79)</f>
        <v>#VALUE!</v>
      </c>
      <c r="G78" s="207" t="e">
        <f>SUMIFS('Burn Report'!Z$3:Z$61,'[1]Burn Report'!$A$3:$A$61,"&gt;="&amp;($A78+DAY(1)),'[1]Burn Report'!$A$3:$A$61,"&lt;="&amp;$A79)</f>
        <v>#VALUE!</v>
      </c>
      <c r="H78" s="207" t="e">
        <f>SUMIFS('Burn Report'!AA$3:AA$61,'[1]Burn Report'!$A$3:$A$61,"&gt;="&amp;($A78+DAY(1)),'[1]Burn Report'!$A$3:$A$61,"&lt;="&amp;$A79)</f>
        <v>#VALUE!</v>
      </c>
      <c r="I78" s="199">
        <v>13</v>
      </c>
    </row>
    <row r="79" spans="1:9" x14ac:dyDescent="0.25">
      <c r="A79" s="69">
        <v>43205</v>
      </c>
      <c r="B79" s="206" t="e">
        <f t="shared" si="13"/>
        <v>#VALUE!</v>
      </c>
      <c r="C79" s="207" t="e">
        <f>SUMIFS('Burn Report'!V$3:V$61,'[1]Burn Report'!$A$3:$A$61,"&gt;="&amp;($A79+DAY(1)),'[1]Burn Report'!$A$3:$A$61,"&lt;="&amp;$A80)</f>
        <v>#VALUE!</v>
      </c>
      <c r="D79" s="207" t="e">
        <f>SUMIFS('Burn Report'!W$3:W$61,'[1]Burn Report'!$A$3:$A$61,"&gt;="&amp;($A79+DAY(1)),'[1]Burn Report'!$A$3:$A$61,"&lt;="&amp;$A80)</f>
        <v>#VALUE!</v>
      </c>
      <c r="E79" s="207" t="e">
        <f>SUMIFS('Burn Report'!X$3:X$61,'[1]Burn Report'!$A$3:$A$61,"&gt;="&amp;($A79+DAY(1)),'[1]Burn Report'!$A$3:$A$61,"&lt;="&amp;$A80)</f>
        <v>#VALUE!</v>
      </c>
      <c r="F79" s="207" t="e">
        <f>SUMIFS('Burn Report'!Y$3:Y$61,'[1]Burn Report'!$A$3:$A$61,"&gt;="&amp;($A79+DAY(1)),'[1]Burn Report'!$A$3:$A$61,"&lt;="&amp;$A80)</f>
        <v>#VALUE!</v>
      </c>
      <c r="G79" s="207" t="e">
        <f>SUMIFS('Burn Report'!Z$3:Z$61,'[1]Burn Report'!$A$3:$A$61,"&gt;="&amp;($A79+DAY(1)),'[1]Burn Report'!$A$3:$A$61,"&lt;="&amp;$A80)</f>
        <v>#VALUE!</v>
      </c>
      <c r="H79" s="207" t="e">
        <f>SUMIFS('Burn Report'!AA$3:AA$61,'[1]Burn Report'!$A$3:$A$61,"&gt;="&amp;($A79+DAY(1)),'[1]Burn Report'!$A$3:$A$61,"&lt;="&amp;$A80)</f>
        <v>#VALUE!</v>
      </c>
      <c r="I79" s="199">
        <v>14</v>
      </c>
    </row>
    <row r="80" spans="1:9" x14ac:dyDescent="0.25">
      <c r="A80" s="69">
        <v>43212</v>
      </c>
      <c r="B80" s="206" t="e">
        <f t="shared" si="13"/>
        <v>#VALUE!</v>
      </c>
      <c r="C80" s="207" t="e">
        <f>SUMIFS('Burn Report'!V$3:V$61,'[1]Burn Report'!$A$3:$A$61,"&gt;="&amp;($A80+DAY(1)),'[1]Burn Report'!$A$3:$A$61,"&lt;="&amp;$A83)</f>
        <v>#VALUE!</v>
      </c>
      <c r="D80" s="207" t="e">
        <f>SUMIFS('Burn Report'!W$3:W$61,'[1]Burn Report'!$A$3:$A$61,"&gt;="&amp;($A80+DAY(1)),'[1]Burn Report'!$A$3:$A$61,"&lt;="&amp;$A83)</f>
        <v>#VALUE!</v>
      </c>
      <c r="E80" s="207" t="e">
        <f>SUMIFS('Burn Report'!X$3:X$61,'[1]Burn Report'!$A$3:$A$61,"&gt;="&amp;($A80+DAY(1)),'[1]Burn Report'!$A$3:$A$61,"&lt;="&amp;$A83)</f>
        <v>#VALUE!</v>
      </c>
      <c r="F80" s="207" t="e">
        <f>SUMIFS('Burn Report'!Y$3:Y$61,'[1]Burn Report'!$A$3:$A$61,"&gt;="&amp;($A80+DAY(1)),'[1]Burn Report'!$A$3:$A$61,"&lt;="&amp;$A83)</f>
        <v>#VALUE!</v>
      </c>
      <c r="G80" s="207" t="e">
        <f>SUMIFS('Burn Report'!Z$3:Z$61,'[1]Burn Report'!$A$3:$A$61,"&gt;="&amp;($A80+DAY(1)),'[1]Burn Report'!$A$3:$A$61,"&lt;="&amp;$A83)</f>
        <v>#VALUE!</v>
      </c>
      <c r="H80" s="207" t="e">
        <f>SUMIFS('Burn Report'!AA$3:AA$61,'[1]Burn Report'!$A$3:$A$61,"&gt;="&amp;($A80+DAY(1)),'[1]Burn Report'!$A$3:$A$61,"&lt;="&amp;$A83)</f>
        <v>#VALUE!</v>
      </c>
      <c r="I80" s="199">
        <v>15</v>
      </c>
    </row>
    <row r="81" spans="1:9" x14ac:dyDescent="0.25">
      <c r="A81" s="69">
        <v>43219</v>
      </c>
      <c r="B81" s="206" t="e">
        <f t="shared" si="13"/>
        <v>#VALUE!</v>
      </c>
      <c r="C81" s="207" t="e">
        <f>SUMIFS('Burn Report'!V$3:V$61,'[1]Burn Report'!$A$3:$A$61,"&gt;="&amp;($A81+DAY(1)),'[1]Burn Report'!$A$3:$A$61,"&lt;="&amp;$A82)</f>
        <v>#VALUE!</v>
      </c>
      <c r="D81" s="207" t="e">
        <f>SUMIFS('Burn Report'!W$3:W$61,'[1]Burn Report'!$A$3:$A$61,"&gt;="&amp;($A81+DAY(1)),'[1]Burn Report'!$A$3:$A$61,"&lt;="&amp;$A82)</f>
        <v>#VALUE!</v>
      </c>
      <c r="E81" s="207" t="e">
        <f>SUMIFS('Burn Report'!X$3:X$61,'[1]Burn Report'!$A$3:$A$61,"&gt;="&amp;($A81+DAY(1)),'[1]Burn Report'!$A$3:$A$61,"&lt;="&amp;$A82)</f>
        <v>#VALUE!</v>
      </c>
      <c r="F81" s="207" t="e">
        <f>SUMIFS('Burn Report'!Y$3:Y$61,'[1]Burn Report'!$A$3:$A$61,"&gt;="&amp;($A81+DAY(1)),'[1]Burn Report'!$A$3:$A$61,"&lt;="&amp;$A82)</f>
        <v>#VALUE!</v>
      </c>
      <c r="G81" s="207" t="e">
        <f>SUMIFS('Burn Report'!Z$3:Z$61,'[1]Burn Report'!$A$3:$A$61,"&gt;="&amp;($A81+DAY(1)),'[1]Burn Report'!$A$3:$A$61,"&lt;="&amp;$A82)</f>
        <v>#VALUE!</v>
      </c>
      <c r="H81" s="207" t="e">
        <f>SUMIFS('Burn Report'!AA$3:AA$61,'[1]Burn Report'!$A$3:$A$61,"&gt;="&amp;($A81+DAY(1)),'[1]Burn Report'!$A$3:$A$61,"&lt;="&amp;$A82)</f>
        <v>#VALUE!</v>
      </c>
      <c r="I81" s="199">
        <v>16</v>
      </c>
    </row>
    <row r="82" spans="1:9" x14ac:dyDescent="0.25">
      <c r="A82" s="69">
        <v>43226</v>
      </c>
      <c r="B82" s="206" t="e">
        <f t="shared" si="13"/>
        <v>#VALUE!</v>
      </c>
      <c r="C82" s="207" t="e">
        <f>SUMIFS('Burn Report'!V$3:V$61,'[1]Burn Report'!$A$3:$A$61,"&gt;="&amp;($A82+DAY(1)),'[1]Burn Report'!$A$3:$A$61,"&lt;="&amp;($A82+DAY(8)))</f>
        <v>#VALUE!</v>
      </c>
      <c r="D82" s="207" t="e">
        <f>SUMIFS('Burn Report'!W$3:W$61,'[1]Burn Report'!$A$3:$A$61,"&gt;="&amp;($A82+DAY(1)),'[1]Burn Report'!$A$3:$A$61,"&lt;="&amp;($A82+DAY(8)))</f>
        <v>#VALUE!</v>
      </c>
      <c r="E82" s="207" t="e">
        <f>SUMIFS('Burn Report'!X$3:X$61,'[1]Burn Report'!$A$3:$A$61,"&gt;="&amp;($A82+DAY(1)),'[1]Burn Report'!$A$3:$A$61,"&lt;="&amp;($A82+DAY(8)))</f>
        <v>#VALUE!</v>
      </c>
      <c r="F82" s="207" t="e">
        <f>SUMIFS('Burn Report'!Y$3:Y$61,'[1]Burn Report'!$A$3:$A$61,"&gt;="&amp;($A82+DAY(1)),'[1]Burn Report'!$A$3:$A$61,"&lt;="&amp;($A82+DAY(8)))</f>
        <v>#VALUE!</v>
      </c>
      <c r="G82" s="207" t="e">
        <f>SUMIFS('Burn Report'!Z$3:Z$61,'[1]Burn Report'!$A$3:$A$61,"&gt;="&amp;($A82+DAY(1)),'[1]Burn Report'!$A$3:$A$61,"&lt;="&amp;($A82+DAY(8)))</f>
        <v>#VALUE!</v>
      </c>
      <c r="H82" s="207" t="e">
        <f>SUMIFS('Burn Report'!AA$3:AA$61,'[1]Burn Report'!$A$3:$A$61,"&gt;="&amp;($A82+DAY(1)),'[1]Burn Report'!$A$3:$A$61,"&lt;="&amp;($A82+DAY(8)))</f>
        <v>#VALUE!</v>
      </c>
      <c r="I82" s="199">
        <v>17</v>
      </c>
    </row>
    <row r="83" spans="1:9" ht="15.75" thickBot="1" x14ac:dyDescent="0.3">
      <c r="A83" s="145" t="s">
        <v>131</v>
      </c>
      <c r="B83" s="146" t="e">
        <f>SUM(C83:H83)</f>
        <v>#VALUE!</v>
      </c>
      <c r="C83" s="200" t="e">
        <f t="shared" ref="C83:H83" si="14">SUM(C66:C80)</f>
        <v>#VALUE!</v>
      </c>
      <c r="D83" s="201" t="e">
        <f t="shared" si="14"/>
        <v>#VALUE!</v>
      </c>
      <c r="E83" s="201" t="e">
        <f t="shared" si="14"/>
        <v>#VALUE!</v>
      </c>
      <c r="F83" s="201" t="e">
        <f t="shared" si="14"/>
        <v>#VALUE!</v>
      </c>
      <c r="G83" s="201" t="e">
        <f t="shared" si="14"/>
        <v>#VALUE!</v>
      </c>
      <c r="H83" s="202" t="e">
        <f t="shared" si="14"/>
        <v>#VALUE!</v>
      </c>
      <c r="I83" s="275"/>
    </row>
    <row r="85" spans="1:9" ht="15.75" thickBot="1" x14ac:dyDescent="0.3">
      <c r="A85" s="74" t="s">
        <v>169</v>
      </c>
      <c r="I85" s="195"/>
    </row>
    <row r="86" spans="1:9" x14ac:dyDescent="0.25">
      <c r="A86" s="73" t="s">
        <v>135</v>
      </c>
      <c r="B86" s="71" t="s">
        <v>134</v>
      </c>
      <c r="C86" s="72" t="s">
        <v>99</v>
      </c>
      <c r="D86" s="71" t="s">
        <v>64</v>
      </c>
      <c r="E86" s="71" t="s">
        <v>133</v>
      </c>
      <c r="F86" s="71" t="s">
        <v>72</v>
      </c>
      <c r="G86" s="71" t="s">
        <v>132</v>
      </c>
      <c r="H86" s="197" t="s">
        <v>124</v>
      </c>
      <c r="I86" s="70" t="s">
        <v>134</v>
      </c>
    </row>
    <row r="87" spans="1:9" x14ac:dyDescent="0.25">
      <c r="A87" s="69">
        <v>43114</v>
      </c>
      <c r="B87" s="206" t="e">
        <f>SUM(C87:H87)</f>
        <v>#VALUE!</v>
      </c>
      <c r="C87" s="207" t="e">
        <f>SUMIFS('[3]Weekly Meeting Costs'!X$3:X$24,'[3]Weekly Meeting Costs'!$A$3:$A$24,"&gt;="&amp;$A87,'[3]Weekly Meeting Costs'!$A$3:$A$24,"&lt;="&amp;$A88)</f>
        <v>#VALUE!</v>
      </c>
      <c r="D87" s="207" t="e">
        <f>SUMIFS('[3]Weekly Meeting Costs'!Y$3:Y$24,'[3]Weekly Meeting Costs'!$A$3:$A$24,"&gt;="&amp;$A87,'[3]Weekly Meeting Costs'!$A$3:$A$24,"&lt;="&amp;$A88)</f>
        <v>#VALUE!</v>
      </c>
      <c r="E87" s="207" t="e">
        <f>SUMIFS('[3]Weekly Meeting Costs'!Z$3:Z$24,'[3]Weekly Meeting Costs'!$A$3:$A$24,"&gt;="&amp;$A87,'[3]Weekly Meeting Costs'!$A$3:$A$24,"&lt;="&amp;$A88)</f>
        <v>#VALUE!</v>
      </c>
      <c r="F87" s="207" t="e">
        <f>SUMIFS('[3]Weekly Meeting Costs'!AA$3:AA$24,'[3]Weekly Meeting Costs'!$A$3:$A$24,"&gt;="&amp;$A87,'[3]Weekly Meeting Costs'!$A$3:$A$24,"&lt;="&amp;$A88)</f>
        <v>#VALUE!</v>
      </c>
      <c r="G87" s="207" t="e">
        <f>SUMIFS('[3]Weekly Meeting Costs'!AB$3:AB$24,'[3]Weekly Meeting Costs'!$A$3:$A$24,"&gt;="&amp;$A87,'[3]Weekly Meeting Costs'!$A$3:$A$24,"&lt;="&amp;$A88)</f>
        <v>#VALUE!</v>
      </c>
      <c r="H87" s="207" t="e">
        <f>SUMIFS('[3]Weekly Meeting Costs'!AC$3:AC$24,'[3]Weekly Meeting Costs'!$A$3:$A$24,"&gt;="&amp;$A87,'[3]Weekly Meeting Costs'!$A$3:$A$24,"&lt;="&amp;$A88)</f>
        <v>#VALUE!</v>
      </c>
      <c r="I87" s="198">
        <v>1</v>
      </c>
    </row>
    <row r="88" spans="1:9" x14ac:dyDescent="0.25">
      <c r="A88" s="69">
        <v>43121</v>
      </c>
      <c r="B88" s="206" t="e">
        <f t="shared" ref="B88:B103" si="15">SUM(C88:H88)</f>
        <v>#VALUE!</v>
      </c>
      <c r="C88" s="207" t="e">
        <f>SUMIFS('[3]Weekly Meeting Costs'!X$3:X$24,'[3]Weekly Meeting Costs'!$A$3:$A$24,"&gt;="&amp;($A88+DAY(1)),'[3]Weekly Meeting Costs'!$A$3:$A$24,"&lt;="&amp;$A89)</f>
        <v>#VALUE!</v>
      </c>
      <c r="D88" s="207" t="e">
        <f>SUMIFS('[3]Weekly Meeting Costs'!Y$3:Y$24,'[3]Weekly Meeting Costs'!$A$3:$A$24,"&gt;="&amp;($A88+DAY(1)),'[3]Weekly Meeting Costs'!$A$3:$A$24,"&lt;="&amp;$A89)</f>
        <v>#VALUE!</v>
      </c>
      <c r="E88" s="207" t="e">
        <f>SUMIFS('[3]Weekly Meeting Costs'!Z$3:Z$24,'[3]Weekly Meeting Costs'!$A$3:$A$24,"&gt;="&amp;($A88+DAY(1)),'[3]Weekly Meeting Costs'!$A$3:$A$24,"&lt;="&amp;$A89)</f>
        <v>#VALUE!</v>
      </c>
      <c r="F88" s="207" t="e">
        <f>SUMIFS('[3]Weekly Meeting Costs'!AA$3:AA$24,'[3]Weekly Meeting Costs'!$A$3:$A$24,"&gt;="&amp;($A88+DAY(1)),'[3]Weekly Meeting Costs'!$A$3:$A$24,"&lt;="&amp;$A89)</f>
        <v>#VALUE!</v>
      </c>
      <c r="G88" s="207" t="e">
        <f>SUMIFS('[3]Weekly Meeting Costs'!AB$3:AB$24,'[3]Weekly Meeting Costs'!$A$3:$A$24,"&gt;="&amp;($A88+DAY(1)),'[3]Weekly Meeting Costs'!$A$3:$A$24,"&lt;="&amp;$A89)</f>
        <v>#VALUE!</v>
      </c>
      <c r="H88" s="207" t="e">
        <f>SUMIFS('[3]Weekly Meeting Costs'!AC$3:AC$24,'[3]Weekly Meeting Costs'!$A$3:$A$24,"&gt;="&amp;($A88+DAY(1)),'[3]Weekly Meeting Costs'!$A$3:$A$24,"&lt;="&amp;$A89)</f>
        <v>#VALUE!</v>
      </c>
      <c r="I88" s="199">
        <v>2</v>
      </c>
    </row>
    <row r="89" spans="1:9" x14ac:dyDescent="0.25">
      <c r="A89" s="69">
        <v>43128</v>
      </c>
      <c r="B89" s="206" t="e">
        <f t="shared" si="15"/>
        <v>#VALUE!</v>
      </c>
      <c r="C89" s="207" t="e">
        <f>SUMIFS('[3]Weekly Meeting Costs'!X$3:X$24,'[3]Weekly Meeting Costs'!$A$3:$A$24,"&gt;="&amp;($A89+DAY(1)),'[3]Weekly Meeting Costs'!$A$3:$A$24,"&lt;="&amp;$A90)</f>
        <v>#VALUE!</v>
      </c>
      <c r="D89" s="207" t="e">
        <f>SUMIFS('[3]Weekly Meeting Costs'!Y$3:Y$24,'[3]Weekly Meeting Costs'!$A$3:$A$24,"&gt;="&amp;($A89+DAY(1)),'[3]Weekly Meeting Costs'!$A$3:$A$24,"&lt;="&amp;$A90)</f>
        <v>#VALUE!</v>
      </c>
      <c r="E89" s="207" t="e">
        <f>SUMIFS('[3]Weekly Meeting Costs'!Z$3:Z$24,'[3]Weekly Meeting Costs'!$A$3:$A$24,"&gt;="&amp;($A89+DAY(1)),'[3]Weekly Meeting Costs'!$A$3:$A$24,"&lt;="&amp;$A90)</f>
        <v>#VALUE!</v>
      </c>
      <c r="F89" s="207" t="e">
        <f>SUMIFS('[3]Weekly Meeting Costs'!AA$3:AA$24,'[3]Weekly Meeting Costs'!$A$3:$A$24,"&gt;="&amp;($A89+DAY(1)),'[3]Weekly Meeting Costs'!$A$3:$A$24,"&lt;="&amp;$A90)</f>
        <v>#VALUE!</v>
      </c>
      <c r="G89" s="207" t="e">
        <f>SUMIFS('[3]Weekly Meeting Costs'!AB$3:AB$24,'[3]Weekly Meeting Costs'!$A$3:$A$24,"&gt;="&amp;($A89+DAY(1)),'[3]Weekly Meeting Costs'!$A$3:$A$24,"&lt;="&amp;$A90)</f>
        <v>#VALUE!</v>
      </c>
      <c r="H89" s="207" t="e">
        <f>SUMIFS('[3]Weekly Meeting Costs'!AC$3:AC$24,'[3]Weekly Meeting Costs'!$A$3:$A$24,"&gt;="&amp;($A89+DAY(1)),'[3]Weekly Meeting Costs'!$A$3:$A$24,"&lt;="&amp;$A90)</f>
        <v>#VALUE!</v>
      </c>
      <c r="I89" s="199">
        <v>3</v>
      </c>
    </row>
    <row r="90" spans="1:9" x14ac:dyDescent="0.25">
      <c r="A90" s="69">
        <v>43135</v>
      </c>
      <c r="B90" s="206" t="e">
        <f t="shared" si="15"/>
        <v>#VALUE!</v>
      </c>
      <c r="C90" s="207" t="e">
        <f>SUMIFS('[3]Weekly Meeting Costs'!X$3:X$24,'[3]Weekly Meeting Costs'!$A$3:$A$24,"&gt;="&amp;($A90+DAY(1)),'[3]Weekly Meeting Costs'!$A$3:$A$24,"&lt;="&amp;$A91)</f>
        <v>#VALUE!</v>
      </c>
      <c r="D90" s="207" t="e">
        <f>SUMIFS('[3]Weekly Meeting Costs'!Y$3:Y$24,'[3]Weekly Meeting Costs'!$A$3:$A$24,"&gt;="&amp;($A90+DAY(1)),'[3]Weekly Meeting Costs'!$A$3:$A$24,"&lt;="&amp;$A91)</f>
        <v>#VALUE!</v>
      </c>
      <c r="E90" s="207" t="e">
        <f>SUMIFS('[3]Weekly Meeting Costs'!Z$3:Z$24,'[3]Weekly Meeting Costs'!$A$3:$A$24,"&gt;="&amp;($A90+DAY(1)),'[3]Weekly Meeting Costs'!$A$3:$A$24,"&lt;="&amp;$A91)</f>
        <v>#VALUE!</v>
      </c>
      <c r="F90" s="207" t="e">
        <f>SUMIFS('[3]Weekly Meeting Costs'!AA$3:AA$24,'[3]Weekly Meeting Costs'!$A$3:$A$24,"&gt;="&amp;($A90+DAY(1)),'[3]Weekly Meeting Costs'!$A$3:$A$24,"&lt;="&amp;$A91)</f>
        <v>#VALUE!</v>
      </c>
      <c r="G90" s="207" t="e">
        <f>SUMIFS('[3]Weekly Meeting Costs'!AB$3:AB$24,'[3]Weekly Meeting Costs'!$A$3:$A$24,"&gt;="&amp;($A90+DAY(1)),'[3]Weekly Meeting Costs'!$A$3:$A$24,"&lt;="&amp;$A91)</f>
        <v>#VALUE!</v>
      </c>
      <c r="H90" s="207" t="e">
        <f>SUMIFS('[3]Weekly Meeting Costs'!AC$3:AC$24,'[3]Weekly Meeting Costs'!$A$3:$A$24,"&gt;="&amp;($A90+DAY(1)),'[3]Weekly Meeting Costs'!$A$3:$A$24,"&lt;="&amp;$A91)</f>
        <v>#VALUE!</v>
      </c>
      <c r="I90" s="199">
        <v>4</v>
      </c>
    </row>
    <row r="91" spans="1:9" x14ac:dyDescent="0.25">
      <c r="A91" s="69">
        <v>43142</v>
      </c>
      <c r="B91" s="206" t="e">
        <f t="shared" si="15"/>
        <v>#VALUE!</v>
      </c>
      <c r="C91" s="207" t="e">
        <f>SUMIFS('[3]Weekly Meeting Costs'!X$3:X$24,'[3]Weekly Meeting Costs'!$A$3:$A$24,"&gt;="&amp;($A91+DAY(1)),'[3]Weekly Meeting Costs'!$A$3:$A$24,"&lt;="&amp;$A92)</f>
        <v>#VALUE!</v>
      </c>
      <c r="D91" s="207" t="e">
        <f>SUMIFS('[3]Weekly Meeting Costs'!Y$3:Y$24,'[3]Weekly Meeting Costs'!$A$3:$A$24,"&gt;="&amp;($A91+DAY(1)),'[3]Weekly Meeting Costs'!$A$3:$A$24,"&lt;="&amp;$A92)</f>
        <v>#VALUE!</v>
      </c>
      <c r="E91" s="207" t="e">
        <f>SUMIFS('[3]Weekly Meeting Costs'!Z$3:Z$24,'[3]Weekly Meeting Costs'!$A$3:$A$24,"&gt;="&amp;($A91+DAY(1)),'[3]Weekly Meeting Costs'!$A$3:$A$24,"&lt;="&amp;$A92)</f>
        <v>#VALUE!</v>
      </c>
      <c r="F91" s="207" t="e">
        <f>SUMIFS('[3]Weekly Meeting Costs'!AA$3:AA$24,'[3]Weekly Meeting Costs'!$A$3:$A$24,"&gt;="&amp;($A91+DAY(1)),'[3]Weekly Meeting Costs'!$A$3:$A$24,"&lt;="&amp;$A92)</f>
        <v>#VALUE!</v>
      </c>
      <c r="G91" s="207" t="e">
        <f>SUMIFS('[3]Weekly Meeting Costs'!AB$3:AB$24,'[3]Weekly Meeting Costs'!$A$3:$A$24,"&gt;="&amp;($A91+DAY(1)),'[3]Weekly Meeting Costs'!$A$3:$A$24,"&lt;="&amp;$A92)</f>
        <v>#VALUE!</v>
      </c>
      <c r="H91" s="207" t="e">
        <f>SUMIFS('[3]Weekly Meeting Costs'!AC$3:AC$24,'[3]Weekly Meeting Costs'!$A$3:$A$24,"&gt;="&amp;($A91+DAY(1)),'[3]Weekly Meeting Costs'!$A$3:$A$24,"&lt;="&amp;$A92)</f>
        <v>#VALUE!</v>
      </c>
      <c r="I91" s="199">
        <v>5</v>
      </c>
    </row>
    <row r="92" spans="1:9" x14ac:dyDescent="0.25">
      <c r="A92" s="69">
        <v>43149</v>
      </c>
      <c r="B92" s="206" t="e">
        <f t="shared" si="15"/>
        <v>#VALUE!</v>
      </c>
      <c r="C92" s="207" t="e">
        <f>SUMIFS('[3]Weekly Meeting Costs'!X$3:X$24,'[3]Weekly Meeting Costs'!$A$3:$A$24,"&gt;="&amp;($A92+DAY(1)),'[3]Weekly Meeting Costs'!$A$3:$A$24,"&lt;="&amp;$A93)</f>
        <v>#VALUE!</v>
      </c>
      <c r="D92" s="207" t="e">
        <f>SUMIFS('[3]Weekly Meeting Costs'!Y$3:Y$24,'[3]Weekly Meeting Costs'!$A$3:$A$24,"&gt;="&amp;($A92+DAY(1)),'[3]Weekly Meeting Costs'!$A$3:$A$24,"&lt;="&amp;$A93)</f>
        <v>#VALUE!</v>
      </c>
      <c r="E92" s="207" t="e">
        <f>SUMIFS('[3]Weekly Meeting Costs'!Z$3:Z$24,'[3]Weekly Meeting Costs'!$A$3:$A$24,"&gt;="&amp;($A92+DAY(1)),'[3]Weekly Meeting Costs'!$A$3:$A$24,"&lt;="&amp;$A93)</f>
        <v>#VALUE!</v>
      </c>
      <c r="F92" s="207" t="e">
        <f>SUMIFS('[3]Weekly Meeting Costs'!AA$3:AA$24,'[3]Weekly Meeting Costs'!$A$3:$A$24,"&gt;="&amp;($A92+DAY(1)),'[3]Weekly Meeting Costs'!$A$3:$A$24,"&lt;="&amp;$A93)</f>
        <v>#VALUE!</v>
      </c>
      <c r="G92" s="207" t="e">
        <f>SUMIFS('[3]Weekly Meeting Costs'!AB$3:AB$24,'[3]Weekly Meeting Costs'!$A$3:$A$24,"&gt;="&amp;($A92+DAY(1)),'[3]Weekly Meeting Costs'!$A$3:$A$24,"&lt;="&amp;$A93)</f>
        <v>#VALUE!</v>
      </c>
      <c r="H92" s="207" t="e">
        <f>SUMIFS('[3]Weekly Meeting Costs'!AC$3:AC$24,'[3]Weekly Meeting Costs'!$A$3:$A$24,"&gt;="&amp;($A92+DAY(1)),'[3]Weekly Meeting Costs'!$A$3:$A$24,"&lt;="&amp;$A93)</f>
        <v>#VALUE!</v>
      </c>
      <c r="I92" s="199">
        <v>6</v>
      </c>
    </row>
    <row r="93" spans="1:9" x14ac:dyDescent="0.25">
      <c r="A93" s="69">
        <v>43156</v>
      </c>
      <c r="B93" s="206" t="e">
        <f t="shared" si="15"/>
        <v>#VALUE!</v>
      </c>
      <c r="C93" s="207" t="e">
        <f>SUMIFS('[3]Weekly Meeting Costs'!X$3:X$24,'[3]Weekly Meeting Costs'!$A$3:$A$24,"&gt;="&amp;($A93+DAY(1)),'[3]Weekly Meeting Costs'!$A$3:$A$24,"&lt;="&amp;$A94)</f>
        <v>#VALUE!</v>
      </c>
      <c r="D93" s="207" t="e">
        <f>SUMIFS('[3]Weekly Meeting Costs'!Y$3:Y$24,'[3]Weekly Meeting Costs'!$A$3:$A$24,"&gt;="&amp;($A93+DAY(1)),'[3]Weekly Meeting Costs'!$A$3:$A$24,"&lt;="&amp;$A94)</f>
        <v>#VALUE!</v>
      </c>
      <c r="E93" s="207" t="e">
        <f>SUMIFS('[3]Weekly Meeting Costs'!Z$3:Z$24,'[3]Weekly Meeting Costs'!$A$3:$A$24,"&gt;="&amp;($A93+DAY(1)),'[3]Weekly Meeting Costs'!$A$3:$A$24,"&lt;="&amp;$A94)</f>
        <v>#VALUE!</v>
      </c>
      <c r="F93" s="207" t="e">
        <f>SUMIFS('[3]Weekly Meeting Costs'!AA$3:AA$24,'[3]Weekly Meeting Costs'!$A$3:$A$24,"&gt;="&amp;($A93+DAY(1)),'[3]Weekly Meeting Costs'!$A$3:$A$24,"&lt;="&amp;$A94)</f>
        <v>#VALUE!</v>
      </c>
      <c r="G93" s="207" t="e">
        <f>SUMIFS('[3]Weekly Meeting Costs'!AB$3:AB$24,'[3]Weekly Meeting Costs'!$A$3:$A$24,"&gt;="&amp;($A93+DAY(1)),'[3]Weekly Meeting Costs'!$A$3:$A$24,"&lt;="&amp;$A94)</f>
        <v>#VALUE!</v>
      </c>
      <c r="H93" s="207" t="e">
        <f>SUMIFS('[3]Weekly Meeting Costs'!AC$3:AC$24,'[3]Weekly Meeting Costs'!$A$3:$A$24,"&gt;="&amp;($A93+DAY(1)),'[3]Weekly Meeting Costs'!$A$3:$A$24,"&lt;="&amp;$A94)</f>
        <v>#VALUE!</v>
      </c>
      <c r="I93" s="199">
        <v>7</v>
      </c>
    </row>
    <row r="94" spans="1:9" x14ac:dyDescent="0.25">
      <c r="A94" s="69">
        <v>43163</v>
      </c>
      <c r="B94" s="206" t="e">
        <f t="shared" si="15"/>
        <v>#VALUE!</v>
      </c>
      <c r="C94" s="207" t="e">
        <f>SUMIFS('[3]Weekly Meeting Costs'!X$3:X$24,'[3]Weekly Meeting Costs'!$A$3:$A$24,"&gt;="&amp;($A94+DAY(1)),'[3]Weekly Meeting Costs'!$A$3:$A$24,"&lt;="&amp;$A95)</f>
        <v>#VALUE!</v>
      </c>
      <c r="D94" s="207" t="e">
        <f>SUMIFS('[3]Weekly Meeting Costs'!Y$3:Y$24,'[3]Weekly Meeting Costs'!$A$3:$A$24,"&gt;="&amp;($A94+DAY(1)),'[3]Weekly Meeting Costs'!$A$3:$A$24,"&lt;="&amp;$A95)</f>
        <v>#VALUE!</v>
      </c>
      <c r="E94" s="207" t="e">
        <f>SUMIFS('[3]Weekly Meeting Costs'!Z$3:Z$24,'[3]Weekly Meeting Costs'!$A$3:$A$24,"&gt;="&amp;($A94+DAY(1)),'[3]Weekly Meeting Costs'!$A$3:$A$24,"&lt;="&amp;$A95)</f>
        <v>#VALUE!</v>
      </c>
      <c r="F94" s="207" t="e">
        <f>SUMIFS('[3]Weekly Meeting Costs'!AA$3:AA$24,'[3]Weekly Meeting Costs'!$A$3:$A$24,"&gt;="&amp;($A94+DAY(1)),'[3]Weekly Meeting Costs'!$A$3:$A$24,"&lt;="&amp;$A95)</f>
        <v>#VALUE!</v>
      </c>
      <c r="G94" s="207" t="e">
        <f>SUMIFS('[3]Weekly Meeting Costs'!AB$3:AB$24,'[3]Weekly Meeting Costs'!$A$3:$A$24,"&gt;="&amp;($A94+DAY(1)),'[3]Weekly Meeting Costs'!$A$3:$A$24,"&lt;="&amp;$A95)</f>
        <v>#VALUE!</v>
      </c>
      <c r="H94" s="207" t="e">
        <f>SUMIFS('[3]Weekly Meeting Costs'!AC$3:AC$24,'[3]Weekly Meeting Costs'!$A$3:$A$24,"&gt;="&amp;($A94+DAY(1)),'[3]Weekly Meeting Costs'!$A$3:$A$24,"&lt;="&amp;$A95)</f>
        <v>#VALUE!</v>
      </c>
      <c r="I94" s="199">
        <v>8</v>
      </c>
    </row>
    <row r="95" spans="1:9" x14ac:dyDescent="0.25">
      <c r="A95" s="69">
        <v>43170</v>
      </c>
      <c r="B95" s="206" t="e">
        <f t="shared" si="15"/>
        <v>#VALUE!</v>
      </c>
      <c r="C95" s="207" t="e">
        <f>SUMIFS('[3]Weekly Meeting Costs'!X$3:X$24,'[3]Weekly Meeting Costs'!$A$3:$A$24,"&gt;="&amp;($A95+DAY(1)),'[3]Weekly Meeting Costs'!$A$3:$A$24,"&lt;="&amp;$A96)</f>
        <v>#VALUE!</v>
      </c>
      <c r="D95" s="207" t="e">
        <f>SUMIFS('[3]Weekly Meeting Costs'!Y$3:Y$24,'[3]Weekly Meeting Costs'!$A$3:$A$24,"&gt;="&amp;($A95+DAY(1)),'[3]Weekly Meeting Costs'!$A$3:$A$24,"&lt;="&amp;$A96)</f>
        <v>#VALUE!</v>
      </c>
      <c r="E95" s="207" t="e">
        <f>SUMIFS('[3]Weekly Meeting Costs'!Z$3:Z$24,'[3]Weekly Meeting Costs'!$A$3:$A$24,"&gt;="&amp;($A95+DAY(1)),'[3]Weekly Meeting Costs'!$A$3:$A$24,"&lt;="&amp;$A96)</f>
        <v>#VALUE!</v>
      </c>
      <c r="F95" s="207" t="e">
        <f>SUMIFS('[3]Weekly Meeting Costs'!AA$3:AA$24,'[3]Weekly Meeting Costs'!$A$3:$A$24,"&gt;="&amp;($A95+DAY(1)),'[3]Weekly Meeting Costs'!$A$3:$A$24,"&lt;="&amp;$A96)</f>
        <v>#VALUE!</v>
      </c>
      <c r="G95" s="207" t="e">
        <f>SUMIFS('[3]Weekly Meeting Costs'!AB$3:AB$24,'[3]Weekly Meeting Costs'!$A$3:$A$24,"&gt;="&amp;($A95+DAY(1)),'[3]Weekly Meeting Costs'!$A$3:$A$24,"&lt;="&amp;$A96)</f>
        <v>#VALUE!</v>
      </c>
      <c r="H95" s="207" t="e">
        <f>SUMIFS('[3]Weekly Meeting Costs'!AC$3:AC$24,'[3]Weekly Meeting Costs'!$A$3:$A$24,"&gt;="&amp;($A95+DAY(1)),'[3]Weekly Meeting Costs'!$A$3:$A$24,"&lt;="&amp;$A96)</f>
        <v>#VALUE!</v>
      </c>
      <c r="I95" s="199">
        <v>9</v>
      </c>
    </row>
    <row r="96" spans="1:9" x14ac:dyDescent="0.25">
      <c r="A96" s="69">
        <v>43177</v>
      </c>
      <c r="B96" s="206" t="e">
        <f t="shared" si="15"/>
        <v>#VALUE!</v>
      </c>
      <c r="C96" s="207" t="e">
        <f>SUMIFS('[3]Weekly Meeting Costs'!X$3:X$24,'[3]Weekly Meeting Costs'!$A$3:$A$24,"&gt;="&amp;($A96+DAY(1)),'[3]Weekly Meeting Costs'!$A$3:$A$24,"&lt;="&amp;$A97)</f>
        <v>#VALUE!</v>
      </c>
      <c r="D96" s="207" t="e">
        <f>SUMIFS('[3]Weekly Meeting Costs'!Y$3:Y$24,'[3]Weekly Meeting Costs'!$A$3:$A$24,"&gt;="&amp;($A96+DAY(1)),'[3]Weekly Meeting Costs'!$A$3:$A$24,"&lt;="&amp;$A97)</f>
        <v>#VALUE!</v>
      </c>
      <c r="E96" s="207" t="e">
        <f>SUMIFS('[3]Weekly Meeting Costs'!Z$3:Z$24,'[3]Weekly Meeting Costs'!$A$3:$A$24,"&gt;="&amp;($A96+DAY(1)),'[3]Weekly Meeting Costs'!$A$3:$A$24,"&lt;="&amp;$A97)</f>
        <v>#VALUE!</v>
      </c>
      <c r="F96" s="207" t="e">
        <f>SUMIFS('[3]Weekly Meeting Costs'!AA$3:AA$24,'[3]Weekly Meeting Costs'!$A$3:$A$24,"&gt;="&amp;($A96+DAY(1)),'[3]Weekly Meeting Costs'!$A$3:$A$24,"&lt;="&amp;$A97)</f>
        <v>#VALUE!</v>
      </c>
      <c r="G96" s="207" t="e">
        <f>SUMIFS('[3]Weekly Meeting Costs'!AB$3:AB$24,'[3]Weekly Meeting Costs'!$A$3:$A$24,"&gt;="&amp;($A96+DAY(1)),'[3]Weekly Meeting Costs'!$A$3:$A$24,"&lt;="&amp;$A97)</f>
        <v>#VALUE!</v>
      </c>
      <c r="H96" s="207" t="e">
        <f>SUMIFS('[3]Weekly Meeting Costs'!AC$3:AC$24,'[3]Weekly Meeting Costs'!$A$3:$A$24,"&gt;="&amp;($A96+DAY(1)),'[3]Weekly Meeting Costs'!$A$3:$A$24,"&lt;="&amp;$A97)</f>
        <v>#VALUE!</v>
      </c>
      <c r="I96" s="199">
        <v>10</v>
      </c>
    </row>
    <row r="97" spans="1:9" x14ac:dyDescent="0.25">
      <c r="A97" s="69">
        <v>43184</v>
      </c>
      <c r="B97" s="206" t="e">
        <f t="shared" si="15"/>
        <v>#VALUE!</v>
      </c>
      <c r="C97" s="207" t="e">
        <f>SUMIFS('[3]Weekly Meeting Costs'!X$3:X$24,'[3]Weekly Meeting Costs'!$A$3:$A$24,"&gt;="&amp;($A97+DAY(1)),'[3]Weekly Meeting Costs'!$A$3:$A$24,"&lt;="&amp;$A98)</f>
        <v>#VALUE!</v>
      </c>
      <c r="D97" s="207" t="e">
        <f>SUMIFS('[3]Weekly Meeting Costs'!Y$3:Y$24,'[3]Weekly Meeting Costs'!$A$3:$A$24,"&gt;="&amp;($A97+DAY(1)),'[3]Weekly Meeting Costs'!$A$3:$A$24,"&lt;="&amp;$A98)</f>
        <v>#VALUE!</v>
      </c>
      <c r="E97" s="207" t="e">
        <f>SUMIFS('[3]Weekly Meeting Costs'!Z$3:Z$24,'[3]Weekly Meeting Costs'!$A$3:$A$24,"&gt;="&amp;($A97+DAY(1)),'[3]Weekly Meeting Costs'!$A$3:$A$24,"&lt;="&amp;$A98)</f>
        <v>#VALUE!</v>
      </c>
      <c r="F97" s="207" t="e">
        <f>SUMIFS('[3]Weekly Meeting Costs'!AA$3:AA$24,'[3]Weekly Meeting Costs'!$A$3:$A$24,"&gt;="&amp;($A97+DAY(1)),'[3]Weekly Meeting Costs'!$A$3:$A$24,"&lt;="&amp;$A98)</f>
        <v>#VALUE!</v>
      </c>
      <c r="G97" s="207" t="e">
        <f>SUMIFS('[3]Weekly Meeting Costs'!AB$3:AB$24,'[3]Weekly Meeting Costs'!$A$3:$A$24,"&gt;="&amp;($A97+DAY(1)),'[3]Weekly Meeting Costs'!$A$3:$A$24,"&lt;="&amp;$A98)</f>
        <v>#VALUE!</v>
      </c>
      <c r="H97" s="207" t="e">
        <f>SUMIFS('[3]Weekly Meeting Costs'!AC$3:AC$24,'[3]Weekly Meeting Costs'!$A$3:$A$24,"&gt;="&amp;($A97+DAY(1)),'[3]Weekly Meeting Costs'!$A$3:$A$24,"&lt;="&amp;$A98)</f>
        <v>#VALUE!</v>
      </c>
      <c r="I97" s="199">
        <v>11</v>
      </c>
    </row>
    <row r="98" spans="1:9" x14ac:dyDescent="0.25">
      <c r="A98" s="69">
        <v>43191</v>
      </c>
      <c r="B98" s="206" t="e">
        <f t="shared" si="15"/>
        <v>#VALUE!</v>
      </c>
      <c r="C98" s="207" t="e">
        <f>SUMIFS('[3]Weekly Meeting Costs'!X$3:X$24,'[3]Weekly Meeting Costs'!$A$3:$A$24,"&gt;="&amp;($A98+DAY(1)),'[3]Weekly Meeting Costs'!$A$3:$A$24,"&lt;="&amp;$A99)</f>
        <v>#VALUE!</v>
      </c>
      <c r="D98" s="207" t="e">
        <f>SUMIFS('[3]Weekly Meeting Costs'!Y$3:Y$24,'[3]Weekly Meeting Costs'!$A$3:$A$24,"&gt;="&amp;($A98+DAY(1)),'[3]Weekly Meeting Costs'!$A$3:$A$24,"&lt;="&amp;$A99)</f>
        <v>#VALUE!</v>
      </c>
      <c r="E98" s="207" t="e">
        <f>SUMIFS('[3]Weekly Meeting Costs'!Z$3:Z$24,'[3]Weekly Meeting Costs'!$A$3:$A$24,"&gt;="&amp;($A98+DAY(1)),'[3]Weekly Meeting Costs'!$A$3:$A$24,"&lt;="&amp;$A99)</f>
        <v>#VALUE!</v>
      </c>
      <c r="F98" s="207" t="e">
        <f>SUMIFS('[3]Weekly Meeting Costs'!AA$3:AA$24,'[3]Weekly Meeting Costs'!$A$3:$A$24,"&gt;="&amp;($A98+DAY(1)),'[3]Weekly Meeting Costs'!$A$3:$A$24,"&lt;="&amp;$A99)</f>
        <v>#VALUE!</v>
      </c>
      <c r="G98" s="207" t="e">
        <f>SUMIFS('[3]Weekly Meeting Costs'!AB$3:AB$24,'[3]Weekly Meeting Costs'!$A$3:$A$24,"&gt;="&amp;($A98+DAY(1)),'[3]Weekly Meeting Costs'!$A$3:$A$24,"&lt;="&amp;$A99)</f>
        <v>#VALUE!</v>
      </c>
      <c r="H98" s="207" t="e">
        <f>SUMIFS('[3]Weekly Meeting Costs'!AC$3:AC$24,'[3]Weekly Meeting Costs'!$A$3:$A$24,"&gt;="&amp;($A98+DAY(1)),'[3]Weekly Meeting Costs'!$A$3:$A$24,"&lt;="&amp;$A99)</f>
        <v>#VALUE!</v>
      </c>
      <c r="I98" s="199">
        <v>12</v>
      </c>
    </row>
    <row r="99" spans="1:9" x14ac:dyDescent="0.25">
      <c r="A99" s="69">
        <v>43198</v>
      </c>
      <c r="B99" s="206" t="e">
        <f t="shared" si="15"/>
        <v>#VALUE!</v>
      </c>
      <c r="C99" s="207" t="e">
        <f>SUMIFS('[3]Weekly Meeting Costs'!X$3:X$24,'[3]Weekly Meeting Costs'!$A$3:$A$24,"&gt;="&amp;($A99+DAY(1)),'[3]Weekly Meeting Costs'!$A$3:$A$24,"&lt;="&amp;$A100)</f>
        <v>#VALUE!</v>
      </c>
      <c r="D99" s="207" t="e">
        <f>SUMIFS('[3]Weekly Meeting Costs'!Y$3:Y$24,'[3]Weekly Meeting Costs'!$A$3:$A$24,"&gt;="&amp;($A99+DAY(1)),'[3]Weekly Meeting Costs'!$A$3:$A$24,"&lt;="&amp;$A100)</f>
        <v>#VALUE!</v>
      </c>
      <c r="E99" s="207" t="e">
        <f>SUMIFS('[3]Weekly Meeting Costs'!Z$3:Z$24,'[3]Weekly Meeting Costs'!$A$3:$A$24,"&gt;="&amp;($A99+DAY(1)),'[3]Weekly Meeting Costs'!$A$3:$A$24,"&lt;="&amp;$A100)</f>
        <v>#VALUE!</v>
      </c>
      <c r="F99" s="207" t="e">
        <f>SUMIFS('[3]Weekly Meeting Costs'!AA$3:AA$24,'[3]Weekly Meeting Costs'!$A$3:$A$24,"&gt;="&amp;($A99+DAY(1)),'[3]Weekly Meeting Costs'!$A$3:$A$24,"&lt;="&amp;$A100)</f>
        <v>#VALUE!</v>
      </c>
      <c r="G99" s="207" t="e">
        <f>SUMIFS('[3]Weekly Meeting Costs'!AB$3:AB$24,'[3]Weekly Meeting Costs'!$A$3:$A$24,"&gt;="&amp;($A99+DAY(1)),'[3]Weekly Meeting Costs'!$A$3:$A$24,"&lt;="&amp;$A100)</f>
        <v>#VALUE!</v>
      </c>
      <c r="H99" s="207" t="e">
        <f>SUMIFS('[3]Weekly Meeting Costs'!AC$3:AC$24,'[3]Weekly Meeting Costs'!$A$3:$A$24,"&gt;="&amp;($A99+DAY(1)),'[3]Weekly Meeting Costs'!$A$3:$A$24,"&lt;="&amp;$A100)</f>
        <v>#VALUE!</v>
      </c>
      <c r="I99" s="199">
        <v>13</v>
      </c>
    </row>
    <row r="100" spans="1:9" x14ac:dyDescent="0.25">
      <c r="A100" s="277">
        <v>43205</v>
      </c>
      <c r="B100" s="206" t="e">
        <f t="shared" si="15"/>
        <v>#VALUE!</v>
      </c>
      <c r="C100" s="207" t="e">
        <f>SUMIFS('[3]Weekly Meeting Costs'!X$3:X$24,'[3]Weekly Meeting Costs'!$A$3:$A$24,"&gt;="&amp;($A100+DAY(1)),'[3]Weekly Meeting Costs'!$A$3:$A$24,"&lt;="&amp;$A101)</f>
        <v>#VALUE!</v>
      </c>
      <c r="D100" s="207" t="e">
        <f>SUMIFS('[3]Weekly Meeting Costs'!Y$3:Y$24,'[3]Weekly Meeting Costs'!$A$3:$A$24,"&gt;="&amp;($A100+DAY(1)),'[3]Weekly Meeting Costs'!$A$3:$A$24,"&lt;="&amp;$A101)</f>
        <v>#VALUE!</v>
      </c>
      <c r="E100" s="207" t="e">
        <f>SUMIFS('[3]Weekly Meeting Costs'!Z$3:Z$24,'[3]Weekly Meeting Costs'!$A$3:$A$24,"&gt;="&amp;($A100+DAY(1)),'[3]Weekly Meeting Costs'!$A$3:$A$24,"&lt;="&amp;$A101)</f>
        <v>#VALUE!</v>
      </c>
      <c r="F100" s="207" t="e">
        <f>SUMIFS('[3]Weekly Meeting Costs'!AA$3:AA$24,'[3]Weekly Meeting Costs'!$A$3:$A$24,"&gt;="&amp;($A100+DAY(1)),'[3]Weekly Meeting Costs'!$A$3:$A$24,"&lt;="&amp;$A101)</f>
        <v>#VALUE!</v>
      </c>
      <c r="G100" s="207" t="e">
        <f>SUMIFS('[3]Weekly Meeting Costs'!AB$3:AB$24,'[3]Weekly Meeting Costs'!$A$3:$A$24,"&gt;="&amp;($A100+DAY(1)),'[3]Weekly Meeting Costs'!$A$3:$A$24,"&lt;="&amp;$A101)</f>
        <v>#VALUE!</v>
      </c>
      <c r="H100" s="207" t="e">
        <f>SUMIFS('[3]Weekly Meeting Costs'!AC$3:AC$24,'[3]Weekly Meeting Costs'!$A$3:$A$24,"&gt;="&amp;($A100+DAY(1)),'[3]Weekly Meeting Costs'!$A$3:$A$24,"&lt;="&amp;$A101)</f>
        <v>#VALUE!</v>
      </c>
      <c r="I100" s="199">
        <v>14</v>
      </c>
    </row>
    <row r="101" spans="1:9" x14ac:dyDescent="0.25">
      <c r="A101" s="277">
        <v>43212</v>
      </c>
      <c r="B101" s="206" t="e">
        <f t="shared" si="15"/>
        <v>#VALUE!</v>
      </c>
      <c r="C101" s="207" t="e">
        <f>SUMIFS('[3]Weekly Meeting Costs'!X$3:X$24,'[3]Weekly Meeting Costs'!$A$3:$A$24,"&gt;="&amp;($A101+DAY(1)),'[3]Weekly Meeting Costs'!$A$3:$A$24,"&lt;="&amp;$A104)</f>
        <v>#VALUE!</v>
      </c>
      <c r="D101" s="207" t="e">
        <f>SUMIFS('[3]Weekly Meeting Costs'!Y$3:Y$24,'[3]Weekly Meeting Costs'!$A$3:$A$24,"&gt;="&amp;($A101+DAY(1)),'[3]Weekly Meeting Costs'!$A$3:$A$24,"&lt;="&amp;$A104)</f>
        <v>#VALUE!</v>
      </c>
      <c r="E101" s="207" t="e">
        <f>SUMIFS('[3]Weekly Meeting Costs'!Z$3:Z$24,'[3]Weekly Meeting Costs'!$A$3:$A$24,"&gt;="&amp;($A101+DAY(1)),'[3]Weekly Meeting Costs'!$A$3:$A$24,"&lt;="&amp;$A104)</f>
        <v>#VALUE!</v>
      </c>
      <c r="F101" s="207" t="e">
        <f>SUMIFS('[3]Weekly Meeting Costs'!AA$3:AA$24,'[3]Weekly Meeting Costs'!$A$3:$A$24,"&gt;="&amp;($A101+DAY(1)),'[3]Weekly Meeting Costs'!$A$3:$A$24,"&lt;="&amp;$A104)</f>
        <v>#VALUE!</v>
      </c>
      <c r="G101" s="207" t="e">
        <f>SUMIFS('[3]Weekly Meeting Costs'!AB$3:AB$24,'[3]Weekly Meeting Costs'!$A$3:$A$24,"&gt;="&amp;($A101+DAY(1)),'[3]Weekly Meeting Costs'!$A$3:$A$24,"&lt;="&amp;$A104)</f>
        <v>#VALUE!</v>
      </c>
      <c r="H101" s="207" t="e">
        <f>SUMIFS('[3]Weekly Meeting Costs'!AC$3:AC$24,'[3]Weekly Meeting Costs'!$A$3:$A$24,"&gt;="&amp;($A101+DAY(1)),'[3]Weekly Meeting Costs'!$A$3:$A$24,"&lt;="&amp;$A104)</f>
        <v>#VALUE!</v>
      </c>
      <c r="I101" s="199">
        <v>15</v>
      </c>
    </row>
    <row r="102" spans="1:9" x14ac:dyDescent="0.25">
      <c r="A102" s="277">
        <v>43219</v>
      </c>
      <c r="B102" s="206" t="e">
        <f t="shared" si="15"/>
        <v>#VALUE!</v>
      </c>
      <c r="C102" s="207" t="e">
        <f>SUMIFS('[3]Weekly Meeting Costs'!X$3:X$24,'[3]Weekly Meeting Costs'!$A$3:$A$24,"&gt;="&amp;($A102+DAY(1)),'[3]Weekly Meeting Costs'!$A$3:$A$24,"&lt;="&amp;$A103)</f>
        <v>#VALUE!</v>
      </c>
      <c r="D102" s="207" t="e">
        <f>SUMIFS('[3]Weekly Meeting Costs'!Y$3:Y$24,'[3]Weekly Meeting Costs'!$A$3:$A$24,"&gt;="&amp;($A102+DAY(1)),'[3]Weekly Meeting Costs'!$A$3:$A$24,"&lt;="&amp;$A103)</f>
        <v>#VALUE!</v>
      </c>
      <c r="E102" s="207" t="e">
        <f>SUMIFS('[3]Weekly Meeting Costs'!Z$3:Z$24,'[3]Weekly Meeting Costs'!$A$3:$A$24,"&gt;="&amp;($A102+DAY(1)),'[3]Weekly Meeting Costs'!$A$3:$A$24,"&lt;="&amp;$A103)</f>
        <v>#VALUE!</v>
      </c>
      <c r="F102" s="207" t="e">
        <f>SUMIFS('[3]Weekly Meeting Costs'!AA$3:AA$24,'[3]Weekly Meeting Costs'!$A$3:$A$24,"&gt;="&amp;($A102+DAY(1)),'[3]Weekly Meeting Costs'!$A$3:$A$24,"&lt;="&amp;$A103)</f>
        <v>#VALUE!</v>
      </c>
      <c r="G102" s="207" t="e">
        <f>SUMIFS('[3]Weekly Meeting Costs'!AB$3:AB$24,'[3]Weekly Meeting Costs'!$A$3:$A$24,"&gt;="&amp;($A102+DAY(1)),'[3]Weekly Meeting Costs'!$A$3:$A$24,"&lt;="&amp;$A103)</f>
        <v>#VALUE!</v>
      </c>
      <c r="H102" s="207" t="e">
        <f>SUMIFS('[3]Weekly Meeting Costs'!AC$3:AC$24,'[3]Weekly Meeting Costs'!$A$3:$A$24,"&gt;="&amp;($A102+DAY(1)),'[3]Weekly Meeting Costs'!$A$3:$A$24,"&lt;="&amp;$A103)</f>
        <v>#VALUE!</v>
      </c>
      <c r="I102" s="199">
        <v>16</v>
      </c>
    </row>
    <row r="103" spans="1:9" x14ac:dyDescent="0.25">
      <c r="A103" s="277">
        <v>43226</v>
      </c>
      <c r="B103" s="206" t="e">
        <f t="shared" si="15"/>
        <v>#VALUE!</v>
      </c>
      <c r="C103" s="207" t="e">
        <f>SUMIFS('[3]Weekly Meeting Costs'!X$3:X$24,'[3]Weekly Meeting Costs'!$A$3:$A$24,"&gt;="&amp;($A103+DAY(1)),'[3]Weekly Meeting Costs'!$A$3:$A$24,"&lt;="&amp;($A103+DAY(8)))</f>
        <v>#VALUE!</v>
      </c>
      <c r="D103" s="207" t="e">
        <f>SUMIFS('[3]Weekly Meeting Costs'!Y$3:Y$24,'[3]Weekly Meeting Costs'!$A$3:$A$24,"&gt;="&amp;($A103+DAY(1)),'[3]Weekly Meeting Costs'!$A$3:$A$24,"&lt;="&amp;($A103+DAY(8)))</f>
        <v>#VALUE!</v>
      </c>
      <c r="E103" s="207" t="e">
        <f>SUMIFS('[3]Weekly Meeting Costs'!Z$3:Z$24,'[3]Weekly Meeting Costs'!$A$3:$A$24,"&gt;="&amp;($A103+DAY(1)),'[3]Weekly Meeting Costs'!$A$3:$A$24,"&lt;="&amp;($A103+DAY(8)))</f>
        <v>#VALUE!</v>
      </c>
      <c r="F103" s="207" t="e">
        <f>SUMIFS('[3]Weekly Meeting Costs'!AA$3:AA$24,'[3]Weekly Meeting Costs'!$A$3:$A$24,"&gt;="&amp;($A103+DAY(1)),'[3]Weekly Meeting Costs'!$A$3:$A$24,"&lt;="&amp;($A103+DAY(8)))</f>
        <v>#VALUE!</v>
      </c>
      <c r="G103" s="207" t="e">
        <f>SUMIFS('[3]Weekly Meeting Costs'!AB$3:AB$24,'[3]Weekly Meeting Costs'!$A$3:$A$24,"&gt;="&amp;($A103+DAY(1)),'[3]Weekly Meeting Costs'!$A$3:$A$24,"&lt;="&amp;($A103+DAY(8)))</f>
        <v>#VALUE!</v>
      </c>
      <c r="H103" s="207" t="e">
        <f>SUMIFS('[3]Weekly Meeting Costs'!AC$3:AC$24,'[3]Weekly Meeting Costs'!$A$3:$A$24,"&gt;="&amp;($A103+DAY(1)),'[3]Weekly Meeting Costs'!$A$3:$A$24,"&lt;="&amp;($A103+DAY(8)))</f>
        <v>#VALUE!</v>
      </c>
      <c r="I103" s="199">
        <v>17</v>
      </c>
    </row>
    <row r="104" spans="1:9" ht="15.75" thickBot="1" x14ac:dyDescent="0.3">
      <c r="A104" s="278" t="s">
        <v>131</v>
      </c>
      <c r="B104" s="248" t="e">
        <f>SUM(C104:H104)</f>
        <v>#VALUE!</v>
      </c>
      <c r="C104" s="203" t="e">
        <f t="shared" ref="C104:H104" si="16">SUM(C87:C101)</f>
        <v>#VALUE!</v>
      </c>
      <c r="D104" s="204" t="e">
        <f t="shared" si="16"/>
        <v>#VALUE!</v>
      </c>
      <c r="E104" s="204" t="e">
        <f t="shared" si="16"/>
        <v>#VALUE!</v>
      </c>
      <c r="F104" s="204" t="e">
        <f t="shared" si="16"/>
        <v>#VALUE!</v>
      </c>
      <c r="G104" s="204" t="e">
        <f t="shared" si="16"/>
        <v>#VALUE!</v>
      </c>
      <c r="H104" s="205" t="e">
        <f t="shared" si="16"/>
        <v>#VALUE!</v>
      </c>
      <c r="I104" s="275"/>
    </row>
    <row r="151" spans="1:2" x14ac:dyDescent="0.25">
      <c r="A151" s="69"/>
    </row>
    <row r="152" spans="1:2" x14ac:dyDescent="0.25">
      <c r="A152" s="69"/>
    </row>
    <row r="153" spans="1:2" x14ac:dyDescent="0.25">
      <c r="A153" s="69"/>
    </row>
    <row r="154" spans="1:2" x14ac:dyDescent="0.25">
      <c r="A154" s="69"/>
    </row>
    <row r="155" spans="1:2" x14ac:dyDescent="0.25">
      <c r="A155" s="69"/>
    </row>
    <row r="156" spans="1:2" x14ac:dyDescent="0.25">
      <c r="A156" s="69"/>
    </row>
    <row r="157" spans="1:2" x14ac:dyDescent="0.25">
      <c r="A157" s="69"/>
    </row>
    <row r="158" spans="1:2" x14ac:dyDescent="0.25">
      <c r="A158" s="69"/>
    </row>
    <row r="159" spans="1:2" x14ac:dyDescent="0.25">
      <c r="A159" s="69"/>
    </row>
    <row r="160" spans="1:2" x14ac:dyDescent="0.25">
      <c r="A160" s="69">
        <v>43182</v>
      </c>
      <c r="B160" s="68">
        <v>0</v>
      </c>
    </row>
    <row r="161" spans="1:2" x14ac:dyDescent="0.25">
      <c r="A161" s="69">
        <v>43184</v>
      </c>
      <c r="B161" s="68">
        <v>500</v>
      </c>
    </row>
    <row r="162" spans="1:2" x14ac:dyDescent="0.25">
      <c r="A162" s="69">
        <v>43191</v>
      </c>
      <c r="B162" s="68">
        <v>1500</v>
      </c>
    </row>
    <row r="163" spans="1:2" x14ac:dyDescent="0.25">
      <c r="A163" s="69">
        <v>43198</v>
      </c>
      <c r="B163" s="68">
        <v>2500</v>
      </c>
    </row>
    <row r="164" spans="1:2" x14ac:dyDescent="0.25">
      <c r="A164" s="277">
        <v>43205</v>
      </c>
      <c r="B164" s="68">
        <v>3500</v>
      </c>
    </row>
    <row r="165" spans="1:2" x14ac:dyDescent="0.25">
      <c r="A165" s="277">
        <v>43212</v>
      </c>
      <c r="B165" s="68">
        <v>4500</v>
      </c>
    </row>
    <row r="166" spans="1:2" x14ac:dyDescent="0.25">
      <c r="A166" s="277">
        <v>43219</v>
      </c>
      <c r="B166" s="68">
        <v>5500</v>
      </c>
    </row>
    <row r="167" spans="1:2" x14ac:dyDescent="0.25">
      <c r="A167" s="277">
        <v>43226</v>
      </c>
      <c r="B167" s="68">
        <v>6000</v>
      </c>
    </row>
    <row r="168" spans="1:2" x14ac:dyDescent="0.25">
      <c r="A168" s="277">
        <v>43228</v>
      </c>
      <c r="B168" s="68">
        <f>6500</f>
        <v>6500</v>
      </c>
    </row>
    <row r="169" spans="1:2" x14ac:dyDescent="0.25">
      <c r="A169" s="277"/>
    </row>
    <row r="200" spans="12:12" x14ac:dyDescent="0.25">
      <c r="L200" s="68">
        <v>0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Overview_but">
          <controlPr defaultSize="0" autoLine="0" r:id="rId5">
            <anchor moveWithCells="1">
              <from>
                <xdr:col>9</xdr:col>
                <xdr:colOff>180975</xdr:colOff>
                <xdr:row>1</xdr:row>
                <xdr:rowOff>57150</xdr:rowOff>
              </from>
              <to>
                <xdr:col>10</xdr:col>
                <xdr:colOff>219075</xdr:colOff>
                <xdr:row>3</xdr:row>
                <xdr:rowOff>76200</xdr:rowOff>
              </to>
            </anchor>
          </controlPr>
        </control>
      </mc:Choice>
      <mc:Fallback>
        <control shapeId="2049" r:id="rId4" name="Overview_bu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8.8554687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.75" thickBot="1" x14ac:dyDescent="0.85">
      <c r="B1" s="6" t="s">
        <v>170</v>
      </c>
      <c r="C1" s="7"/>
      <c r="D1" s="8"/>
      <c r="E1" s="8"/>
      <c r="F1" s="8"/>
      <c r="G1" s="8"/>
      <c r="H1" s="8"/>
    </row>
    <row r="2" spans="1:68" ht="21" customHeight="1" thickTop="1" thickBot="1" x14ac:dyDescent="0.3">
      <c r="B2" s="287">
        <f ca="1">NOW()</f>
        <v>43209.749337037036</v>
      </c>
      <c r="C2" s="287"/>
      <c r="D2" s="287"/>
      <c r="E2" s="287"/>
      <c r="F2" s="287"/>
      <c r="G2" s="287"/>
      <c r="H2" s="10" t="s">
        <v>1</v>
      </c>
      <c r="I2" s="10">
        <f ca="1">DAY(NOW())+31</f>
        <v>50</v>
      </c>
      <c r="K2" s="11"/>
      <c r="L2" s="288" t="s">
        <v>2</v>
      </c>
      <c r="M2" s="288"/>
      <c r="N2" s="288"/>
      <c r="O2" s="288"/>
      <c r="P2" s="288"/>
      <c r="Q2" s="12"/>
      <c r="R2" s="288" t="s">
        <v>3</v>
      </c>
      <c r="S2" s="288"/>
      <c r="T2" s="288"/>
      <c r="U2" s="288"/>
      <c r="V2" s="13"/>
      <c r="W2" s="288" t="s">
        <v>4</v>
      </c>
      <c r="X2" s="288"/>
      <c r="Y2" s="288"/>
      <c r="Z2" s="288"/>
      <c r="AA2" s="14"/>
      <c r="AB2" s="288" t="s">
        <v>5</v>
      </c>
      <c r="AC2" s="288"/>
      <c r="AD2" s="288"/>
      <c r="AE2" s="288"/>
      <c r="AF2" s="288"/>
      <c r="AG2" s="288"/>
      <c r="AH2" s="288"/>
      <c r="AI2" s="15"/>
      <c r="AJ2" s="282" t="s">
        <v>6</v>
      </c>
      <c r="AK2" s="282"/>
      <c r="AL2" s="282"/>
      <c r="AM2" s="282"/>
      <c r="AN2" s="282"/>
      <c r="AO2" s="282"/>
      <c r="AP2" s="282"/>
      <c r="AQ2" s="282"/>
    </row>
    <row r="3" spans="1:68" s="16" customFormat="1" ht="39.950000000000003" customHeight="1" thickTop="1" x14ac:dyDescent="0.25">
      <c r="B3" s="283" t="s">
        <v>7</v>
      </c>
      <c r="C3" s="284" t="s">
        <v>8</v>
      </c>
      <c r="D3" s="285" t="s">
        <v>9</v>
      </c>
      <c r="E3" s="285" t="s">
        <v>10</v>
      </c>
      <c r="F3" s="285" t="s">
        <v>11</v>
      </c>
      <c r="G3" s="285" t="s">
        <v>12</v>
      </c>
      <c r="H3" s="28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25">
      <c r="B4" s="283"/>
      <c r="C4" s="284"/>
      <c r="D4" s="285"/>
      <c r="E4" s="285"/>
      <c r="F4" s="285"/>
      <c r="G4" s="285"/>
      <c r="H4" s="28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">
      <c r="B5" s="36" t="str">
        <f>IF(SUMPRODUCT(--(NOT(ISERR(SEARCH({"T","An"},'[4]CDR Project Planner'!$C5))))),'[4]CDR Project Planner'!B5,"")</f>
        <v>PDR</v>
      </c>
      <c r="C5" s="37" t="str">
        <f>IF(SUMPRODUCT(--(NOT(ISERR(SEARCH({"T","An"},'[4]CDR Project Planner'!$C5))))),'[4]CDR Project Planner'!C5,"")</f>
        <v>T</v>
      </c>
      <c r="D5" s="37">
        <f>IF(SUMPRODUCT(--(NOT(ISERR(SEARCH({"T","An"},'[4]CDR Project Planner'!$C5))))),'[4]CDR Project Planner'!D5,"")</f>
        <v>22</v>
      </c>
      <c r="E5" s="37">
        <f>IF(SUMPRODUCT(--(NOT(ISERR(SEARCH({"T","An"},'[4]CDR Project Planner'!$C5))))),'[4]CDR Project Planner'!E5,"")</f>
        <v>1</v>
      </c>
      <c r="F5" s="37">
        <f>IF(SUMPRODUCT(--(NOT(ISERR(SEARCH({"T","An"},'[4]CDR Project Planner'!$C5))))),'[4]CDR Project Planner'!F5,"")</f>
        <v>22</v>
      </c>
      <c r="G5" s="37">
        <f>IF(SUMPRODUCT(--(NOT(ISERR(SEARCH({"T","An"},'[4]CDR Project Planner'!$C5))))),'[4]CDR Project Planner'!G5,"")</f>
        <v>1</v>
      </c>
      <c r="H5" s="38">
        <f>IF(SUMPRODUCT(--(NOT(ISERR(SEARCH({"T","An"},'[4]CDR Project Planner'!$C5))))),'[4]CDR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ht="15" x14ac:dyDescent="0.25">
      <c r="B6" s="32" t="str">
        <f>IF(SUMPRODUCT(--(NOT(ISERR(SEARCH({"T","An"},'[4]CDR Project Planner'!$C6))))),'[4]CDR Project Planner'!B6,"")</f>
        <v/>
      </c>
      <c r="C6" s="33" t="str">
        <f>IF(SUMPRODUCT(--(NOT(ISERR(SEARCH({"T","An"},'[4]CDR Project Planner'!$C6))))),'[4]CDR Project Planner'!C6,"")</f>
        <v/>
      </c>
      <c r="D6" s="33" t="str">
        <f>IF(SUMPRODUCT(--(NOT(ISERR(SEARCH({"T","An"},'[4]CDR Project Planner'!$C6))))),'[4]CDR Project Planner'!D6,"")</f>
        <v/>
      </c>
      <c r="E6" s="33" t="str">
        <f>IF(SUMPRODUCT(--(NOT(ISERR(SEARCH({"T","An"},'[4]CDR Project Planner'!$C6))))),'[4]CDR Project Planner'!E6,"")</f>
        <v/>
      </c>
      <c r="F6" s="33" t="str">
        <f>IF(SUMPRODUCT(--(NOT(ISERR(SEARCH({"T","An"},'[4]CDR Project Planner'!$C6))))),'[4]CDR Project Planner'!F6,"")</f>
        <v/>
      </c>
      <c r="G6" s="33" t="str">
        <f>IF(SUMPRODUCT(--(NOT(ISERR(SEARCH({"T","An"},'[4]CDR Project Planner'!$C6))))),'[4]CDR Project Planner'!G6,"")</f>
        <v/>
      </c>
      <c r="H6" s="38" t="str">
        <f>IF(SUMPRODUCT(--(NOT(ISERR(SEARCH({"T","An"},'[4]CDR Project Planner'!$C6))))),'[4]CDR Project Planner'!H6,"")</f>
        <v/>
      </c>
    </row>
    <row r="7" spans="1:68" s="4" customFormat="1" ht="15" outlineLevel="1" x14ac:dyDescent="0.25">
      <c r="A7" s="1"/>
      <c r="B7" s="32" t="str">
        <f>IF(SUMPRODUCT(--(NOT(ISERR(SEARCH({"T","An"},'[4]CDR Project Planner'!$C7))))),'[4]CDR Project Planner'!B7,"")</f>
        <v/>
      </c>
      <c r="C7" s="33" t="str">
        <f>IF(SUMPRODUCT(--(NOT(ISERR(SEARCH({"T","An"},'[4]CDR Project Planner'!$C7))))),'[4]CDR Project Planner'!C7,"")</f>
        <v/>
      </c>
      <c r="D7" s="33" t="str">
        <f>IF(SUMPRODUCT(--(NOT(ISERR(SEARCH({"T","An"},'[4]CDR Project Planner'!$C7))))),'[4]CDR Project Planner'!D7,"")</f>
        <v/>
      </c>
      <c r="E7" s="33" t="str">
        <f>IF(SUMPRODUCT(--(NOT(ISERR(SEARCH({"T","An"},'[4]CDR Project Planner'!$C7))))),'[4]CDR Project Planner'!E7,"")</f>
        <v/>
      </c>
      <c r="F7" s="33" t="str">
        <f>IF(SUMPRODUCT(--(NOT(ISERR(SEARCH({"T","An"},'[4]CDR Project Planner'!$C7))))),'[4]CDR Project Planner'!F7,"")</f>
        <v/>
      </c>
      <c r="G7" s="33" t="str">
        <f>IF(SUMPRODUCT(--(NOT(ISERR(SEARCH({"T","An"},'[4]CDR Project Planner'!$C7))))),'[4]CDR Project Planner'!G7,"")</f>
        <v/>
      </c>
      <c r="H7" s="38" t="str">
        <f>IF(SUMPRODUCT(--(NOT(ISERR(SEARCH({"T","An"},'[4]CDR Project Planner'!$C7))))),'[4]CDR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32" t="str">
        <f>IF(SUMPRODUCT(--(NOT(ISERR(SEARCH({"T","An"},'[4]CDR Project Planner'!$C8))))),'[4]CDR Project Planner'!B8,"")</f>
        <v/>
      </c>
      <c r="C8" s="33" t="str">
        <f>IF(SUMPRODUCT(--(NOT(ISERR(SEARCH({"T","An"},'[4]CDR Project Planner'!$C8))))),'[4]CDR Project Planner'!C8,"")</f>
        <v/>
      </c>
      <c r="D8" s="33" t="str">
        <f>IF(SUMPRODUCT(--(NOT(ISERR(SEARCH({"T","An"},'[4]CDR Project Planner'!$C8))))),'[4]CDR Project Planner'!D8,"")</f>
        <v/>
      </c>
      <c r="E8" s="33" t="str">
        <f>IF(SUMPRODUCT(--(NOT(ISERR(SEARCH({"T","An"},'[4]CDR Project Planner'!$C8))))),'[4]CDR Project Planner'!E8,"")</f>
        <v/>
      </c>
      <c r="F8" s="33" t="str">
        <f>IF(SUMPRODUCT(--(NOT(ISERR(SEARCH({"T","An"},'[4]CDR Project Planner'!$C8))))),'[4]CDR Project Planner'!F8,"")</f>
        <v/>
      </c>
      <c r="G8" s="33" t="str">
        <f>IF(SUMPRODUCT(--(NOT(ISERR(SEARCH({"T","An"},'[4]CDR Project Planner'!$C8))))),'[4]CDR Project Planner'!G8,"")</f>
        <v/>
      </c>
      <c r="H8" s="38" t="str">
        <f>IF(SUMPRODUCT(--(NOT(ISERR(SEARCH({"T","An"},'[4]CDR Project Planner'!$C8))))),'[4]CDR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32" t="str">
        <f>IF(SUMPRODUCT(--(NOT(ISERR(SEARCH({"T","An"},'[4]CDR Project Planner'!$C9))))),'[4]CDR Project Planner'!B9,"")</f>
        <v/>
      </c>
      <c r="C9" s="33" t="str">
        <f>IF(SUMPRODUCT(--(NOT(ISERR(SEARCH({"T","An"},'[4]CDR Project Planner'!$C9))))),'[4]CDR Project Planner'!C9,"")</f>
        <v/>
      </c>
      <c r="D9" s="33" t="str">
        <f>IF(SUMPRODUCT(--(NOT(ISERR(SEARCH({"T","An"},'[4]CDR Project Planner'!$C9))))),'[4]CDR Project Planner'!D9,"")</f>
        <v/>
      </c>
      <c r="E9" s="33" t="str">
        <f>IF(SUMPRODUCT(--(NOT(ISERR(SEARCH({"T","An"},'[4]CDR Project Planner'!$C9))))),'[4]CDR Project Planner'!E9,"")</f>
        <v/>
      </c>
      <c r="F9" s="33" t="str">
        <f>IF(SUMPRODUCT(--(NOT(ISERR(SEARCH({"T","An"},'[4]CDR Project Planner'!$C9))))),'[4]CDR Project Planner'!F9,"")</f>
        <v/>
      </c>
      <c r="G9" s="33" t="str">
        <f>IF(SUMPRODUCT(--(NOT(ISERR(SEARCH({"T","An"},'[4]CDR Project Planner'!$C9))))),'[4]CDR Project Planner'!G9,"")</f>
        <v/>
      </c>
      <c r="H9" s="38" t="str">
        <f>IF(SUMPRODUCT(--(NOT(ISERR(SEARCH({"T","An"},'[4]CDR Project Planner'!$C9))))),'[4]CDR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32" t="str">
        <f>IF(SUMPRODUCT(--(NOT(ISERR(SEARCH({"T","An"},'[4]CDR Project Planner'!$C10))))),'[4]CDR Project Planner'!B10,"")</f>
        <v/>
      </c>
      <c r="C10" s="33" t="str">
        <f>IF(SUMPRODUCT(--(NOT(ISERR(SEARCH({"T","An"},'[4]CDR Project Planner'!$C10))))),'[4]CDR Project Planner'!C10,"")</f>
        <v/>
      </c>
      <c r="D10" s="33" t="str">
        <f>IF(SUMPRODUCT(--(NOT(ISERR(SEARCH({"T","An"},'[4]CDR Project Planner'!$C10))))),'[4]CDR Project Planner'!D10,"")</f>
        <v/>
      </c>
      <c r="E10" s="33" t="str">
        <f>IF(SUMPRODUCT(--(NOT(ISERR(SEARCH({"T","An"},'[4]CDR Project Planner'!$C10))))),'[4]CDR Project Planner'!E10,"")</f>
        <v/>
      </c>
      <c r="F10" s="33" t="str">
        <f>IF(SUMPRODUCT(--(NOT(ISERR(SEARCH({"T","An"},'[4]CDR Project Planner'!$C10))))),'[4]CDR Project Planner'!F10,"")</f>
        <v/>
      </c>
      <c r="G10" s="33" t="str">
        <f>IF(SUMPRODUCT(--(NOT(ISERR(SEARCH({"T","An"},'[4]CDR Project Planner'!$C10))))),'[4]CDR Project Planner'!G10,"")</f>
        <v/>
      </c>
      <c r="H10" s="38" t="str">
        <f>IF(SUMPRODUCT(--(NOT(ISERR(SEARCH({"T","An"},'[4]CDR Project Planner'!$C10))))),'[4]CDR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32" t="str">
        <f>IF(SUMPRODUCT(--(NOT(ISERR(SEARCH({"T","An"},'[4]CDR Project Planner'!#REF!))))),'[4]CDR Project Planner'!#REF!,"")</f>
        <v/>
      </c>
      <c r="C11" s="33" t="str">
        <f>IF(SUMPRODUCT(--(NOT(ISERR(SEARCH({"T","An"},'[4]CDR Project Planner'!#REF!))))),'[4]CDR Project Planner'!#REF!,"")</f>
        <v/>
      </c>
      <c r="D11" s="33" t="str">
        <f>IF(SUMPRODUCT(--(NOT(ISERR(SEARCH({"T","An"},'[4]CDR Project Planner'!#REF!))))),'[4]CDR Project Planner'!#REF!,"")</f>
        <v/>
      </c>
      <c r="E11" s="33" t="str">
        <f>IF(SUMPRODUCT(--(NOT(ISERR(SEARCH({"T","An"},'[4]CDR Project Planner'!#REF!))))),'[4]CDR Project Planner'!#REF!,"")</f>
        <v/>
      </c>
      <c r="F11" s="33" t="str">
        <f>IF(SUMPRODUCT(--(NOT(ISERR(SEARCH({"T","An"},'[4]CDR Project Planner'!#REF!))))),'[4]CDR Project Planner'!#REF!,"")</f>
        <v/>
      </c>
      <c r="G11" s="33" t="str">
        <f>IF(SUMPRODUCT(--(NOT(ISERR(SEARCH({"T","An"},'[4]CDR Project Planner'!#REF!))))),'[4]CDR Project Planner'!#REF!,"")</f>
        <v/>
      </c>
      <c r="H11" s="38" t="str">
        <f>IF(SUMPRODUCT(--(NOT(ISERR(SEARCH({"T","An"},'[4]CDR Project Planner'!#REF!))))),'[4]CDR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32" t="str">
        <f>IF(SUMPRODUCT(--(NOT(ISERR(SEARCH({"T","An"},'[4]CDR Project Planner'!$C11))))),'[4]CDR Project Planner'!B11,"")</f>
        <v/>
      </c>
      <c r="C12" s="33" t="str">
        <f>IF(SUMPRODUCT(--(NOT(ISERR(SEARCH({"T","An"},'[4]CDR Project Planner'!$C11))))),'[4]CDR Project Planner'!C11,"")</f>
        <v/>
      </c>
      <c r="D12" s="33" t="str">
        <f>IF(SUMPRODUCT(--(NOT(ISERR(SEARCH({"T","An"},'[4]CDR Project Planner'!$C11))))),'[4]CDR Project Planner'!D11,"")</f>
        <v/>
      </c>
      <c r="E12" s="33" t="str">
        <f>IF(SUMPRODUCT(--(NOT(ISERR(SEARCH({"T","An"},'[4]CDR Project Planner'!$C11))))),'[4]CDR Project Planner'!E11,"")</f>
        <v/>
      </c>
      <c r="F12" s="33" t="str">
        <f>IF(SUMPRODUCT(--(NOT(ISERR(SEARCH({"T","An"},'[4]CDR Project Planner'!$C11))))),'[4]CDR Project Planner'!F11,"")</f>
        <v/>
      </c>
      <c r="G12" s="33" t="str">
        <f>IF(SUMPRODUCT(--(NOT(ISERR(SEARCH({"T","An"},'[4]CDR Project Planner'!$C11))))),'[4]CDR Project Planner'!G11,"")</f>
        <v/>
      </c>
      <c r="H12" s="38" t="str">
        <f>IF(SUMPRODUCT(--(NOT(ISERR(SEARCH({"T","An"},'[4]CDR Project Planner'!$C11))))),'[4]CDR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32" t="str">
        <f>IF(SUMPRODUCT(--(NOT(ISERR(SEARCH({"T","An"},'[4]CDR Project Planner'!$C14))))),'[4]CDR Project Planner'!B14,"")</f>
        <v/>
      </c>
      <c r="C13" s="33" t="str">
        <f>IF(SUMPRODUCT(--(NOT(ISERR(SEARCH({"T","An"},'[4]CDR Project Planner'!$C14))))),'[4]CDR Project Planner'!C14,"")</f>
        <v/>
      </c>
      <c r="D13" s="33" t="str">
        <f>IF(SUMPRODUCT(--(NOT(ISERR(SEARCH({"T","An"},'[4]CDR Project Planner'!$C14))))),'[4]CDR Project Planner'!D14,"")</f>
        <v/>
      </c>
      <c r="E13" s="33" t="str">
        <f>IF(SUMPRODUCT(--(NOT(ISERR(SEARCH({"T","An"},'[4]CDR Project Planner'!$C14))))),'[4]CDR Project Planner'!E14,"")</f>
        <v/>
      </c>
      <c r="F13" s="33" t="str">
        <f>IF(SUMPRODUCT(--(NOT(ISERR(SEARCH({"T","An"},'[4]CDR Project Planner'!$C14))))),'[4]CDR Project Planner'!F14,"")</f>
        <v/>
      </c>
      <c r="G13" s="33" t="str">
        <f>IF(SUMPRODUCT(--(NOT(ISERR(SEARCH({"T","An"},'[4]CDR Project Planner'!$C14))))),'[4]CDR Project Planner'!G14,"")</f>
        <v/>
      </c>
      <c r="H13" s="38" t="str">
        <f>IF(SUMPRODUCT(--(NOT(ISERR(SEARCH({"T","An"},'[4]CDR Project Planner'!$C14))))),'[4]CDR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32" t="str">
        <f>IF(SUMPRODUCT(--(NOT(ISERR(SEARCH({"T","An"},'[4]CDR Project Planner'!$C15))))),'[4]CDR Project Planner'!B15,"")</f>
        <v/>
      </c>
      <c r="C14" s="33" t="str">
        <f>IF(SUMPRODUCT(--(NOT(ISERR(SEARCH({"T","An"},'[4]CDR Project Planner'!$C15))))),'[4]CDR Project Planner'!C15,"")</f>
        <v/>
      </c>
      <c r="D14" s="33" t="str">
        <f>IF(SUMPRODUCT(--(NOT(ISERR(SEARCH({"T","An"},'[4]CDR Project Planner'!$C15))))),'[4]CDR Project Planner'!D15,"")</f>
        <v/>
      </c>
      <c r="E14" s="33" t="str">
        <f>IF(SUMPRODUCT(--(NOT(ISERR(SEARCH({"T","An"},'[4]CDR Project Planner'!$C15))))),'[4]CDR Project Planner'!E15,"")</f>
        <v/>
      </c>
      <c r="F14" s="33" t="str">
        <f>IF(SUMPRODUCT(--(NOT(ISERR(SEARCH({"T","An"},'[4]CDR Project Planner'!$C15))))),'[4]CDR Project Planner'!F15,"")</f>
        <v/>
      </c>
      <c r="G14" s="33" t="str">
        <f>IF(SUMPRODUCT(--(NOT(ISERR(SEARCH({"T","An"},'[4]CDR Project Planner'!$C15))))),'[4]CDR Project Planner'!G15,"")</f>
        <v/>
      </c>
      <c r="H14" s="150" t="str">
        <f>IF(SUMPRODUCT(--(NOT(ISERR(SEARCH({"T","An"},'[4]CDR Project Planner'!$C15))))),'[4]CDR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32" t="str">
        <f>IF(SUMPRODUCT(--(NOT(ISERR(SEARCH({"T","An"},'[4]CDR Project Planner'!$C16))))),'[4]CDR Project Planner'!B16,"")</f>
        <v/>
      </c>
      <c r="C15" s="33" t="str">
        <f>IF(SUMPRODUCT(--(NOT(ISERR(SEARCH({"T","An"},'[4]CDR Project Planner'!$C16))))),'[4]CDR Project Planner'!C16,"")</f>
        <v/>
      </c>
      <c r="D15" s="33" t="str">
        <f>IF(SUMPRODUCT(--(NOT(ISERR(SEARCH({"T","An"},'[4]CDR Project Planner'!$C16))))),'[4]CDR Project Planner'!D16,"")</f>
        <v/>
      </c>
      <c r="E15" s="33" t="str">
        <f>IF(SUMPRODUCT(--(NOT(ISERR(SEARCH({"T","An"},'[4]CDR Project Planner'!$C16))))),'[4]CDR Project Planner'!E16,"")</f>
        <v/>
      </c>
      <c r="F15" s="33" t="str">
        <f>IF(SUMPRODUCT(--(NOT(ISERR(SEARCH({"T","An"},'[4]CDR Project Planner'!$C16))))),'[4]CDR Project Planner'!F16,"")</f>
        <v/>
      </c>
      <c r="G15" s="33" t="str">
        <f>IF(SUMPRODUCT(--(NOT(ISERR(SEARCH({"T","An"},'[4]CDR Project Planner'!$C16))))),'[4]CDR Project Planner'!G16,"")</f>
        <v/>
      </c>
      <c r="H15" s="150" t="str">
        <f>IF(SUMPRODUCT(--(NOT(ISERR(SEARCH({"T","An"},'[4]CDR Project Planner'!$C16))))),'[4]CDR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32" t="str">
        <f>IF(SUMPRODUCT(--(NOT(ISERR(SEARCH({"T","An"},'[4]CDR Project Planner'!$C17))))),'[4]CDR Project Planner'!B17,"")</f>
        <v/>
      </c>
      <c r="C16" s="33" t="str">
        <f>IF(SUMPRODUCT(--(NOT(ISERR(SEARCH({"T","An"},'[4]CDR Project Planner'!$C17))))),'[4]CDR Project Planner'!C17,"")</f>
        <v/>
      </c>
      <c r="D16" s="33" t="str">
        <f>IF(SUMPRODUCT(--(NOT(ISERR(SEARCH({"T","An"},'[4]CDR Project Planner'!$C17))))),'[4]CDR Project Planner'!D17,"")</f>
        <v/>
      </c>
      <c r="E16" s="33" t="str">
        <f>IF(SUMPRODUCT(--(NOT(ISERR(SEARCH({"T","An"},'[4]CDR Project Planner'!$C17))))),'[4]CDR Project Planner'!E17,"")</f>
        <v/>
      </c>
      <c r="F16" s="33" t="str">
        <f>IF(SUMPRODUCT(--(NOT(ISERR(SEARCH({"T","An"},'[4]CDR Project Planner'!$C17))))),'[4]CDR Project Planner'!F17,"")</f>
        <v/>
      </c>
      <c r="G16" s="33" t="str">
        <f>IF(SUMPRODUCT(--(NOT(ISERR(SEARCH({"T","An"},'[4]CDR Project Planner'!$C17))))),'[4]CDR Project Planner'!G17,"")</f>
        <v/>
      </c>
      <c r="H16" s="150" t="str">
        <f>IF(SUMPRODUCT(--(NOT(ISERR(SEARCH({"T","An"},'[4]CDR Project Planner'!$C17))))),'[4]CDR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32" t="str">
        <f>IF(SUMPRODUCT(--(NOT(ISERR(SEARCH({"T","An"},'[4]CDR Project Planner'!$C18))))),'[4]CDR Project Planner'!B18,"")</f>
        <v/>
      </c>
      <c r="C17" s="33" t="str">
        <f>IF(SUMPRODUCT(--(NOT(ISERR(SEARCH({"T","An"},'[4]CDR Project Planner'!$C18))))),'[4]CDR Project Planner'!C18,"")</f>
        <v/>
      </c>
      <c r="D17" s="33" t="str">
        <f>IF(SUMPRODUCT(--(NOT(ISERR(SEARCH({"T","An"},'[4]CDR Project Planner'!$C18))))),'[4]CDR Project Planner'!D18,"")</f>
        <v/>
      </c>
      <c r="E17" s="33" t="str">
        <f>IF(SUMPRODUCT(--(NOT(ISERR(SEARCH({"T","An"},'[4]CDR Project Planner'!$C18))))),'[4]CDR Project Planner'!E18,"")</f>
        <v/>
      </c>
      <c r="F17" s="33" t="str">
        <f>IF(SUMPRODUCT(--(NOT(ISERR(SEARCH({"T","An"},'[4]CDR Project Planner'!$C18))))),'[4]CDR Project Planner'!F18,"")</f>
        <v/>
      </c>
      <c r="G17" s="33" t="str">
        <f>IF(SUMPRODUCT(--(NOT(ISERR(SEARCH({"T","An"},'[4]CDR Project Planner'!$C18))))),'[4]CDR Project Planner'!G18,"")</f>
        <v/>
      </c>
      <c r="H17" s="150" t="str">
        <f>IF(SUMPRODUCT(--(NOT(ISERR(SEARCH({"T","An"},'[4]CDR Project Planner'!$C18))))),'[4]CDR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32" t="str">
        <f>IF(SUMPRODUCT(--(NOT(ISERR(SEARCH({"T","An"},'[4]CDR Project Planner'!$C19))))),'[4]CDR Project Planner'!B19,"")</f>
        <v/>
      </c>
      <c r="C18" s="33" t="str">
        <f>IF(SUMPRODUCT(--(NOT(ISERR(SEARCH({"T","An"},'[4]CDR Project Planner'!$C19))))),'[4]CDR Project Planner'!C19,"")</f>
        <v/>
      </c>
      <c r="D18" s="33" t="str">
        <f>IF(SUMPRODUCT(--(NOT(ISERR(SEARCH({"T","An"},'[4]CDR Project Planner'!$C19))))),'[4]CDR Project Planner'!D19,"")</f>
        <v/>
      </c>
      <c r="E18" s="33" t="str">
        <f>IF(SUMPRODUCT(--(NOT(ISERR(SEARCH({"T","An"},'[4]CDR Project Planner'!$C19))))),'[4]CDR Project Planner'!E19,"")</f>
        <v/>
      </c>
      <c r="F18" s="33" t="str">
        <f>IF(SUMPRODUCT(--(NOT(ISERR(SEARCH({"T","An"},'[4]CDR Project Planner'!$C19))))),'[4]CDR Project Planner'!F19,"")</f>
        <v/>
      </c>
      <c r="G18" s="33" t="str">
        <f>IF(SUMPRODUCT(--(NOT(ISERR(SEARCH({"T","An"},'[4]CDR Project Planner'!$C19))))),'[4]CDR Project Planner'!G19,"")</f>
        <v/>
      </c>
      <c r="H18" s="150" t="str">
        <f>IF(SUMPRODUCT(--(NOT(ISERR(SEARCH({"T","An"},'[4]CDR Project Planner'!$C19))))),'[4]CDR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32" t="str">
        <f>IF(SUMPRODUCT(--(NOT(ISERR(SEARCH({"T","An"},'[4]CDR Project Planner'!#REF!))))),'[4]CDR Project Planner'!#REF!,"")</f>
        <v/>
      </c>
      <c r="C19" s="33" t="str">
        <f>IF(SUMPRODUCT(--(NOT(ISERR(SEARCH({"T","An"},'[4]CDR Project Planner'!#REF!))))),'[4]CDR Project Planner'!#REF!,"")</f>
        <v/>
      </c>
      <c r="D19" s="33" t="str">
        <f>IF(SUMPRODUCT(--(NOT(ISERR(SEARCH({"T","An"},'[4]CDR Project Planner'!#REF!))))),'[4]CDR Project Planner'!#REF!,"")</f>
        <v/>
      </c>
      <c r="E19" s="33" t="str">
        <f>IF(SUMPRODUCT(--(NOT(ISERR(SEARCH({"T","An"},'[4]CDR Project Planner'!#REF!))))),'[4]CDR Project Planner'!#REF!,"")</f>
        <v/>
      </c>
      <c r="F19" s="33" t="str">
        <f>IF(SUMPRODUCT(--(NOT(ISERR(SEARCH({"T","An"},'[4]CDR Project Planner'!#REF!))))),'[4]CDR Project Planner'!#REF!,"")</f>
        <v/>
      </c>
      <c r="G19" s="33" t="str">
        <f>IF(SUMPRODUCT(--(NOT(ISERR(SEARCH({"T","An"},'[4]CDR Project Planner'!#REF!))))),'[4]CDR Project Planner'!#REF!,"")</f>
        <v/>
      </c>
      <c r="H19" s="150" t="str">
        <f>IF(SUMPRODUCT(--(NOT(ISERR(SEARCH({"T","An"},'[4]CDR Project Planner'!#REF!))))),'[4]CDR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32" t="str">
        <f>IF(SUMPRODUCT(--(NOT(ISERR(SEARCH({"T","An"},'[4]CDR Project Planner'!#REF!))))),'[4]CDR Project Planner'!#REF!,"")</f>
        <v/>
      </c>
      <c r="C20" s="33" t="str">
        <f>IF(SUMPRODUCT(--(NOT(ISERR(SEARCH({"T","An"},'[4]CDR Project Planner'!#REF!))))),'[4]CDR Project Planner'!#REF!,"")</f>
        <v/>
      </c>
      <c r="D20" s="33" t="str">
        <f>IF(SUMPRODUCT(--(NOT(ISERR(SEARCH({"T","An"},'[4]CDR Project Planner'!#REF!))))),'[4]CDR Project Planner'!#REF!,"")</f>
        <v/>
      </c>
      <c r="E20" s="33" t="str">
        <f>IF(SUMPRODUCT(--(NOT(ISERR(SEARCH({"T","An"},'[4]CDR Project Planner'!#REF!))))),'[4]CDR Project Planner'!#REF!,"")</f>
        <v/>
      </c>
      <c r="F20" s="33" t="str">
        <f>IF(SUMPRODUCT(--(NOT(ISERR(SEARCH({"T","An"},'[4]CDR Project Planner'!#REF!))))),'[4]CDR Project Planner'!#REF!,"")</f>
        <v/>
      </c>
      <c r="G20" s="33" t="str">
        <f>IF(SUMPRODUCT(--(NOT(ISERR(SEARCH({"T","An"},'[4]CDR Project Planner'!#REF!))))),'[4]CDR Project Planner'!#REF!,"")</f>
        <v/>
      </c>
      <c r="H20" s="150" t="str">
        <f>IF(SUMPRODUCT(--(NOT(ISERR(SEARCH({"T","An"},'[4]CDR Project Planner'!#REF!))))),'[4]CDR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32" t="str">
        <f>IF(SUMPRODUCT(--(NOT(ISERR(SEARCH({"T","An"},'[4]CDR Project Planner'!$C21))))),'[4]CDR Project Planner'!B21,"")</f>
        <v/>
      </c>
      <c r="C21" s="33" t="str">
        <f>IF(SUMPRODUCT(--(NOT(ISERR(SEARCH({"T","An"},'[4]CDR Project Planner'!$C21))))),'[4]CDR Project Planner'!C21,"")</f>
        <v/>
      </c>
      <c r="D21" s="33" t="str">
        <f>IF(SUMPRODUCT(--(NOT(ISERR(SEARCH({"T","An"},'[4]CDR Project Planner'!$C21))))),'[4]CDR Project Planner'!D21,"")</f>
        <v/>
      </c>
      <c r="E21" s="33" t="str">
        <f>IF(SUMPRODUCT(--(NOT(ISERR(SEARCH({"T","An"},'[4]CDR Project Planner'!$C21))))),'[4]CDR Project Planner'!E21,"")</f>
        <v/>
      </c>
      <c r="F21" s="33" t="str">
        <f>IF(SUMPRODUCT(--(NOT(ISERR(SEARCH({"T","An"},'[4]CDR Project Planner'!$C21))))),'[4]CDR Project Planner'!F21,"")</f>
        <v/>
      </c>
      <c r="G21" s="33" t="str">
        <f>IF(SUMPRODUCT(--(NOT(ISERR(SEARCH({"T","An"},'[4]CDR Project Planner'!$C21))))),'[4]CDR Project Planner'!G21,"")</f>
        <v/>
      </c>
      <c r="H21" s="150" t="str">
        <f>IF(SUMPRODUCT(--(NOT(ISERR(SEARCH({"T","An"},'[4]CDR Project Planner'!$C21))))),'[4]CDR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32" t="str">
        <f>IF(SUMPRODUCT(--(NOT(ISERR(SEARCH({"T","An"},'[4]CDR Project Planner'!$C22))))),'[4]CDR Project Planner'!B22,"")</f>
        <v/>
      </c>
      <c r="C22" s="33" t="str">
        <f>IF(SUMPRODUCT(--(NOT(ISERR(SEARCH({"T","An"},'[4]CDR Project Planner'!$C22))))),'[4]CDR Project Planner'!C22,"")</f>
        <v/>
      </c>
      <c r="D22" s="33" t="str">
        <f>IF(SUMPRODUCT(--(NOT(ISERR(SEARCH({"T","An"},'[4]CDR Project Planner'!$C22))))),'[4]CDR Project Planner'!D22,"")</f>
        <v/>
      </c>
      <c r="E22" s="33" t="str">
        <f>IF(SUMPRODUCT(--(NOT(ISERR(SEARCH({"T","An"},'[4]CDR Project Planner'!$C22))))),'[4]CDR Project Planner'!E22,"")</f>
        <v/>
      </c>
      <c r="F22" s="33" t="str">
        <f>IF(SUMPRODUCT(--(NOT(ISERR(SEARCH({"T","An"},'[4]CDR Project Planner'!$C22))))),'[4]CDR Project Planner'!F22,"")</f>
        <v/>
      </c>
      <c r="G22" s="33" t="str">
        <f>IF(SUMPRODUCT(--(NOT(ISERR(SEARCH({"T","An"},'[4]CDR Project Planner'!$C22))))),'[4]CDR Project Planner'!G22,"")</f>
        <v/>
      </c>
      <c r="H22" s="150" t="str">
        <f>IF(SUMPRODUCT(--(NOT(ISERR(SEARCH({"T","An"},'[4]CDR Project Planner'!$C22))))),'[4]CDR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32" t="str">
        <f>IF(SUMPRODUCT(--(NOT(ISERR(SEARCH({"T","An"},'[4]CDR Project Planner'!$C23))))),'[4]CDR Project Planner'!B23,"")</f>
        <v/>
      </c>
      <c r="C23" s="33" t="str">
        <f>IF(SUMPRODUCT(--(NOT(ISERR(SEARCH({"T","An"},'[4]CDR Project Planner'!$C23))))),'[4]CDR Project Planner'!C23,"")</f>
        <v/>
      </c>
      <c r="D23" s="33" t="str">
        <f>IF(SUMPRODUCT(--(NOT(ISERR(SEARCH({"T","An"},'[4]CDR Project Planner'!$C23))))),'[4]CDR Project Planner'!D23,"")</f>
        <v/>
      </c>
      <c r="E23" s="33" t="str">
        <f>IF(SUMPRODUCT(--(NOT(ISERR(SEARCH({"T","An"},'[4]CDR Project Planner'!$C23))))),'[4]CDR Project Planner'!E23,"")</f>
        <v/>
      </c>
      <c r="F23" s="33" t="str">
        <f>IF(SUMPRODUCT(--(NOT(ISERR(SEARCH({"T","An"},'[4]CDR Project Planner'!$C23))))),'[4]CDR Project Planner'!F23,"")</f>
        <v/>
      </c>
      <c r="G23" s="33" t="str">
        <f>IF(SUMPRODUCT(--(NOT(ISERR(SEARCH({"T","An"},'[4]CDR Project Planner'!$C23))))),'[4]CDR Project Planner'!G23,"")</f>
        <v/>
      </c>
      <c r="H23" s="150" t="str">
        <f>IF(SUMPRODUCT(--(NOT(ISERR(SEARCH({"T","An"},'[4]CDR Project Planner'!$C23))))),'[4]CDR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32" t="str">
        <f>IF(SUMPRODUCT(--(NOT(ISERR(SEARCH({"T","An"},'[4]CDR Project Planner'!$C24))))),'[4]CDR Project Planner'!B24,"")</f>
        <v/>
      </c>
      <c r="C24" s="33" t="str">
        <f>IF(SUMPRODUCT(--(NOT(ISERR(SEARCH({"T","An"},'[4]CDR Project Planner'!$C24))))),'[4]CDR Project Planner'!C24,"")</f>
        <v/>
      </c>
      <c r="D24" s="33" t="str">
        <f>IF(SUMPRODUCT(--(NOT(ISERR(SEARCH({"T","An"},'[4]CDR Project Planner'!$C24))))),'[4]CDR Project Planner'!D24,"")</f>
        <v/>
      </c>
      <c r="E24" s="33" t="str">
        <f>IF(SUMPRODUCT(--(NOT(ISERR(SEARCH({"T","An"},'[4]CDR Project Planner'!$C24))))),'[4]CDR Project Planner'!E24,"")</f>
        <v/>
      </c>
      <c r="F24" s="33" t="str">
        <f>IF(SUMPRODUCT(--(NOT(ISERR(SEARCH({"T","An"},'[4]CDR Project Planner'!$C24))))),'[4]CDR Project Planner'!F24,"")</f>
        <v/>
      </c>
      <c r="G24" s="33" t="str">
        <f>IF(SUMPRODUCT(--(NOT(ISERR(SEARCH({"T","An"},'[4]CDR Project Planner'!$C24))))),'[4]CDR Project Planner'!G24,"")</f>
        <v/>
      </c>
      <c r="H24" s="150" t="str">
        <f>IF(SUMPRODUCT(--(NOT(ISERR(SEARCH({"T","An"},'[4]CDR Project Planner'!$C24))))),'[4]CDR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32" t="str">
        <f>IF(SUMPRODUCT(--(NOT(ISERR(SEARCH({"T","An"},'[4]CDR Project Planner'!#REF!))))),'[4]CDR Project Planner'!#REF!,"")</f>
        <v/>
      </c>
      <c r="C25" s="33" t="str">
        <f>IF(SUMPRODUCT(--(NOT(ISERR(SEARCH({"T","An"},'[4]CDR Project Planner'!#REF!))))),'[4]CDR Project Planner'!#REF!,"")</f>
        <v/>
      </c>
      <c r="D25" s="33" t="str">
        <f>IF(SUMPRODUCT(--(NOT(ISERR(SEARCH({"T","An"},'[4]CDR Project Planner'!#REF!))))),'[4]CDR Project Planner'!#REF!,"")</f>
        <v/>
      </c>
      <c r="E25" s="33" t="str">
        <f>IF(SUMPRODUCT(--(NOT(ISERR(SEARCH({"T","An"},'[4]CDR Project Planner'!#REF!))))),'[4]CDR Project Planner'!#REF!,"")</f>
        <v/>
      </c>
      <c r="F25" s="33" t="str">
        <f>IF(SUMPRODUCT(--(NOT(ISERR(SEARCH({"T","An"},'[4]CDR Project Planner'!#REF!))))),'[4]CDR Project Planner'!#REF!,"")</f>
        <v/>
      </c>
      <c r="G25" s="33" t="str">
        <f>IF(SUMPRODUCT(--(NOT(ISERR(SEARCH({"T","An"},'[4]CDR Project Planner'!#REF!))))),'[4]CDR Project Planner'!#REF!,"")</f>
        <v/>
      </c>
      <c r="H25" s="150" t="str">
        <f>IF(SUMPRODUCT(--(NOT(ISERR(SEARCH({"T","An"},'[4]CDR Project Planner'!#REF!))))),'[4]CDR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32" t="str">
        <f>IF(SUMPRODUCT(--(NOT(ISERR(SEARCH({"T","An"},'[4]CDR Project Planner'!$C28))))),'[4]CDR Project Planner'!B28,"")</f>
        <v/>
      </c>
      <c r="C26" s="33" t="str">
        <f>IF(SUMPRODUCT(--(NOT(ISERR(SEARCH({"T","An"},'[4]CDR Project Planner'!$C28))))),'[4]CDR Project Planner'!C28,"")</f>
        <v/>
      </c>
      <c r="D26" s="33" t="str">
        <f>IF(SUMPRODUCT(--(NOT(ISERR(SEARCH({"T","An"},'[4]CDR Project Planner'!$C28))))),'[4]CDR Project Planner'!D28,"")</f>
        <v/>
      </c>
      <c r="E26" s="33" t="str">
        <f>IF(SUMPRODUCT(--(NOT(ISERR(SEARCH({"T","An"},'[4]CDR Project Planner'!$C28))))),'[4]CDR Project Planner'!E28,"")</f>
        <v/>
      </c>
      <c r="F26" s="33" t="str">
        <f>IF(SUMPRODUCT(--(NOT(ISERR(SEARCH({"T","An"},'[4]CDR Project Planner'!$C28))))),'[4]CDR Project Planner'!F28,"")</f>
        <v/>
      </c>
      <c r="G26" s="33" t="str">
        <f>IF(SUMPRODUCT(--(NOT(ISERR(SEARCH({"T","An"},'[4]CDR Project Planner'!$C28))))),'[4]CDR Project Planner'!G28,"")</f>
        <v/>
      </c>
      <c r="H26" s="150" t="str">
        <f>IF(SUMPRODUCT(--(NOT(ISERR(SEARCH({"T","An"},'[4]CDR Project Planner'!$C28))))),'[4]CDR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32" t="str">
        <f>IF(SUMPRODUCT(--(NOT(ISERR(SEARCH({"T","An"},'[4]CDR Project Planner'!$C29))))),'[4]CDR Project Planner'!B29,"")</f>
        <v/>
      </c>
      <c r="C27" s="33" t="str">
        <f>IF(SUMPRODUCT(--(NOT(ISERR(SEARCH({"T","An"},'[4]CDR Project Planner'!$C29))))),'[4]CDR Project Planner'!C29,"")</f>
        <v/>
      </c>
      <c r="D27" s="33" t="str">
        <f>IF(SUMPRODUCT(--(NOT(ISERR(SEARCH({"T","An"},'[4]CDR Project Planner'!$C29))))),'[4]CDR Project Planner'!D29,"")</f>
        <v/>
      </c>
      <c r="E27" s="33" t="str">
        <f>IF(SUMPRODUCT(--(NOT(ISERR(SEARCH({"T","An"},'[4]CDR Project Planner'!$C29))))),'[4]CDR Project Planner'!E29,"")</f>
        <v/>
      </c>
      <c r="F27" s="33" t="str">
        <f>IF(SUMPRODUCT(--(NOT(ISERR(SEARCH({"T","An"},'[4]CDR Project Planner'!$C29))))),'[4]CDR Project Planner'!F29,"")</f>
        <v/>
      </c>
      <c r="G27" s="33" t="str">
        <f>IF(SUMPRODUCT(--(NOT(ISERR(SEARCH({"T","An"},'[4]CDR Project Planner'!$C29))))),'[4]CDR Project Planner'!G29,"")</f>
        <v/>
      </c>
      <c r="H27" s="150" t="str">
        <f>IF(SUMPRODUCT(--(NOT(ISERR(SEARCH({"T","An"},'[4]CDR Project Planner'!$C29))))),'[4]CDR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32" t="str">
        <f>IF(SUMPRODUCT(--(NOT(ISERR(SEARCH({"T","An"},'[4]CDR Project Planner'!#REF!))))),'[4]CDR Project Planner'!#REF!,"")</f>
        <v/>
      </c>
      <c r="C28" s="33" t="str">
        <f>IF(SUMPRODUCT(--(NOT(ISERR(SEARCH({"T","An"},'[4]CDR Project Planner'!#REF!))))),'[4]CDR Project Planner'!#REF!,"")</f>
        <v/>
      </c>
      <c r="D28" s="33" t="str">
        <f>IF(SUMPRODUCT(--(NOT(ISERR(SEARCH({"T","An"},'[4]CDR Project Planner'!#REF!))))),'[4]CDR Project Planner'!#REF!,"")</f>
        <v/>
      </c>
      <c r="E28" s="33" t="str">
        <f>IF(SUMPRODUCT(--(NOT(ISERR(SEARCH({"T","An"},'[4]CDR Project Planner'!#REF!))))),'[4]CDR Project Planner'!#REF!,"")</f>
        <v/>
      </c>
      <c r="F28" s="33" t="str">
        <f>IF(SUMPRODUCT(--(NOT(ISERR(SEARCH({"T","An"},'[4]CDR Project Planner'!#REF!))))),'[4]CDR Project Planner'!#REF!,"")</f>
        <v/>
      </c>
      <c r="G28" s="33" t="str">
        <f>IF(SUMPRODUCT(--(NOT(ISERR(SEARCH({"T","An"},'[4]CDR Project Planner'!#REF!))))),'[4]CDR Project Planner'!#REF!,"")</f>
        <v/>
      </c>
      <c r="H28" s="150" t="str">
        <f>IF(SUMPRODUCT(--(NOT(ISERR(SEARCH({"T","An"},'[4]CDR Project Planner'!#REF!))))),'[4]CDR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32" t="str">
        <f>IF(SUMPRODUCT(--(NOT(ISERR(SEARCH({"T","An"},'[4]CDR Project Planner'!$C30))))),'[4]CDR Project Planner'!B30,"")</f>
        <v/>
      </c>
      <c r="C29" s="33" t="str">
        <f>IF(SUMPRODUCT(--(NOT(ISERR(SEARCH({"T","An"},'[4]CDR Project Planner'!$C30))))),'[4]CDR Project Planner'!C30,"")</f>
        <v/>
      </c>
      <c r="D29" s="33" t="str">
        <f>IF(SUMPRODUCT(--(NOT(ISERR(SEARCH({"T","An"},'[4]CDR Project Planner'!$C30))))),'[4]CDR Project Planner'!D30,"")</f>
        <v/>
      </c>
      <c r="E29" s="33" t="str">
        <f>IF(SUMPRODUCT(--(NOT(ISERR(SEARCH({"T","An"},'[4]CDR Project Planner'!$C30))))),'[4]CDR Project Planner'!E30,"")</f>
        <v/>
      </c>
      <c r="F29" s="33" t="str">
        <f>IF(SUMPRODUCT(--(NOT(ISERR(SEARCH({"T","An"},'[4]CDR Project Planner'!$C30))))),'[4]CDR Project Planner'!F30,"")</f>
        <v/>
      </c>
      <c r="G29" s="33" t="str">
        <f>IF(SUMPRODUCT(--(NOT(ISERR(SEARCH({"T","An"},'[4]CDR Project Planner'!$C30))))),'[4]CDR Project Planner'!G30,"")</f>
        <v/>
      </c>
      <c r="H29" s="150" t="str">
        <f>IF(SUMPRODUCT(--(NOT(ISERR(SEARCH({"T","An"},'[4]CDR Project Planner'!$C30))))),'[4]CDR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9" t="str">
        <f>IF(SUMPRODUCT(--(NOT(ISERR(SEARCH({"T","An"},'[4]CDR Project Planner'!$C35))))),'[4]CDR Project Planner'!B35,"")</f>
        <v>Project Management</v>
      </c>
      <c r="C30" s="33" t="str">
        <f>IF(SUMPRODUCT(--(NOT(ISERR(SEARCH({"T","An"},'[4]CDR Project Planner'!$C35))))),'[4]CDR Project Planner'!C35,"")</f>
        <v>An &amp; T &amp; ?</v>
      </c>
      <c r="D30" s="33"/>
      <c r="E30" s="33"/>
      <c r="F30" s="33"/>
      <c r="G30" s="33"/>
      <c r="H30" s="38">
        <f>IF(SUMPRODUCT(--(NOT(ISERR(SEARCH({"T","An"},'[4]CDR Project Planner'!$C35))))),'[4]CDR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0" t="str">
        <f>IF(SUMPRODUCT(--(NOT(ISERR(SEARCH({"T","An"},'[4]CDR Project Planner'!$C36))))),'[4]CDR Project Planner'!B36,"")</f>
        <v>Complete CDR Plan</v>
      </c>
      <c r="C31" s="33" t="str">
        <f>IF(SUMPRODUCT(--(NOT(ISERR(SEARCH({"T","An"},'[4]CDR Project Planner'!$C36))))),'[4]CDR Project Planner'!C36,"")</f>
        <v>An</v>
      </c>
      <c r="D31" s="33">
        <f>IF(SUMPRODUCT(--(NOT(ISERR(SEARCH({"T","An"},'[4]CDR Project Planner'!$C36))))),'[4]CDR Project Planner'!D36,"")</f>
        <v>23</v>
      </c>
      <c r="E31" s="33">
        <f>IF(SUMPRODUCT(--(NOT(ISERR(SEARCH({"T","An"},'[4]CDR Project Planner'!$C36))))),'[4]CDR Project Planner'!E36,"")</f>
        <v>7</v>
      </c>
      <c r="F31" s="33">
        <f>IF(SUMPRODUCT(--(NOT(ISERR(SEARCH({"T","An"},'[4]CDR Project Planner'!$C36))))),'[4]CDR Project Planner'!F36,"")</f>
        <v>23</v>
      </c>
      <c r="G31" s="33">
        <f>IF(SUMPRODUCT(--(NOT(ISERR(SEARCH({"T","An"},'[4]CDR Project Planner'!$C36))))),'[4]CDR Project Planner'!G36,"")</f>
        <v>0</v>
      </c>
      <c r="H31" s="38">
        <f>IF(SUMPRODUCT(--(NOT(ISERR(SEARCH({"T","An"},'[4]CDR Project Planner'!$C36))))),'[4]CDR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32" t="str">
        <f>IF(SUMPRODUCT(--(NOT(ISERR(SEARCH({"T","An"},'[4]CDR Project Planner'!$C37))))),'[4]CDR Project Planner'!B37,"")</f>
        <v/>
      </c>
      <c r="C32" s="33" t="str">
        <f>IF(SUMPRODUCT(--(NOT(ISERR(SEARCH({"T","An"},'[4]CDR Project Planner'!$C37))))),'[4]CDR Project Planner'!C37,"")</f>
        <v/>
      </c>
      <c r="D32" s="33" t="str">
        <f>IF(SUMPRODUCT(--(NOT(ISERR(SEARCH({"T","An"},'[4]CDR Project Planner'!$C37))))),'[4]CDR Project Planner'!D37,"")</f>
        <v/>
      </c>
      <c r="E32" s="33" t="str">
        <f>IF(SUMPRODUCT(--(NOT(ISERR(SEARCH({"T","An"},'[4]CDR Project Planner'!$C37))))),'[4]CDR Project Planner'!E37,"")</f>
        <v/>
      </c>
      <c r="F32" s="33" t="str">
        <f>IF(SUMPRODUCT(--(NOT(ISERR(SEARCH({"T","An"},'[4]CDR Project Planner'!$C37))))),'[4]CDR Project Planner'!F37,"")</f>
        <v/>
      </c>
      <c r="G32" s="33" t="str">
        <f>IF(SUMPRODUCT(--(NOT(ISERR(SEARCH({"T","An"},'[4]CDR Project Planner'!$C37))))),'[4]CDR Project Planner'!G37,"")</f>
        <v/>
      </c>
      <c r="H32" s="38" t="str">
        <f>IF(SUMPRODUCT(--(NOT(ISERR(SEARCH({"T","An"},'[4]CDR Project Planner'!$C37))))),'[4]CDR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32" t="str">
        <f>IF(SUMPRODUCT(--(NOT(ISERR(SEARCH({"T","An"},'[4]CDR Project Planner'!$C38))))),'[4]CDR Project Planner'!B38,"")</f>
        <v/>
      </c>
      <c r="C33" s="33" t="str">
        <f>IF(SUMPRODUCT(--(NOT(ISERR(SEARCH({"T","An"},'[4]CDR Project Planner'!$C38))))),'[4]CDR Project Planner'!C38,"")</f>
        <v/>
      </c>
      <c r="D33" s="33" t="str">
        <f>IF(SUMPRODUCT(--(NOT(ISERR(SEARCH({"T","An"},'[4]CDR Project Planner'!$C38))))),'[4]CDR Project Planner'!D38,"")</f>
        <v/>
      </c>
      <c r="E33" s="33" t="str">
        <f>IF(SUMPRODUCT(--(NOT(ISERR(SEARCH({"T","An"},'[4]CDR Project Planner'!$C38))))),'[4]CDR Project Planner'!E38,"")</f>
        <v/>
      </c>
      <c r="F33" s="33" t="str">
        <f>IF(SUMPRODUCT(--(NOT(ISERR(SEARCH({"T","An"},'[4]CDR Project Planner'!$C38))))),'[4]CDR Project Planner'!F38,"")</f>
        <v/>
      </c>
      <c r="G33" s="33" t="str">
        <f>IF(SUMPRODUCT(--(NOT(ISERR(SEARCH({"T","An"},'[4]CDR Project Planner'!$C38))))),'[4]CDR Project Planner'!G38,"")</f>
        <v/>
      </c>
      <c r="H33" s="38" t="str">
        <f>IF(SUMPRODUCT(--(NOT(ISERR(SEARCH({"T","An"},'[4]CDR Project Planner'!$C38))))),'[4]CDR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0" t="str">
        <f>IF(SUMPRODUCT(--(NOT(ISERR(SEARCH({"T","An"},'[4]CDR Project Planner'!$C39))))),'[4]CDR Project Planner'!B39,"")</f>
        <v>Develop Tech Memo - Rover</v>
      </c>
      <c r="C34" s="33" t="str">
        <f>IF(SUMPRODUCT(--(NOT(ISERR(SEARCH({"T","An"},'[4]CDR Project Planner'!$C39))))),'[4]CDR Project Planner'!C39,"")</f>
        <v>An</v>
      </c>
      <c r="D34" s="33">
        <f>IF(SUMPRODUCT(--(NOT(ISERR(SEARCH({"T","An"},'[4]CDR Project Planner'!$C39))))),'[4]CDR Project Planner'!D39,"")</f>
        <v>41</v>
      </c>
      <c r="E34" s="33">
        <f>IF(SUMPRODUCT(--(NOT(ISERR(SEARCH({"T","An"},'[4]CDR Project Planner'!$C39))))),'[4]CDR Project Planner'!E39,"")</f>
        <v>6</v>
      </c>
      <c r="F34" s="33">
        <f>IF(SUMPRODUCT(--(NOT(ISERR(SEARCH({"T","An"},'[4]CDR Project Planner'!$C39))))),'[4]CDR Project Planner'!F39,"")</f>
        <v>0</v>
      </c>
      <c r="G34" s="33">
        <f>IF(SUMPRODUCT(--(NOT(ISERR(SEARCH({"T","An"},'[4]CDR Project Planner'!$C39))))),'[4]CDR Project Planner'!G39,"")</f>
        <v>0</v>
      </c>
      <c r="H34" s="38">
        <f>IF(SUMPRODUCT(--(NOT(ISERR(SEARCH({"T","An"},'[4]CDR Project Planner'!$C39))))),'[4]CDR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40" t="str">
        <f>IF(SUMPRODUCT(--(NOT(ISERR(SEARCH({"T","An"},'[4]CDR Project Planner'!$C40))))),'[4]CDR Project Planner'!B40,"")</f>
        <v>CDR PowerPoint</v>
      </c>
      <c r="C35" s="33" t="str">
        <f>IF(SUMPRODUCT(--(NOT(ISERR(SEARCH({"T","An"},'[4]CDR Project Planner'!$C40))))),'[4]CDR Project Planner'!C40,"")</f>
        <v>T</v>
      </c>
      <c r="D35" s="33">
        <f>IF(SUMPRODUCT(--(NOT(ISERR(SEARCH({"T","An"},'[4]CDR Project Planner'!$C40))))),'[4]CDR Project Planner'!D40,"")</f>
        <v>45</v>
      </c>
      <c r="E35" s="33">
        <f>IF(SUMPRODUCT(--(NOT(ISERR(SEARCH({"T","An"},'[4]CDR Project Planner'!$C40))))),'[4]CDR Project Planner'!E40,"")</f>
        <v>10</v>
      </c>
      <c r="F35" s="33">
        <f>IF(SUMPRODUCT(--(NOT(ISERR(SEARCH({"T","An"},'[4]CDR Project Planner'!$C40))))),'[4]CDR Project Planner'!F40,"")</f>
        <v>0</v>
      </c>
      <c r="G35" s="33">
        <f>IF(SUMPRODUCT(--(NOT(ISERR(SEARCH({"T","An"},'[4]CDR Project Planner'!$C40))))),'[4]CDR Project Planner'!G40,"")</f>
        <v>0</v>
      </c>
      <c r="H35" s="38">
        <f>IF(SUMPRODUCT(--(NOT(ISERR(SEARCH({"T","An"},'[4]CDR Project Planner'!$C40))))),'[4]CDR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23"/>
      <c r="B36" s="36" t="str">
        <f>IF(SUMPRODUCT(--(NOT(ISERR(SEARCH({"T","An"},'[4]CDR Project Planner'!$C41))))),'[4]CDR Project Planner'!B41,"")</f>
        <v>CDR</v>
      </c>
      <c r="C36" s="37" t="str">
        <f>IF(SUMPRODUCT(--(NOT(ISERR(SEARCH({"T","An"},'[4]CDR Project Planner'!$C41))))),'[4]CDR Project Planner'!C41,"")</f>
        <v>T</v>
      </c>
      <c r="D36" s="37">
        <f>IF(SUMPRODUCT(--(NOT(ISERR(SEARCH({"T","An"},'[4]CDR Project Planner'!$C41))))),'[4]CDR Project Planner'!D41,"")</f>
        <v>55</v>
      </c>
      <c r="E36" s="37">
        <f>IF(SUMPRODUCT(--(NOT(ISERR(SEARCH({"T","An"},'[4]CDR Project Planner'!$C41))))),'[4]CDR Project Planner'!E41,"")</f>
        <v>1</v>
      </c>
      <c r="F36" s="37">
        <f>IF(SUMPRODUCT(--(NOT(ISERR(SEARCH({"T","An"},'[4]CDR Project Planner'!$C41))))),'[4]CDR Project Planner'!F41,"")</f>
        <v>55</v>
      </c>
      <c r="G36" s="37">
        <f>IF(SUMPRODUCT(--(NOT(ISERR(SEARCH({"T","An"},'[4]CDR Project Planner'!$C41))))),'[4]CDR Project Planner'!G41,"")</f>
        <v>1</v>
      </c>
      <c r="H36" s="38">
        <f>IF(SUMPRODUCT(--(NOT(ISERR(SEARCH({"T","An"},'[4]CDR Project Planner'!$C41))))),'[4]CDR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39" t="str">
        <f>IF(SUMPRODUCT(--(NOT(ISERR(SEARCH({"T","An"},'[4]CDR Project Planner'!$C42))))),'[4]CDR Project Planner'!B42,"")</f>
        <v>After We Finish</v>
      </c>
      <c r="C37" s="33" t="str">
        <f>IF(SUMPRODUCT(--(NOT(ISERR(SEARCH({"T","An"},'[4]CDR Project Planner'!$C42))))),'[4]CDR Project Planner'!C42,"")</f>
        <v>C &amp; An</v>
      </c>
      <c r="D37" s="33"/>
      <c r="E37" s="33"/>
      <c r="F37" s="33"/>
      <c r="G37" s="33"/>
      <c r="H37" s="38">
        <f>IF(SUMPRODUCT(--(NOT(ISERR(SEARCH({"T","An"},'[4]CDR Project Planner'!$C42))))),'[4]CDR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0" t="str">
        <f>IF(SUMPRODUCT(--(NOT(ISERR(SEARCH({"T","An"},'[4]CDR Project Planner'!$C43))))),'[4]CDR Project Planner'!B43,"")</f>
        <v>Create sound board*</v>
      </c>
      <c r="C38" s="33" t="str">
        <f>IF(SUMPRODUCT(--(NOT(ISERR(SEARCH({"T","An"},'[4]CDR Project Planner'!$C43))))),'[4]CDR Project Planner'!C43,"")</f>
        <v>C &amp; An</v>
      </c>
      <c r="D38" s="33" t="str">
        <f>IF(SUMPRODUCT(--(NOT(ISERR(SEARCH({"T","An"},'[4]CDR Project Planner'!$C43))))),'[4]CDR Project Planner'!D43,"")</f>
        <v>TBA</v>
      </c>
      <c r="E38" s="33" t="str">
        <f>IF(SUMPRODUCT(--(NOT(ISERR(SEARCH({"T","An"},'[4]CDR Project Planner'!$C43))))),'[4]CDR Project Planner'!E43,"")</f>
        <v>TBA</v>
      </c>
      <c r="F38" s="33">
        <f>IF(SUMPRODUCT(--(NOT(ISERR(SEARCH({"T","An"},'[4]CDR Project Planner'!$C43))))),'[4]CDR Project Planner'!F43,"")</f>
        <v>0</v>
      </c>
      <c r="G38" s="33">
        <f>IF(SUMPRODUCT(--(NOT(ISERR(SEARCH({"T","An"},'[4]CDR Project Planner'!$C43))))),'[4]CDR Project Planner'!G43,"")</f>
        <v>0</v>
      </c>
      <c r="H38" s="38">
        <f>IF(SUMPRODUCT(--(NOT(ISERR(SEARCH({"T","An"},'[4]CDR Project Planner'!$C43))))),'[4]CDR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0" t="str">
        <f>IF(SUMPRODUCT(--(NOT(ISERR(SEARCH({"T","An"},'[4]CDR Project Planner'!$C44))))),'[4]CDR Project Planner'!B44,"")</f>
        <v>Implement Wireless Speaker</v>
      </c>
      <c r="C39" s="33" t="str">
        <f>IF(SUMPRODUCT(--(NOT(ISERR(SEARCH({"T","An"},'[4]CDR Project Planner'!$C44))))),'[4]CDR Project Planner'!C44,"")</f>
        <v>An</v>
      </c>
      <c r="D39" s="33" t="str">
        <f>IF(SUMPRODUCT(--(NOT(ISERR(SEARCH({"T","An"},'[4]CDR Project Planner'!$C44))))),'[4]CDR Project Planner'!D44,"")</f>
        <v>TBA</v>
      </c>
      <c r="E39" s="33" t="str">
        <f>IF(SUMPRODUCT(--(NOT(ISERR(SEARCH({"T","An"},'[4]CDR Project Planner'!$C44))))),'[4]CDR Project Planner'!E44,"")</f>
        <v>TBA</v>
      </c>
      <c r="F39" s="33">
        <f>IF(SUMPRODUCT(--(NOT(ISERR(SEARCH({"T","An"},'[4]CDR Project Planner'!$C44))))),'[4]CDR Project Planner'!F44,"")</f>
        <v>0</v>
      </c>
      <c r="G39" s="33">
        <f>IF(SUMPRODUCT(--(NOT(ISERR(SEARCH({"T","An"},'[4]CDR Project Planner'!$C44))))),'[4]CDR Project Planner'!G44,"")</f>
        <v>0</v>
      </c>
      <c r="H39" s="38">
        <f>IF(SUMPRODUCT(--(NOT(ISERR(SEARCH({"T","An"},'[4]CDR Project Planner'!$C44))))),'[4]CDR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32" t="str">
        <f>IF(SUMPRODUCT(--(NOT(ISERR(SEARCH({"T","An"},'[4]CDR Project Planner'!$C45))))),'[4]CDR Project Planner'!B45,"")</f>
        <v/>
      </c>
      <c r="C40" s="33" t="str">
        <f>IF(SUMPRODUCT(--(NOT(ISERR(SEARCH({"T","An"},'[4]CDR Project Planner'!$C45))))),'[4]CDR Project Planner'!C45,"")</f>
        <v/>
      </c>
      <c r="D40" s="33" t="str">
        <f>IF(SUMPRODUCT(--(NOT(ISERR(SEARCH({"T","An"},'[4]CDR Project Planner'!$C45))))),'[4]CDR Project Planner'!D45,"")</f>
        <v/>
      </c>
      <c r="E40" s="33" t="str">
        <f>IF(SUMPRODUCT(--(NOT(ISERR(SEARCH({"T","An"},'[4]CDR Project Planner'!$C45))))),'[4]CDR Project Planner'!E45,"")</f>
        <v/>
      </c>
      <c r="F40" s="33" t="str">
        <f>IF(SUMPRODUCT(--(NOT(ISERR(SEARCH({"T","An"},'[4]CDR Project Planner'!$C45))))),'[4]CDR Project Planner'!F45,"")</f>
        <v/>
      </c>
      <c r="G40" s="33" t="str">
        <f>IF(SUMPRODUCT(--(NOT(ISERR(SEARCH({"T","An"},'[4]CDR Project Planner'!$C45))))),'[4]CDR Project Planner'!G45,"")</f>
        <v/>
      </c>
      <c r="H40" s="38" t="str">
        <f>IF(SUMPRODUCT(--(NOT(ISERR(SEARCH({"T","An"},'[4]CDR Project Planner'!$C45))))),'[4]CDR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32" t="str">
        <f>IF(SUMPRODUCT(--(NOT(ISERR(SEARCH({"T","An"},'[4]CDR Project Planner'!$C46))))),'[4]CDR Project Planner'!B46,"")</f>
        <v/>
      </c>
      <c r="C41" s="33" t="str">
        <f>IF(SUMPRODUCT(--(NOT(ISERR(SEARCH({"T","An"},'[4]CDR Project Planner'!$C46))))),'[4]CDR Project Planner'!C46,"")</f>
        <v/>
      </c>
      <c r="D41" s="33" t="str">
        <f>IF(SUMPRODUCT(--(NOT(ISERR(SEARCH({"T","An"},'[4]CDR Project Planner'!$C46))))),'[4]CDR Project Planner'!D46,"")</f>
        <v/>
      </c>
      <c r="E41" s="33" t="str">
        <f>IF(SUMPRODUCT(--(NOT(ISERR(SEARCH({"T","An"},'[4]CDR Project Planner'!$C46))))),'[4]CDR Project Planner'!E46,"")</f>
        <v/>
      </c>
      <c r="F41" s="33" t="str">
        <f>IF(SUMPRODUCT(--(NOT(ISERR(SEARCH({"T","An"},'[4]CDR Project Planner'!$C46))))),'[4]CDR Project Planner'!F46,"")</f>
        <v/>
      </c>
      <c r="G41" s="33" t="str">
        <f>IF(SUMPRODUCT(--(NOT(ISERR(SEARCH({"T","An"},'[4]CDR Project Planner'!$C46))))),'[4]CDR Project Planner'!G46,"")</f>
        <v/>
      </c>
      <c r="H41" s="38" t="str">
        <f>IF(SUMPRODUCT(--(NOT(ISERR(SEARCH({"T","An"},'[4]CDR Project Planner'!$C46))))),'[4]CDR Project Planner'!H46,"")</f>
        <v/>
      </c>
    </row>
    <row r="42" spans="1:68" ht="30" customHeight="1" x14ac:dyDescent="0.25">
      <c r="B42" s="32" t="str">
        <f>IF(SUMPRODUCT(--(NOT(ISERR(SEARCH({"T","An"},'[4]CDR Project Planner'!$C47))))),'[4]CDR Project Planner'!B47,"")</f>
        <v/>
      </c>
      <c r="C42" s="33" t="str">
        <f>IF(SUMPRODUCT(--(NOT(ISERR(SEARCH({"T","An"},'[4]CDR Project Planner'!$C47))))),'[4]CDR Project Planner'!C47,"")</f>
        <v/>
      </c>
      <c r="D42" s="33" t="str">
        <f>IF(SUMPRODUCT(--(NOT(ISERR(SEARCH({"T","An"},'[4]CDR Project Planner'!$C47))))),'[4]CDR Project Planner'!D47,"")</f>
        <v/>
      </c>
      <c r="E42" s="33" t="str">
        <f>IF(SUMPRODUCT(--(NOT(ISERR(SEARCH({"T","An"},'[4]CDR Project Planner'!$C47))))),'[4]CDR Project Planner'!E47,"")</f>
        <v/>
      </c>
      <c r="F42" s="33" t="str">
        <f>IF(SUMPRODUCT(--(NOT(ISERR(SEARCH({"T","An"},'[4]CDR Project Planner'!$C47))))),'[4]CDR Project Planner'!F47,"")</f>
        <v/>
      </c>
      <c r="G42" s="33" t="str">
        <f>IF(SUMPRODUCT(--(NOT(ISERR(SEARCH({"T","An"},'[4]CDR Project Planner'!$C47))))),'[4]CDR Project Planner'!G47,"")</f>
        <v/>
      </c>
      <c r="H42" s="38" t="str">
        <f>IF(SUMPRODUCT(--(NOT(ISERR(SEARCH({"T","An"},'[4]CDR Project Planner'!$C47))))),'[4]CDR Project Planner'!H47,"")</f>
        <v/>
      </c>
    </row>
    <row r="43" spans="1:68" ht="30" customHeight="1" x14ac:dyDescent="0.25">
      <c r="B43" s="32" t="str">
        <f>IF(SUMPRODUCT(--(NOT(ISERR(SEARCH({"T","An"},'[4]CDR Project Planner'!$C48))))),'[4]CDR Project Planner'!B48,"")</f>
        <v/>
      </c>
      <c r="C43" s="33" t="str">
        <f>IF(SUMPRODUCT(--(NOT(ISERR(SEARCH({"T","An"},'[4]CDR Project Planner'!$C48))))),'[4]CDR Project Planner'!C48,"")</f>
        <v/>
      </c>
      <c r="D43" s="33" t="str">
        <f>IF(SUMPRODUCT(--(NOT(ISERR(SEARCH({"T","An"},'[4]CDR Project Planner'!$C48))))),'[4]CDR Project Planner'!D48,"")</f>
        <v/>
      </c>
      <c r="E43" s="33" t="str">
        <f>IF(SUMPRODUCT(--(NOT(ISERR(SEARCH({"T","An"},'[4]CDR Project Planner'!$C48))))),'[4]CDR Project Planner'!E48,"")</f>
        <v/>
      </c>
      <c r="F43" s="33" t="str">
        <f>IF(SUMPRODUCT(--(NOT(ISERR(SEARCH({"T","An"},'[4]CDR Project Planner'!$C48))))),'[4]CDR Project Planner'!F48,"")</f>
        <v/>
      </c>
      <c r="G43" s="33" t="str">
        <f>IF(SUMPRODUCT(--(NOT(ISERR(SEARCH({"T","An"},'[4]CDR Project Planner'!$C48))))),'[4]CDR Project Planner'!G48,"")</f>
        <v/>
      </c>
      <c r="H43" s="38" t="str">
        <f>IF(SUMPRODUCT(--(NOT(ISERR(SEARCH({"T","An"},'[4]CDR Project Planner'!$C48))))),'[4]CDR Project Planner'!H48,"")</f>
        <v/>
      </c>
    </row>
    <row r="44" spans="1:68" s="4" customFormat="1" ht="30" customHeight="1" x14ac:dyDescent="0.25">
      <c r="A44" s="1"/>
      <c r="B44" s="32" t="str">
        <f>IF(SUMPRODUCT(--(NOT(ISERR(SEARCH({"T","An"},'[4]CDR Project Planner'!$C49))))),'[4]CDR Project Planner'!B49,"")</f>
        <v/>
      </c>
      <c r="C44" s="33" t="str">
        <f>IF(SUMPRODUCT(--(NOT(ISERR(SEARCH({"T","An"},'[4]CDR Project Planner'!$C49))))),'[4]CDR Project Planner'!C49,"")</f>
        <v/>
      </c>
      <c r="D44" s="33" t="str">
        <f>IF(SUMPRODUCT(--(NOT(ISERR(SEARCH({"T","An"},'[4]CDR Project Planner'!$C49))))),'[4]CDR Project Planner'!D49,"")</f>
        <v/>
      </c>
      <c r="E44" s="33" t="str">
        <f>IF(SUMPRODUCT(--(NOT(ISERR(SEARCH({"T","An"},'[4]CDR Project Planner'!$C49))))),'[4]CDR Project Planner'!E49,"")</f>
        <v/>
      </c>
      <c r="F44" s="33" t="str">
        <f>IF(SUMPRODUCT(--(NOT(ISERR(SEARCH({"T","An"},'[4]CDR Project Planner'!$C49))))),'[4]CDR Project Planner'!F49,"")</f>
        <v/>
      </c>
      <c r="G44" s="33" t="str">
        <f>IF(SUMPRODUCT(--(NOT(ISERR(SEARCH({"T","An"},'[4]CDR Project Planner'!$C49))))),'[4]CDR Project Planner'!G49,"")</f>
        <v/>
      </c>
      <c r="H44" s="38" t="str">
        <f>IF(SUMPRODUCT(--(NOT(ISERR(SEARCH({"T","An"},'[4]CDR Project Planner'!$C49))))),'[4]CDR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32" t="str">
        <f>IF(SUMPRODUCT(--(NOT(ISERR(SEARCH({"T","An"},'[4]CDR Project Planner'!$C50))))),'[4]CDR Project Planner'!B50,"")</f>
        <v/>
      </c>
      <c r="C45" s="33" t="str">
        <f>IF(SUMPRODUCT(--(NOT(ISERR(SEARCH({"T","An"},'[4]CDR Project Planner'!$C50))))),'[4]CDR Project Planner'!C50,"")</f>
        <v/>
      </c>
      <c r="D45" s="33" t="str">
        <f>IF(SUMPRODUCT(--(NOT(ISERR(SEARCH({"T","An"},'[4]CDR Project Planner'!$C50))))),'[4]CDR Project Planner'!D50,"")</f>
        <v/>
      </c>
      <c r="E45" s="33" t="str">
        <f>IF(SUMPRODUCT(--(NOT(ISERR(SEARCH({"T","An"},'[4]CDR Project Planner'!$C50))))),'[4]CDR Project Planner'!E50,"")</f>
        <v/>
      </c>
      <c r="F45" s="33" t="str">
        <f>IF(SUMPRODUCT(--(NOT(ISERR(SEARCH({"T","An"},'[4]CDR Project Planner'!$C50))))),'[4]CDR Project Planner'!F50,"")</f>
        <v/>
      </c>
      <c r="G45" s="33" t="str">
        <f>IF(SUMPRODUCT(--(NOT(ISERR(SEARCH({"T","An"},'[4]CDR Project Planner'!$C50))))),'[4]CDR Project Planner'!G50,"")</f>
        <v/>
      </c>
      <c r="H45" s="38" t="str">
        <f>IF(SUMPRODUCT(--(NOT(ISERR(SEARCH({"T","An"},'[4]CDR Project Planner'!$C50))))),'[4]CDR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32" t="str">
        <f>IF(SUMPRODUCT(--(NOT(ISERR(SEARCH({"T","An"},'[4]CDR Project Planner'!$C51))))),'[4]CDR Project Planner'!B51,"")</f>
        <v/>
      </c>
      <c r="C46" s="33" t="str">
        <f>IF(SUMPRODUCT(--(NOT(ISERR(SEARCH({"T","An"},'[4]CDR Project Planner'!$C51))))),'[4]CDR Project Planner'!C51,"")</f>
        <v/>
      </c>
      <c r="D46" s="33" t="str">
        <f>IF(SUMPRODUCT(--(NOT(ISERR(SEARCH({"T","An"},'[4]CDR Project Planner'!$C51))))),'[4]CDR Project Planner'!D51,"")</f>
        <v/>
      </c>
      <c r="E46" s="33" t="str">
        <f>IF(SUMPRODUCT(--(NOT(ISERR(SEARCH({"T","An"},'[4]CDR Project Planner'!$C51))))),'[4]CDR Project Planner'!E51,"")</f>
        <v/>
      </c>
      <c r="F46" s="33" t="str">
        <f>IF(SUMPRODUCT(--(NOT(ISERR(SEARCH({"T","An"},'[4]CDR Project Planner'!$C51))))),'[4]CDR Project Planner'!F51,"")</f>
        <v/>
      </c>
      <c r="G46" s="33" t="str">
        <f>IF(SUMPRODUCT(--(NOT(ISERR(SEARCH({"T","An"},'[4]CDR Project Planner'!$C51))))),'[4]CDR Project Planner'!G51,"")</f>
        <v/>
      </c>
      <c r="H46" s="38" t="str">
        <f>IF(SUMPRODUCT(--(NOT(ISERR(SEARCH({"T","An"},'[4]CDR Project Planner'!$C51))))),'[4]CDR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32" t="str">
        <f>IF(SUMPRODUCT(--(NOT(ISERR(SEARCH({"T","An"},'[4]CDR Project Planner'!$C52))))),'[4]CDR Project Planner'!B52,"")</f>
        <v/>
      </c>
      <c r="C47" s="33" t="str">
        <f>IF(SUMPRODUCT(--(NOT(ISERR(SEARCH({"T","An"},'[4]CDR Project Planner'!$C52))))),'[4]CDR Project Planner'!C52,"")</f>
        <v/>
      </c>
      <c r="D47" s="33" t="str">
        <f>IF(SUMPRODUCT(--(NOT(ISERR(SEARCH({"T","An"},'[4]CDR Project Planner'!$C52))))),'[4]CDR Project Planner'!D52,"")</f>
        <v/>
      </c>
      <c r="E47" s="33" t="str">
        <f>IF(SUMPRODUCT(--(NOT(ISERR(SEARCH({"T","An"},'[4]CDR Project Planner'!$C52))))),'[4]CDR Project Planner'!E52,"")</f>
        <v/>
      </c>
      <c r="F47" s="33" t="str">
        <f>IF(SUMPRODUCT(--(NOT(ISERR(SEARCH({"T","An"},'[4]CDR Project Planner'!$C52))))),'[4]CDR Project Planner'!F52,"")</f>
        <v/>
      </c>
      <c r="G47" s="33" t="str">
        <f>IF(SUMPRODUCT(--(NOT(ISERR(SEARCH({"T","An"},'[4]CDR Project Planner'!$C52))))),'[4]CDR Project Planner'!G52,"")</f>
        <v/>
      </c>
      <c r="H47" s="38" t="str">
        <f>IF(SUMPRODUCT(--(NOT(ISERR(SEARCH({"T","An"},'[4]CDR Project Planner'!$C52))))),'[4]CDR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32" t="str">
        <f>IF(SUMPRODUCT(--(NOT(ISERR(SEARCH({"T","An"},'[4]CDR Project Planner'!$C53))))),'[4]CDR Project Planner'!B53,"")</f>
        <v/>
      </c>
      <c r="C48" s="33" t="str">
        <f>IF(SUMPRODUCT(--(NOT(ISERR(SEARCH({"T","An"},'[4]CDR Project Planner'!$C53))))),'[4]CDR Project Planner'!C53,"")</f>
        <v/>
      </c>
      <c r="D48" s="33" t="str">
        <f>IF(SUMPRODUCT(--(NOT(ISERR(SEARCH({"T","An"},'[4]CDR Project Planner'!$C53))))),'[4]CDR Project Planner'!D53,"")</f>
        <v/>
      </c>
      <c r="E48" s="33" t="str">
        <f>IF(SUMPRODUCT(--(NOT(ISERR(SEARCH({"T","An"},'[4]CDR Project Planner'!$C53))))),'[4]CDR Project Planner'!E53,"")</f>
        <v/>
      </c>
      <c r="F48" s="33" t="str">
        <f>IF(SUMPRODUCT(--(NOT(ISERR(SEARCH({"T","An"},'[4]CDR Project Planner'!$C53))))),'[4]CDR Project Planner'!F53,"")</f>
        <v/>
      </c>
      <c r="G48" s="33" t="str">
        <f>IF(SUMPRODUCT(--(NOT(ISERR(SEARCH({"T","An"},'[4]CDR Project Planner'!$C53))))),'[4]CDR Project Planner'!G53,"")</f>
        <v/>
      </c>
      <c r="H48" s="38" t="str">
        <f>IF(SUMPRODUCT(--(NOT(ISERR(SEARCH({"T","An"},'[4]CDR Project Planner'!$C53))))),'[4]CDR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32" t="str">
        <f>IF(SUMPRODUCT(--(NOT(ISERR(SEARCH({"T","An"},'[4]CDR Project Planner'!$C54))))),'[4]CDR Project Planner'!B54,"")</f>
        <v/>
      </c>
      <c r="C49" s="33" t="str">
        <f>IF(SUMPRODUCT(--(NOT(ISERR(SEARCH({"T","An"},'[4]CDR Project Planner'!$C54))))),'[4]CDR Project Planner'!C54,"")</f>
        <v/>
      </c>
      <c r="D49" s="33" t="str">
        <f>IF(SUMPRODUCT(--(NOT(ISERR(SEARCH({"T","An"},'[4]CDR Project Planner'!$C54))))),'[4]CDR Project Planner'!D54,"")</f>
        <v/>
      </c>
      <c r="E49" s="33" t="str">
        <f>IF(SUMPRODUCT(--(NOT(ISERR(SEARCH({"T","An"},'[4]CDR Project Planner'!$C54))))),'[4]CDR Project Planner'!E54,"")</f>
        <v/>
      </c>
      <c r="F49" s="33" t="str">
        <f>IF(SUMPRODUCT(--(NOT(ISERR(SEARCH({"T","An"},'[4]CDR Project Planner'!$C54))))),'[4]CDR Project Planner'!F54,"")</f>
        <v/>
      </c>
      <c r="G49" s="33" t="str">
        <f>IF(SUMPRODUCT(--(NOT(ISERR(SEARCH({"T","An"},'[4]CDR Project Planner'!$C54))))),'[4]CDR Project Planner'!G54,"")</f>
        <v/>
      </c>
      <c r="H49" s="38" t="str">
        <f>IF(SUMPRODUCT(--(NOT(ISERR(SEARCH({"T","An"},'[4]CDR Project Planner'!$C54))))),'[4]CDR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34" t="str">
        <f>IF(SUMPRODUCT(--(NOT(ISERR(SEARCH({"T","Ba"},'[4]CDR Project Planner'!$C55))))),'[4]CDR Project Planner'!B55,"")</f>
        <v/>
      </c>
      <c r="C50" s="34" t="str">
        <f>IF(SUMPRODUCT(--(NOT(ISERR(SEARCH({"T","Ba"},'[4]CDR Project Planner'!$C55))))),'[4]CDR Project Planner'!C55,"")</f>
        <v/>
      </c>
      <c r="D50" s="41" t="str">
        <f>IF(SUMPRODUCT(--(NOT(ISERR(SEARCH({"T","Ba"},'[4]CDR Project Planner'!$C55))))),'[4]CDR Project Planner'!D55,"")</f>
        <v/>
      </c>
      <c r="E50" s="41" t="str">
        <f>IF(SUMPRODUCT(--(NOT(ISERR(SEARCH({"T","Ba"},'[4]CDR Project Planner'!$C55))))),'[4]CDR Project Planner'!E55,"")</f>
        <v/>
      </c>
      <c r="F50" s="41" t="str">
        <f>IF(SUMPRODUCT(--(NOT(ISERR(SEARCH({"T","Ba"},'[4]CDR Project Planner'!$C55))))),'[4]CDR Project Planner'!F55,"")</f>
        <v/>
      </c>
      <c r="G50" s="41" t="str">
        <f>IF(SUMPRODUCT(--(NOT(ISERR(SEARCH({"T","Ba"},'[4]CDR Project Planner'!$C55))))),'[4]CDR Project Planner'!G55,"")</f>
        <v/>
      </c>
      <c r="H50" s="41" t="str">
        <f>IF(SUMPRODUCT(--(NOT(ISERR(SEARCH({"T","Ba"},'[4]CDR Project Planner'!$C55))))),'[4]CDR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34" t="str">
        <f>IF(SUMPRODUCT(--(NOT(ISERR(SEARCH({"T","Ba"},'[4]CDR Project Planner'!$C56))))),'[4]CDR Project Planner'!B56,"")</f>
        <v/>
      </c>
      <c r="C51" s="34" t="str">
        <f>IF(SUMPRODUCT(--(NOT(ISERR(SEARCH({"T","Ba"},'[4]CDR Project Planner'!$C56))))),'[4]CDR Project Planner'!C56,"")</f>
        <v/>
      </c>
      <c r="D51" s="41" t="str">
        <f>IF(SUMPRODUCT(--(NOT(ISERR(SEARCH({"T","Ba"},'[4]CDR Project Planner'!$C56))))),'[4]CDR Project Planner'!D56,"")</f>
        <v/>
      </c>
      <c r="E51" s="41" t="str">
        <f>IF(SUMPRODUCT(--(NOT(ISERR(SEARCH({"T","Ba"},'[4]CDR Project Planner'!$C56))))),'[4]CDR Project Planner'!E56,"")</f>
        <v/>
      </c>
      <c r="F51" s="41" t="str">
        <f>IF(SUMPRODUCT(--(NOT(ISERR(SEARCH({"T","Ba"},'[4]CDR Project Planner'!$C56))))),'[4]CDR Project Planner'!F56,"")</f>
        <v/>
      </c>
      <c r="G51" s="41" t="str">
        <f>IF(SUMPRODUCT(--(NOT(ISERR(SEARCH({"T","Ba"},'[4]CDR Project Planner'!$C56))))),'[4]CDR Project Planner'!G56,"")</f>
        <v/>
      </c>
      <c r="H51" s="41" t="str">
        <f>IF(SUMPRODUCT(--(NOT(ISERR(SEARCH({"T","Ba"},'[4]CDR Project Planner'!$C56))))),'[4]CDR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34" t="str">
        <f>IF(SUMPRODUCT(--(NOT(ISERR(SEARCH({"T","Ba"},'[4]CDR Project Planner'!$C57))))),'[4]CDR Project Planner'!B57,"")</f>
        <v/>
      </c>
      <c r="C52" s="34" t="str">
        <f>IF(SUMPRODUCT(--(NOT(ISERR(SEARCH({"T","Ba"},'[4]CDR Project Planner'!$C57))))),'[4]CDR Project Planner'!C57,"")</f>
        <v/>
      </c>
      <c r="D52" s="41" t="str">
        <f>IF(SUMPRODUCT(--(NOT(ISERR(SEARCH({"T","Ba"},'[4]CDR Project Planner'!$C57))))),'[4]CDR Project Planner'!D57,"")</f>
        <v/>
      </c>
      <c r="E52" s="41" t="str">
        <f>IF(SUMPRODUCT(--(NOT(ISERR(SEARCH({"T","Ba"},'[4]CDR Project Planner'!$C57))))),'[4]CDR Project Planner'!E57,"")</f>
        <v/>
      </c>
      <c r="F52" s="41" t="str">
        <f>IF(SUMPRODUCT(--(NOT(ISERR(SEARCH({"T","Ba"},'[4]CDR Project Planner'!$C57))))),'[4]CDR Project Planner'!F57,"")</f>
        <v/>
      </c>
      <c r="G52" s="41" t="str">
        <f>IF(SUMPRODUCT(--(NOT(ISERR(SEARCH({"T","Ba"},'[4]CDR Project Planner'!$C57))))),'[4]CDR Project Planner'!G57,"")</f>
        <v/>
      </c>
      <c r="H52" s="41" t="str">
        <f>IF(SUMPRODUCT(--(NOT(ISERR(SEARCH({"T","Ba"},'[4]CDR Project Planner'!$C57))))),'[4]CDR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H3:H4"/>
    <mergeCell ref="B3:B4"/>
    <mergeCell ref="C3:C4"/>
    <mergeCell ref="D3:D4"/>
    <mergeCell ref="E3:E4"/>
    <mergeCell ref="F3:F4"/>
    <mergeCell ref="G3:G4"/>
    <mergeCell ref="AJ2:AQ2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50" priority="1">
      <formula>PercentComplete</formula>
    </cfRule>
    <cfRule type="expression" dxfId="49" priority="2">
      <formula>PercentCompleteBeyond</formula>
    </cfRule>
    <cfRule type="expression" dxfId="48" priority="3">
      <formula>Actual</formula>
    </cfRule>
    <cfRule type="expression" dxfId="47" priority="4">
      <formula>ActualBeyond</formula>
    </cfRule>
    <cfRule type="expression" dxfId="46" priority="5">
      <formula>Plan</formula>
    </cfRule>
    <cfRule type="expression" dxfId="45" priority="6">
      <formula>I$4=period_selected</formula>
    </cfRule>
    <cfRule type="expression" dxfId="44" priority="7">
      <formula>MOD(COLUMN(),2)</formula>
    </cfRule>
    <cfRule type="expression" dxfId="43" priority="8">
      <formula>MOD(COLUMN(),2)=0</formula>
    </cfRule>
  </conditionalFormatting>
  <conditionalFormatting sqref="I4:BP4">
    <cfRule type="expression" dxfId="42" priority="9">
      <formula>I$4=period_selected</formula>
    </cfRule>
  </conditionalFormatting>
  <conditionalFormatting sqref="I5:BP6 I39:BP39 I27:BP28 I42:BP42 I45:BP45 I48:BP48">
    <cfRule type="expression" dxfId="41" priority="10">
      <formula>PercentComplete</formula>
    </cfRule>
    <cfRule type="expression" dxfId="40" priority="11">
      <formula>PercentCompleteBeyond</formula>
    </cfRule>
    <cfRule type="expression" dxfId="39" priority="12">
      <formula>Actual</formula>
    </cfRule>
    <cfRule type="expression" dxfId="38" priority="13">
      <formula>ActualBeyond</formula>
    </cfRule>
    <cfRule type="expression" dxfId="37" priority="14">
      <formula>Plan</formula>
    </cfRule>
    <cfRule type="expression" dxfId="36" priority="15">
      <formula>I$4=period_selected</formula>
    </cfRule>
    <cfRule type="expression" dxfId="35" priority="16">
      <formula>MOD(COLUMN(),2)</formula>
    </cfRule>
    <cfRule type="expression" dxfId="34" priority="17">
      <formula>MOD(COLUMN(),2)=0</formula>
    </cfRule>
  </conditionalFormatting>
  <conditionalFormatting sqref="I38:BP38 I41:BP41 I44:BP44 I47:BP47">
    <cfRule type="expression" dxfId="33" priority="18">
      <formula>PercentComplete</formula>
    </cfRule>
    <cfRule type="expression" dxfId="32" priority="19">
      <formula>PercentCompleteBeyond</formula>
    </cfRule>
    <cfRule type="expression" dxfId="31" priority="20">
      <formula>Actual</formula>
    </cfRule>
    <cfRule type="expression" dxfId="30" priority="21">
      <formula>ActualBeyond</formula>
    </cfRule>
    <cfRule type="expression" dxfId="29" priority="22">
      <formula>Plan</formula>
    </cfRule>
    <cfRule type="expression" dxfId="28" priority="23">
      <formula>I$4=period_selected</formula>
    </cfRule>
    <cfRule type="expression" dxfId="27" priority="24">
      <formula>MOD(COLUMN(),2)</formula>
    </cfRule>
    <cfRule type="expression" dxfId="26" priority="25">
      <formula>MOD(COLUMN(),2)=0</formula>
    </cfRule>
  </conditionalFormatting>
  <conditionalFormatting sqref="I20:BP20">
    <cfRule type="expression" dxfId="25" priority="26">
      <formula>PercentComplete</formula>
    </cfRule>
    <cfRule type="expression" dxfId="24" priority="27">
      <formula>PercentCompleteBeyond</formula>
    </cfRule>
    <cfRule type="expression" dxfId="23" priority="28">
      <formula>Actual</formula>
    </cfRule>
    <cfRule type="expression" dxfId="22" priority="29">
      <formula>ActualBeyond</formula>
    </cfRule>
    <cfRule type="expression" dxfId="21" priority="30">
      <formula>Plan</formula>
    </cfRule>
    <cfRule type="expression" dxfId="20" priority="31">
      <formula>I$4=period_selected</formula>
    </cfRule>
    <cfRule type="expression" dxfId="19" priority="32">
      <formula>MOD(COLUMN(),2)</formula>
    </cfRule>
    <cfRule type="expression" dxfId="18" priority="33">
      <formula>MOD(COLUMN(),2)=0</formula>
    </cfRule>
  </conditionalFormatting>
  <conditionalFormatting sqref="I16:BP16 I18:BP19">
    <cfRule type="expression" dxfId="17" priority="34">
      <formula>PercentComplete</formula>
    </cfRule>
    <cfRule type="expression" dxfId="16" priority="35">
      <formula>PercentCompleteBeyond</formula>
    </cfRule>
    <cfRule type="expression" dxfId="15" priority="36">
      <formula>Actual</formula>
    </cfRule>
    <cfRule type="expression" dxfId="14" priority="37">
      <formula>ActualBeyond</formula>
    </cfRule>
    <cfRule type="expression" dxfId="13" priority="38">
      <formula>Plan</formula>
    </cfRule>
    <cfRule type="expression" dxfId="12" priority="39">
      <formula>I$4=period_selected</formula>
    </cfRule>
    <cfRule type="expression" dxfId="11" priority="40">
      <formula>MOD(COLUMN(),2)</formula>
    </cfRule>
    <cfRule type="expression" dxfId="10" priority="41">
      <formula>MOD(COLUMN(),2)=0</formula>
    </cfRule>
  </conditionalFormatting>
  <conditionalFormatting sqref="I17:BP17">
    <cfRule type="expression" dxfId="9" priority="42">
      <formula>PercentComplete</formula>
    </cfRule>
    <cfRule type="expression" dxfId="8" priority="43">
      <formula>PercentCompleteBeyond</formula>
    </cfRule>
    <cfRule type="expression" dxfId="7" priority="44">
      <formula>Actual</formula>
    </cfRule>
    <cfRule type="expression" dxfId="6" priority="45">
      <formula>ActualBeyond</formula>
    </cfRule>
    <cfRule type="expression" dxfId="5" priority="46">
      <formula>Plan</formula>
    </cfRule>
    <cfRule type="expression" dxfId="4" priority="47">
      <formula>I$4=period_selected</formula>
    </cfRule>
    <cfRule type="expression" dxfId="3" priority="48">
      <formula>MOD(COLUMN(),2)</formula>
    </cfRule>
    <cfRule type="expression" dxfId="2" priority="49">
      <formula>MOD(COLUMN(),2)=0</formula>
    </cfRule>
  </conditionalFormatting>
  <conditionalFormatting sqref="H53:H56">
    <cfRule type="cellIs" dxfId="1" priority="50" operator="equal">
      <formula>isblank</formula>
    </cfRule>
    <cfRule type="colorScale" priority="51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0" priority="52">
      <formula>LEN(TRIM(H5))=0</formula>
    </cfRule>
  </conditionalFormatting>
  <conditionalFormatting sqref="H5:H49">
    <cfRule type="colorScale" priority="53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20482" r:id="rId3" name="Overview_but">
          <controlPr defaultSize="0" autoLine="0" r:id="rId4">
            <anchor moveWithCells="1">
              <from>
                <xdr:col>7</xdr:col>
                <xdr:colOff>85725</xdr:colOff>
                <xdr:row>0</xdr:row>
                <xdr:rowOff>133350</xdr:rowOff>
              </from>
              <to>
                <xdr:col>7</xdr:col>
                <xdr:colOff>1123950</xdr:colOff>
                <xdr:row>0</xdr:row>
                <xdr:rowOff>533400</xdr:rowOff>
              </to>
            </anchor>
          </controlPr>
        </control>
      </mc:Choice>
      <mc:Fallback>
        <control shapeId="20482" r:id="rId3" name="Overview_bu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topLeftCell="A13" zoomScale="85" zoomScaleNormal="85" workbookViewId="0">
      <selection activeCell="D37" sqref="D37"/>
    </sheetView>
  </sheetViews>
  <sheetFormatPr defaultRowHeight="12.75" x14ac:dyDescent="0.2"/>
  <cols>
    <col min="1" max="1" width="35.7109375" customWidth="1"/>
    <col min="2" max="2" width="18.28515625" customWidth="1"/>
    <col min="3" max="4" width="14.42578125" customWidth="1"/>
    <col min="5" max="1025" width="8.7109375" customWidth="1"/>
  </cols>
  <sheetData>
    <row r="1" spans="1:4" x14ac:dyDescent="0.2">
      <c r="A1" s="52" t="s">
        <v>106</v>
      </c>
      <c r="B1" s="52" t="s">
        <v>107</v>
      </c>
      <c r="C1" s="52" t="s">
        <v>108</v>
      </c>
      <c r="D1" s="52" t="s">
        <v>109</v>
      </c>
    </row>
    <row r="2" spans="1:4" ht="17.25" x14ac:dyDescent="0.3">
      <c r="A2" s="29" t="s">
        <v>19</v>
      </c>
      <c r="B2" s="53"/>
      <c r="D2" s="54"/>
    </row>
    <row r="3" spans="1:4" ht="15.75" x14ac:dyDescent="0.25">
      <c r="A3" s="50" t="s">
        <v>110</v>
      </c>
      <c r="B3" s="49" t="s">
        <v>111</v>
      </c>
      <c r="D3" s="54">
        <f t="shared" ref="D3:D35" si="0">C3*100</f>
        <v>0</v>
      </c>
    </row>
    <row r="4" spans="1:4" ht="15.75" x14ac:dyDescent="0.25">
      <c r="A4" s="51" t="s">
        <v>69</v>
      </c>
      <c r="B4" s="49" t="s">
        <v>70</v>
      </c>
      <c r="C4">
        <v>2</v>
      </c>
      <c r="D4" s="54">
        <f t="shared" si="0"/>
        <v>200</v>
      </c>
    </row>
    <row r="5" spans="1:4" ht="15.75" x14ac:dyDescent="0.25">
      <c r="A5" s="51" t="s">
        <v>71</v>
      </c>
      <c r="B5" s="49" t="s">
        <v>72</v>
      </c>
      <c r="C5">
        <v>1</v>
      </c>
      <c r="D5" s="54">
        <f t="shared" si="0"/>
        <v>100</v>
      </c>
    </row>
    <row r="6" spans="1:4" ht="15.75" x14ac:dyDescent="0.25">
      <c r="A6" s="51" t="s">
        <v>73</v>
      </c>
      <c r="B6" s="49" t="s">
        <v>70</v>
      </c>
      <c r="C6">
        <v>2</v>
      </c>
      <c r="D6" s="54">
        <f t="shared" si="0"/>
        <v>200</v>
      </c>
    </row>
    <row r="7" spans="1:4" ht="15.75" x14ac:dyDescent="0.25">
      <c r="A7" s="55" t="s">
        <v>112</v>
      </c>
      <c r="B7" s="53" t="s">
        <v>64</v>
      </c>
      <c r="D7" s="54">
        <f t="shared" si="0"/>
        <v>0</v>
      </c>
    </row>
    <row r="8" spans="1:4" ht="15.75" x14ac:dyDescent="0.25">
      <c r="A8" s="56" t="s">
        <v>113</v>
      </c>
      <c r="B8" s="53" t="s">
        <v>64</v>
      </c>
      <c r="C8">
        <v>1</v>
      </c>
      <c r="D8" s="54">
        <f t="shared" si="0"/>
        <v>100</v>
      </c>
    </row>
    <row r="9" spans="1:4" ht="15.75" x14ac:dyDescent="0.25">
      <c r="A9" s="56" t="s">
        <v>114</v>
      </c>
      <c r="B9" s="53" t="s">
        <v>64</v>
      </c>
      <c r="C9">
        <v>2</v>
      </c>
      <c r="D9" s="54">
        <f t="shared" si="0"/>
        <v>200</v>
      </c>
    </row>
    <row r="10" spans="1:4" ht="15.75" x14ac:dyDescent="0.25">
      <c r="A10" s="56" t="s">
        <v>115</v>
      </c>
      <c r="B10" s="53" t="s">
        <v>64</v>
      </c>
      <c r="C10">
        <v>1.5</v>
      </c>
      <c r="D10" s="54">
        <f t="shared" si="0"/>
        <v>150</v>
      </c>
    </row>
    <row r="11" spans="1:4" ht="15.75" x14ac:dyDescent="0.25">
      <c r="A11" s="57" t="s">
        <v>116</v>
      </c>
      <c r="B11" s="53" t="s">
        <v>64</v>
      </c>
      <c r="D11" s="54">
        <f t="shared" si="0"/>
        <v>0</v>
      </c>
    </row>
    <row r="12" spans="1:4" ht="15.75" x14ac:dyDescent="0.25">
      <c r="A12" s="57" t="s">
        <v>117</v>
      </c>
      <c r="B12" s="53" t="s">
        <v>118</v>
      </c>
      <c r="C12">
        <v>4</v>
      </c>
      <c r="D12" s="54">
        <f t="shared" si="0"/>
        <v>400</v>
      </c>
    </row>
    <row r="13" spans="1:4" ht="15.75" x14ac:dyDescent="0.25">
      <c r="A13" s="57" t="s">
        <v>119</v>
      </c>
      <c r="B13" s="53" t="s">
        <v>120</v>
      </c>
      <c r="C13">
        <v>3</v>
      </c>
      <c r="D13" s="54">
        <f t="shared" si="0"/>
        <v>300</v>
      </c>
    </row>
    <row r="14" spans="1:4" ht="17.25" x14ac:dyDescent="0.3">
      <c r="A14" s="29" t="s">
        <v>25</v>
      </c>
      <c r="B14" s="53"/>
      <c r="D14" s="54">
        <f t="shared" si="0"/>
        <v>0</v>
      </c>
    </row>
    <row r="15" spans="1:4" ht="15.75" x14ac:dyDescent="0.25">
      <c r="A15" s="50" t="s">
        <v>26</v>
      </c>
      <c r="B15" s="58" t="s">
        <v>121</v>
      </c>
      <c r="C15">
        <v>2</v>
      </c>
      <c r="D15" s="54">
        <f t="shared" si="0"/>
        <v>200</v>
      </c>
    </row>
    <row r="16" spans="1:4" ht="15.75" x14ac:dyDescent="0.25">
      <c r="A16" s="50" t="s">
        <v>27</v>
      </c>
      <c r="B16" s="58" t="s">
        <v>121</v>
      </c>
      <c r="C16">
        <v>2</v>
      </c>
      <c r="D16" s="54">
        <f t="shared" si="0"/>
        <v>200</v>
      </c>
    </row>
    <row r="17" spans="1:4" ht="15.75" x14ac:dyDescent="0.25">
      <c r="A17" s="50" t="s">
        <v>28</v>
      </c>
      <c r="B17" s="58" t="s">
        <v>121</v>
      </c>
      <c r="C17">
        <v>1.5</v>
      </c>
      <c r="D17" s="54">
        <f t="shared" si="0"/>
        <v>150</v>
      </c>
    </row>
    <row r="18" spans="1:4" ht="15.75" x14ac:dyDescent="0.25">
      <c r="A18" s="50" t="s">
        <v>24</v>
      </c>
      <c r="B18" s="58" t="s">
        <v>121</v>
      </c>
      <c r="C18">
        <v>2</v>
      </c>
      <c r="D18" s="54">
        <f t="shared" si="0"/>
        <v>200</v>
      </c>
    </row>
    <row r="19" spans="1:4" ht="15.75" x14ac:dyDescent="0.25">
      <c r="A19" s="50" t="s">
        <v>29</v>
      </c>
      <c r="B19" s="58" t="s">
        <v>121</v>
      </c>
      <c r="C19">
        <v>3</v>
      </c>
      <c r="D19" s="54">
        <f t="shared" si="0"/>
        <v>300</v>
      </c>
    </row>
    <row r="20" spans="1:4" ht="17.25" x14ac:dyDescent="0.3">
      <c r="A20" s="29" t="s">
        <v>30</v>
      </c>
      <c r="B20" s="53"/>
      <c r="D20" s="54">
        <f t="shared" si="0"/>
        <v>0</v>
      </c>
    </row>
    <row r="21" spans="1:4" ht="15.75" x14ac:dyDescent="0.25">
      <c r="A21" s="59" t="s">
        <v>122</v>
      </c>
      <c r="B21" s="53" t="s">
        <v>72</v>
      </c>
      <c r="C21">
        <v>3</v>
      </c>
      <c r="D21" s="54">
        <f t="shared" si="0"/>
        <v>300</v>
      </c>
    </row>
    <row r="22" spans="1:4" ht="15.75" x14ac:dyDescent="0.25">
      <c r="A22" s="60" t="s">
        <v>123</v>
      </c>
      <c r="B22" s="53" t="s">
        <v>124</v>
      </c>
      <c r="C22">
        <v>2</v>
      </c>
      <c r="D22" s="54">
        <f t="shared" si="0"/>
        <v>200</v>
      </c>
    </row>
    <row r="23" spans="1:4" ht="15.75" x14ac:dyDescent="0.25">
      <c r="A23" s="60" t="s">
        <v>125</v>
      </c>
      <c r="B23" s="53" t="s">
        <v>72</v>
      </c>
      <c r="C23">
        <v>3</v>
      </c>
      <c r="D23" s="54">
        <f t="shared" si="0"/>
        <v>300</v>
      </c>
    </row>
    <row r="24" spans="1:4" ht="15.75" x14ac:dyDescent="0.25">
      <c r="A24" s="34" t="s">
        <v>35</v>
      </c>
      <c r="B24" s="53" t="s">
        <v>124</v>
      </c>
      <c r="C24">
        <v>2</v>
      </c>
      <c r="D24" s="54">
        <f t="shared" si="0"/>
        <v>200</v>
      </c>
    </row>
    <row r="25" spans="1:4" ht="15.75" x14ac:dyDescent="0.25">
      <c r="A25" s="59" t="s">
        <v>36</v>
      </c>
      <c r="B25" s="53" t="s">
        <v>84</v>
      </c>
      <c r="C25">
        <v>1.5</v>
      </c>
      <c r="D25" s="54">
        <f t="shared" si="0"/>
        <v>150</v>
      </c>
    </row>
    <row r="26" spans="1:4" ht="15.75" x14ac:dyDescent="0.25">
      <c r="A26" s="32" t="s">
        <v>37</v>
      </c>
      <c r="B26" s="49" t="s">
        <v>84</v>
      </c>
      <c r="C26">
        <v>2</v>
      </c>
      <c r="D26" s="54">
        <f t="shared" si="0"/>
        <v>200</v>
      </c>
    </row>
    <row r="27" spans="1:4" ht="17.25" x14ac:dyDescent="0.3">
      <c r="A27" s="29" t="s">
        <v>38</v>
      </c>
      <c r="B27" s="53"/>
      <c r="D27" s="54">
        <f t="shared" si="0"/>
        <v>0</v>
      </c>
    </row>
    <row r="28" spans="1:4" ht="15" x14ac:dyDescent="0.25">
      <c r="A28" s="61" t="s">
        <v>39</v>
      </c>
      <c r="B28" s="62" t="s">
        <v>126</v>
      </c>
      <c r="C28">
        <v>1</v>
      </c>
      <c r="D28" s="54">
        <f t="shared" si="0"/>
        <v>100</v>
      </c>
    </row>
    <row r="29" spans="1:4" ht="15.75" x14ac:dyDescent="0.25">
      <c r="A29" s="50" t="s">
        <v>40</v>
      </c>
      <c r="B29" s="49" t="s">
        <v>76</v>
      </c>
      <c r="C29">
        <v>1</v>
      </c>
      <c r="D29" s="54">
        <f t="shared" si="0"/>
        <v>100</v>
      </c>
    </row>
    <row r="30" spans="1:4" ht="15.75" x14ac:dyDescent="0.25">
      <c r="A30" s="50" t="s">
        <v>127</v>
      </c>
      <c r="B30" s="49" t="s">
        <v>76</v>
      </c>
      <c r="C30">
        <v>3</v>
      </c>
      <c r="D30" s="54">
        <f t="shared" si="0"/>
        <v>300</v>
      </c>
    </row>
    <row r="31" spans="1:4" ht="17.25" x14ac:dyDescent="0.3">
      <c r="A31" s="35" t="s">
        <v>41</v>
      </c>
      <c r="B31" s="49"/>
      <c r="D31" s="54">
        <f t="shared" si="0"/>
        <v>0</v>
      </c>
    </row>
    <row r="32" spans="1:4" ht="15.75" x14ac:dyDescent="0.25">
      <c r="A32" s="50" t="s">
        <v>128</v>
      </c>
      <c r="B32" s="49" t="s">
        <v>61</v>
      </c>
      <c r="D32" s="54">
        <f t="shared" si="0"/>
        <v>0</v>
      </c>
    </row>
    <row r="33" spans="1:5" ht="15.75" x14ac:dyDescent="0.25">
      <c r="A33" s="51" t="s">
        <v>129</v>
      </c>
      <c r="B33" s="49" t="s">
        <v>46</v>
      </c>
      <c r="C33">
        <v>1.5</v>
      </c>
      <c r="D33" s="54">
        <f t="shared" si="0"/>
        <v>150</v>
      </c>
    </row>
    <row r="34" spans="1:5" ht="15.75" x14ac:dyDescent="0.25">
      <c r="A34" s="51" t="s">
        <v>30</v>
      </c>
      <c r="B34" s="49" t="s">
        <v>46</v>
      </c>
      <c r="C34">
        <v>1.5</v>
      </c>
      <c r="D34" s="54">
        <f t="shared" si="0"/>
        <v>150</v>
      </c>
    </row>
    <row r="35" spans="1:5" ht="15.75" x14ac:dyDescent="0.25">
      <c r="A35" s="51" t="s">
        <v>130</v>
      </c>
      <c r="B35" s="63" t="s">
        <v>99</v>
      </c>
      <c r="C35">
        <v>1.5</v>
      </c>
      <c r="D35" s="54">
        <f t="shared" si="0"/>
        <v>150</v>
      </c>
    </row>
    <row r="36" spans="1:5" x14ac:dyDescent="0.2">
      <c r="A36" s="64"/>
      <c r="B36" s="65"/>
      <c r="C36" s="66">
        <f>SUM(C2:C35)</f>
        <v>50</v>
      </c>
      <c r="D36" s="67">
        <f>SUM(D2:D35)</f>
        <v>5000</v>
      </c>
      <c r="E36" s="66" t="s">
        <v>131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24</vt:i4>
      </vt:variant>
    </vt:vector>
  </HeadingPairs>
  <TitlesOfParts>
    <vt:vector size="43" baseType="lpstr">
      <vt:lpstr>Overview</vt:lpstr>
      <vt:lpstr>Charts</vt:lpstr>
      <vt:lpstr>CDR Project Planner</vt:lpstr>
      <vt:lpstr>Bach Planner</vt:lpstr>
      <vt:lpstr>Brandon Planner</vt:lpstr>
      <vt:lpstr>Cody Planner</vt:lpstr>
      <vt:lpstr>Peter Planner</vt:lpstr>
      <vt:lpstr>Zack Planner</vt:lpstr>
      <vt:lpstr>Burn Report</vt:lpstr>
      <vt:lpstr>PDR Project Planner</vt:lpstr>
      <vt:lpstr>Metrics</vt:lpstr>
      <vt:lpstr>Andrei Planner</vt:lpstr>
      <vt:lpstr>Sheet1</vt:lpstr>
      <vt:lpstr>Andrei Cost</vt:lpstr>
      <vt:lpstr>Bach Cost</vt:lpstr>
      <vt:lpstr>Brandon Cost</vt:lpstr>
      <vt:lpstr>Cody Cost</vt:lpstr>
      <vt:lpstr>Peter Cost</vt:lpstr>
      <vt:lpstr>Zack Cost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'PDR Project Planner'!period_selected</vt:lpstr>
      <vt:lpstr>'Peter Planner'!period_selected</vt:lpstr>
      <vt:lpstr>'Zack Planner'!period_selected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'PDR Project Planner'!TitleRegion..BO60</vt:lpstr>
      <vt:lpstr>'Peter Planner'!TitleRegion..BO60</vt:lpstr>
      <vt:lpstr>'Zack Planner'!TitleRegion..BO60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Andrei Fusilli (RIT Student)</cp:lastModifiedBy>
  <cp:revision>17</cp:revision>
  <cp:lastPrinted>2018-03-22T18:36:21Z</cp:lastPrinted>
  <dcterms:created xsi:type="dcterms:W3CDTF">2018-02-08T19:34:40Z</dcterms:created>
  <dcterms:modified xsi:type="dcterms:W3CDTF">2018-04-19T21:59:03Z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